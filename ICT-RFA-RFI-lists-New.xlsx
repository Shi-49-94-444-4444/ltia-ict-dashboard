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8D5D9B42-3847-43AA-A1FE-D3702FB82F3E}" xr6:coauthVersionLast="47" xr6:coauthVersionMax="47" xr10:uidLastSave="{00000000-0000-0000-0000-000000000000}"/>
  <bookViews>
    <workbookView xWindow="-120" yWindow="-120" windowWidth="29040" windowHeight="16440" tabRatio="506" activeTab="1"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'RFA-SDS'!$A$6:$AD$47</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'RFA-SDS'!$A$1:$AD$47,'RFA-SDS'!$H$49:$Q$55,'RFA-SDS'!$C$49:$E$53,'RFA-SDS'!$C$55:$E$58</definedName>
    <definedName name="_xlnm.Print_Area" localSheetId="2">RFI!$A$1:$Z$131,RFI!$H$133:$Q$137,RFI!$C$133:$E$138,RFI!$C$140:$E$143</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5" i="4" l="1"/>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7" i="4"/>
  <c r="Z46"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4" i="4" l="1"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5" i="5"/>
  <c r="Q53" i="4"/>
  <c r="Q52" i="4"/>
  <c r="Q51" i="4"/>
  <c r="R149" i="1"/>
  <c r="R148" i="1"/>
  <c r="R147"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7" i="5"/>
  <c r="M55" i="4"/>
  <c r="N151" i="1"/>
  <c r="E43" i="5"/>
  <c r="E42" i="5"/>
  <c r="E41" i="5"/>
  <c r="E40" i="5"/>
  <c r="E39" i="5"/>
  <c r="E38" i="5"/>
  <c r="E36" i="5"/>
  <c r="E35" i="5"/>
  <c r="E34" i="5"/>
  <c r="M135"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3" i="4"/>
  <c r="M52" i="4"/>
  <c r="M51"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4" i="4" l="1"/>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AD7" i="1"/>
  <c r="R7" i="6" a="1"/>
  <c r="Q54" i="4"/>
  <c r="Q50" i="4" s="1"/>
  <c r="R150" i="1"/>
  <c r="R146" i="1" s="1"/>
  <c r="P147" i="1"/>
  <c r="O150" i="1"/>
  <c r="N53" i="4"/>
  <c r="O51" i="4"/>
  <c r="O53" i="4"/>
  <c r="P150" i="1"/>
  <c r="O149" i="1"/>
  <c r="P149" i="1"/>
  <c r="P148" i="1"/>
  <c r="O148" i="1"/>
  <c r="O52" i="4"/>
  <c r="O54" i="4"/>
  <c r="N52" i="4"/>
  <c r="N51" i="4"/>
  <c r="O147" i="1"/>
  <c r="N54" i="4"/>
  <c r="S7" i="6" a="1"/>
  <c r="M54" i="4" l="1"/>
  <c r="M50" i="4" s="1"/>
  <c r="N150" i="1"/>
  <c r="D3" i="9"/>
  <c r="C3" i="9"/>
  <c r="P50" i="4"/>
  <c r="P52" i="4"/>
  <c r="P53" i="4"/>
  <c r="P51" i="4"/>
  <c r="P54" i="4"/>
  <c r="Q146" i="1"/>
  <c r="Q148" i="1"/>
  <c r="Q149" i="1"/>
  <c r="Q147" i="1"/>
  <c r="Q150" i="1"/>
  <c r="L54" i="4" l="1"/>
  <c r="L52" i="4"/>
  <c r="L51" i="4"/>
  <c r="L53" i="4"/>
  <c r="L50" i="4"/>
  <c r="L55" i="4"/>
  <c r="N146" i="1"/>
  <c r="M150" i="1" s="1"/>
  <c r="B3" i="9"/>
  <c r="A3" i="9"/>
  <c r="N136" i="5"/>
  <c r="Q136" i="5"/>
  <c r="Q134" i="5" s="1"/>
  <c r="O136" i="5"/>
  <c r="O135" i="5"/>
  <c r="N135" i="5"/>
  <c r="J7" i="5"/>
  <c r="M148" i="1" l="1"/>
  <c r="M147" i="1"/>
  <c r="M146" i="1"/>
  <c r="M151" i="1"/>
  <c r="M149" i="1"/>
  <c r="A5" i="9"/>
  <c r="M136" i="5"/>
  <c r="M134" i="5" s="1"/>
  <c r="L136" i="5" s="1"/>
  <c r="P135" i="5"/>
  <c r="P134" i="5"/>
  <c r="P136" i="5"/>
  <c r="L137" i="5" l="1"/>
  <c r="L135" i="5"/>
  <c r="L13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<sst xmlns="http://schemas.openxmlformats.org/spreadsheetml/2006/main" count="3528" uniqueCount="1111">
  <si>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</si>
  <si>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</si>
  <si>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</si>
  <si>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</si>
  <si>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</si>
  <si>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</si>
  <si>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</si>
  <si>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</si>
  <si>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</si>
  <si>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</si>
  <si>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</si>
  <si>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</si>
  <si>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</si>
  <si>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</si>
  <si>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</si>
  <si>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</si>
  <si>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</si>
  <si>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</si>
  <si>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</si>
  <si>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</si>
  <si>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</si>
  <si>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</si>
  <si>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</si>
  <si>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</si>
  <si>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</si>
  <si>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</si>
  <si>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</si>
  <si>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</si>
  <si>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</si>
  <si>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</si>
  <si>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</si>
  <si>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</si>
  <si>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</si>
  <si>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</si>
  <si>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</si>
  <si>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</si>
  <si>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</si>
  <si>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</si>
  <si>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</si>
  <si>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</si>
  <si>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</si>
  <si>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</si>
  <si>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</si>
  <si>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</si>
  <si>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</si>
  <si>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</si>
  <si>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</si>
  <si>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</si>
  <si>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</si>
  <si>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</si>
  <si>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</si>
  <si>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</si>
  <si>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</si>
  <si>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</si>
  <si>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</si>
  <si>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</si>
  <si>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</si>
  <si>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</si>
  <si>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</si>
  <si>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</si>
  <si>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</si>
  <si>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</si>
  <si>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</si>
  <si>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</si>
  <si>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</si>
  <si>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</si>
  <si>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</si>
  <si>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</si>
  <si>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</si>
  <si>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</si>
  <si>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</si>
  <si>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</si>
  <si>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</si>
  <si>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</si>
  <si>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</si>
  <si>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</si>
  <si>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</si>
  <si>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</si>
  <si>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</si>
  <si>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</si>
  <si>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</si>
  <si>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</si>
  <si>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</si>
  <si>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</si>
  <si>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</si>
  <si>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</si>
  <si>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</si>
  <si>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</si>
  <si>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</si>
  <si>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</si>
  <si>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</si>
  <si>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</si>
  <si>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</si>
  <si>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</si>
  <si>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</si>
  <si>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</si>
  <si>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</si>
  <si>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</si>
  <si>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</si>
  <si>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</si>
  <si>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</si>
  <si>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</si>
  <si>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</si>
  <si>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</si>
  <si>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</si>
  <si>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</si>
  <si>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</si>
  <si>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</si>
  <si>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</si>
  <si>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</si>
  <si>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</si>
  <si>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</si>
  <si>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</si>
  <si>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</si>
  <si>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</si>
  <si>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</si>
  <si>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</si>
  <si>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</si>
  <si>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</si>
  <si>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</si>
  <si>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</si>
  <si>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</si>
  <si>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</si>
  <si>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</si>
  <si>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</si>
  <si>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</si>
  <si>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</si>
  <si>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</si>
  <si>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</si>
  <si>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</si>
  <si>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</si>
  <si>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</si>
  <si>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</si>
  <si>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</si>
  <si>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</si>
  <si>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</si>
  <si>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</si>
  <si>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</si>
  <si>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</si>
  <si>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</si>
  <si>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</si>
  <si>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</si>
  <si>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</si>
  <si>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</si>
  <si>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</si>
  <si>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</si>
  <si>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</si>
  <si>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</si>
  <si>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</si>
  <si>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</si>
  <si>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</si>
  <si>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</si>
  <si>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</si>
  <si>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</si>
  <si>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</si>
  <si>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</si>
  <si>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</si>
  <si>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</si>
  <si>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</si>
  <si>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</si>
  <si>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</si>
  <si>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</si>
  <si>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</si>
  <si>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</si>
  <si>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</si>
  <si>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</si>
  <si>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</si>
  <si>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</si>
  <si>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</si>
  <si>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</si>
  <si>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</si>
  <si>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</si>
  <si>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</si>
  <si>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</si>
  <si>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</si>
  <si>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</si>
  <si>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</si>
  <si>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</si>
  <si>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</si>
  <si>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</si>
  <si>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</si>
  <si>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</si>
  <si>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</si>
  <si>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</si>
  <si>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</si>
  <si>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</si>
  <si>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</si>
  <si>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</si>
  <si>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</si>
  <si>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</si>
  <si>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</si>
  <si>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</si>
  <si>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</si>
  <si>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</si>
  <si>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</si>
  <si>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</si>
  <si>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</si>
  <si>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</si>
  <si>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</si>
  <si>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</si>
  <si>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</si>
  <si>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</si>
  <si>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</si>
  <si>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</si>
  <si>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</si>
  <si>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</si>
  <si>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</si>
  <si>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</si>
  <si>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</si>
  <si>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</si>
  <si>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</si>
  <si>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</si>
  <si>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</si>
  <si>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</si>
  <si>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</si>
  <si>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</si>
  <si>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</si>
  <si>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</si>
  <si>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</si>
  <si>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</si>
  <si>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</si>
  <si>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</si>
  <si>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</si>
  <si>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</si>
  <si>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</si>
  <si>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</si>
  <si>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</si>
  <si>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</si>
  <si>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</si>
  <si>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</si>
  <si>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</si>
  <si>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</si>
  <si>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</si>
  <si>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</si>
  <si>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</si>
  <si>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</si>
  <si>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</si>
  <si>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</si>
  <si>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</si>
  <si>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</si>
  <si>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</si>
  <si>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</si>
  <si>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</si>
  <si>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</si>
  <si>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</si>
  <si>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</si>
  <si>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</si>
  <si>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</si>
  <si>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</si>
  <si>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</si>
  <si>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</si>
  <si>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</si>
  <si>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</si>
  <si>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</si>
  <si>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</si>
  <si>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</si>
  <si>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</si>
  <si>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</si>
  <si>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</si>
  <si>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</si>
  <si>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</si>
  <si>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</si>
  <si>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</si>
  <si>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</si>
  <si>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</si>
  <si>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</si>
  <si>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</si>
  <si>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</si>
  <si>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</si>
  <si>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</si>
  <si>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</si>
  <si>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</si>
  <si>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</si>
  <si>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</si>
  <si>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</si>
  <si>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</si>
  <si>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</si>
  <si>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</si>
  <si>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</si>
  <si>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</si>
  <si>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</si>
  <si>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</si>
  <si>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</si>
  <si>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</si>
  <si>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</si>
  <si>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</si>
  <si>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</si>
  <si>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</si>
  <si>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</si>
  <si>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</si>
  <si>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</si>
  <si>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</si>
  <si>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</si>
  <si>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</si>
  <si>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</si>
  <si>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</si>
  <si>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</si>
  <si>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</si>
  <si>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</si>
  <si>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</si>
  <si>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</si>
  <si>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</si>
  <si>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</si>
  <si>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</si>
  <si>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</si>
  <si>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</si>
  <si>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</si>
  <si>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</si>
  <si>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</si>
  <si>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</si>
  <si>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</si>
  <si>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</si>
  <si>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</si>
  <si>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</si>
  <si>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</si>
  <si>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</si>
  <si>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</si>
  <si>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</si>
  <si>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</si>
  <si>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</si>
  <si>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</si>
  <si>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</si>
  <si>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</si>
  <si>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</si>
  <si>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</si>
  <si>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</si>
  <si>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</si>
  <si>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</si>
  <si>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</si>
  <si>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</si>
  <si>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</si>
  <si>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</si>
  <si>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</si>
  <si>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</si>
  <si>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</si>
  <si>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</si>
  <si>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</si>
  <si>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</si>
  <si>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</si>
  <si>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</si>
  <si>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</si>
  <si>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</si>
  <si>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</si>
  <si>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</si>
  <si>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</si>
  <si>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</si>
  <si>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</si>
  <si>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</si>
  <si>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</si>
  <si>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</si>
  <si>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</si>
  <si>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</si>
  <si>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</si>
  <si>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</si>
  <si>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</si>
  <si>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</si>
  <si>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</si>
  <si>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</si>
  <si>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</si>
  <si>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</si>
  <si>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</si>
  <si>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</si>
  <si>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</si>
  <si>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</si>
  <si>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</si>
  <si>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</si>
  <si>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</si>
  <si>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</si>
  <si>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</si>
  <si>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</si>
  <si>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</si>
  <si>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</si>
  <si>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</si>
  <si>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</si>
  <si>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</si>
  <si>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</si>
  <si>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</si>
  <si>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</si>
  <si>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</si>
  <si>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</si>
  <si>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</si>
  <si>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</si>
  <si>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</si>
  <si>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</si>
  <si>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</si>
  <si>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</si>
  <si>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</si>
  <si>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</si>
  <si>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</si>
  <si>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</si>
  <si>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</si>
  <si>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</si>
  <si>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</si>
  <si>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</si>
  <si>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</si>
  <si>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</si>
  <si>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</si>
  <si>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</si>
  <si>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</si>
  <si>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</si>
  <si>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</si>
  <si>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</si>
  <si>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</si>
  <si>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</si>
  <si>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</si>
  <si>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</si>
  <si>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</si>
  <si>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</si>
  <si>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</si>
  <si>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</si>
  <si>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</si>
  <si>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</si>
  <si>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</si>
  <si>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</si>
  <si>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</si>
  <si>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</si>
  <si>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</si>
  <si>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</si>
  <si>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</si>
  <si>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</si>
  <si>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</si>
  <si>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</si>
  <si>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</si>
  <si>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</si>
  <si>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</si>
  <si>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</si>
  <si>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</si>
  <si>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</si>
  <si>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</si>
  <si>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</si>
  <si>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</si>
  <si>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</si>
  <si>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</si>
  <si>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</si>
  <si>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</si>
  <si>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</si>
  <si>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</si>
  <si>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</si>
  <si>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</si>
  <si>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</si>
  <si>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</si>
  <si>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</si>
  <si>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</si>
  <si>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</si>
  <si>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</si>
  <si>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</si>
  <si>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</si>
  <si>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</si>
  <si>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</si>
  <si>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</si>
  <si>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</si>
  <si>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</si>
  <si>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</si>
  <si>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</si>
  <si>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</si>
  <si>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</si>
  <si>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</si>
  <si>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</si>
  <si>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</si>
  <si>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</si>
  <si>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</si>
  <si>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</si>
  <si>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</si>
  <si>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</si>
  <si>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</si>
  <si>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</si>
  <si>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</si>
  <si>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</si>
  <si>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</si>
  <si>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</si>
  <si>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</si>
  <si>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</si>
  <si>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</si>
  <si>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</si>
  <si>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</si>
  <si>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</si>
  <si>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</si>
  <si>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</si>
  <si>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</si>
  <si>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</si>
  <si>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</si>
  <si>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</si>
  <si>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</si>
  <si>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</si>
  <si>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</si>
  <si>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</si>
  <si>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</si>
  <si>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</si>
  <si>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</si>
  <si>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</si>
  <si>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</si>
  <si>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</si>
  <si>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</si>
  <si>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</si>
  <si>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</si>
  <si>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</si>
  <si>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</si>
  <si>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</si>
  <si>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</si>
  <si>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</si>
  <si>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</si>
  <si>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</si>
  <si>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</si>
  <si>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</si>
  <si>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</si>
  <si>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</si>
  <si>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</si>
  <si>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</si>
  <si>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</si>
  <si>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</si>
  <si>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</si>
  <si>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</si>
  <si>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</si>
  <si>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</si>
  <si>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</si>
  <si>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</si>
  <si>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</si>
  <si>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</si>
  <si>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</si>
  <si>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</si>
  <si>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</si>
  <si>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</si>
  <si>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</si>
  <si>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</si>
  <si>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</si>
  <si>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</si>
  <si>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</si>
  <si>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</si>
  <si>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</si>
  <si>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</si>
  <si>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</si>
  <si>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</si>
  <si>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</si>
  <si>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</si>
  <si>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</si>
  <si>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</si>
  <si>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</si>
  <si>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</si>
  <si>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</si>
  <si>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</si>
  <si>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</si>
  <si>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</si>
  <si>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</si>
  <si>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</si>
  <si>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</si>
  <si>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</si>
  <si>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</si>
  <si>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</si>
  <si>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</si>
  <si>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</si>
  <si>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</si>
  <si>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</si>
  <si>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</si>
  <si>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</si>
  <si>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</si>
  <si>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</si>
  <si>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</si>
  <si>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</si>
  <si>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</si>
  <si>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</si>
  <si>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</si>
  <si>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</si>
  <si>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</si>
  <si>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</si>
  <si>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</si>
  <si>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</si>
  <si>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</si>
  <si>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</si>
  <si>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</si>
  <si>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</si>
  <si>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</si>
  <si>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</si>
  <si>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</si>
  <si>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</si>
  <si>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</si>
  <si>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</si>
  <si>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</si>
  <si>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</si>
  <si>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</si>
  <si>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</si>
  <si>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</si>
  <si>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</si>
  <si>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</si>
  <si>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</si>
  <si>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</si>
  <si>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</si>
  <si>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</si>
  <si>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</si>
  <si>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</si>
  <si>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</si>
  <si>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</si>
  <si>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</si>
  <si>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</si>
  <si>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</si>
  <si>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</si>
  <si>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</si>
  <si>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</si>
  <si>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</si>
  <si>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</si>
  <si>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</si>
  <si>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</si>
  <si>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</si>
  <si>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</si>
  <si>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</si>
  <si>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</si>
  <si>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</si>
  <si>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</si>
  <si>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</si>
  <si>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</si>
  <si>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</si>
  <si>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</si>
  <si>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</si>
  <si>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</si>
  <si>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</si>
  <si>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</si>
  <si>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</si>
  <si>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</si>
  <si>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</si>
  <si>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</si>
  <si>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</si>
  <si>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</si>
  <si>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</si>
  <si>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</si>
  <si>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</si>
  <si>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</si>
  <si>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</si>
  <si>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</si>
  <si>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</si>
  <si>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</si>
  <si>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</si>
  <si>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</si>
  <si>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</si>
  <si>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</si>
  <si>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</si>
  <si>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</si>
  <si>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</si>
  <si>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</si>
  <si>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</si>
  <si>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</si>
  <si>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</si>
  <si>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</si>
  <si>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</si>
  <si>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</si>
  <si>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</si>
  <si>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</si>
  <si>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</si>
  <si>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</si>
  <si>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</si>
  <si>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</si>
  <si>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</si>
  <si>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</si>
  <si>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</si>
  <si>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</si>
  <si>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</si>
  <si>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</si>
  <si>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</si>
  <si>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</si>
  <si>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</si>
  <si>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</si>
  <si>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</si>
  <si>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</si>
  <si>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</si>
  <si>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</si>
  <si>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</si>
  <si>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</si>
  <si>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</si>
  <si>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</si>
  <si>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</si>
  <si>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</si>
  <si>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</si>
  <si>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</si>
  <si>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</si>
  <si>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</si>
  <si>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</si>
  <si>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</si>
  <si>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</si>
  <si>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</si>
  <si>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</si>
  <si>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</si>
  <si>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</si>
  <si>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</si>
  <si>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</si>
  <si>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</si>
  <si>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</si>
  <si>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</si>
  <si>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</si>
  <si>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</si>
  <si>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</si>
  <si>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</si>
  <si>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</si>
  <si>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</si>
  <si>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</si>
  <si>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</si>
  <si>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</si>
  <si>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</si>
  <si>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</si>
  <si>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</si>
  <si>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</si>
  <si>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</si>
  <si>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</si>
  <si>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</si>
  <si>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</si>
  <si>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</si>
  <si>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</si>
  <si>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</si>
  <si>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</si>
  <si>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</si>
  <si>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</si>
  <si>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</si>
  <si>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</si>
  <si>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</si>
  <si>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</si>
  <si>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</si>
  <si>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</si>
  <si>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</si>
  <si>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</si>
  <si>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</si>
  <si>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</si>
  <si>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</si>
  <si>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</si>
  <si>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</si>
  <si>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</si>
  <si>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</si>
  <si>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</si>
  <si>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</si>
  <si>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</si>
  <si>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</si>
  <si>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</si>
  <si>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</si>
  <si>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</si>
  <si>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</si>
  <si>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</si>
  <si>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</si>
  <si>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</si>
  <si>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</si>
  <si>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</si>
  <si>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</si>
  <si>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</si>
  <si>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</si>
  <si>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</si>
  <si>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</si>
  <si>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</si>
  <si>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</si>
  <si>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</si>
  <si>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</si>
  <si>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</si>
  <si>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</si>
  <si>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</si>
  <si>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</si>
  <si>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</si>
  <si>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</si>
  <si>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</si>
  <si>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</si>
  <si>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</si>
  <si>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</si>
  <si>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</si>
  <si>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</si>
  <si>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</si>
  <si>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</si>
  <si>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</si>
  <si>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</si>
  <si>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</si>
  <si>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</si>
  <si>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</si>
  <si>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</si>
  <si>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</si>
  <si>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</si>
  <si>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</si>
  <si>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</si>
  <si>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</si>
  <si>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</si>
  <si>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</si>
  <si>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</si>
  <si>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</si>
  <si>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</si>
  <si>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</si>
  <si>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</si>
  <si>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</si>
  <si>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</si>
  <si>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</si>
  <si>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</si>
  <si>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</si>
  <si>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</si>
  <si>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</si>
  <si>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</si>
  <si>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</si>
  <si>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</si>
  <si>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</si>
  <si>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</si>
  <si>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</si>
  <si>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</si>
  <si>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</si>
  <si>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</si>
  <si>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</si>
  <si>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</si>
  <si>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</si>
  <si>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</si>
  <si>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</si>
  <si>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</si>
  <si>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</si>
  <si>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</si>
  <si>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</si>
  <si>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</si>
  <si>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</si>
  <si>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</si>
  <si>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</si>
  <si>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</si>
  <si>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</si>
  <si>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</si>
  <si>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</si>
  <si>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</si>
  <si>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</si>
  <si>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</si>
  <si>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</si>
  <si>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</si>
  <si>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</si>
  <si>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</si>
  <si>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</si>
  <si>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</si>
  <si>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</si>
  <si>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</si>
  <si>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</si>
  <si>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</si>
  <si>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</si>
  <si>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</si>
  <si>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</si>
  <si>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</si>
  <si>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</si>
  <si>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</si>
  <si>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</si>
  <si>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</si>
  <si>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</si>
  <si>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</si>
  <si>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</si>
  <si>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</si>
  <si>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</si>
  <si>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</si>
  <si>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</si>
  <si>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</si>
  <si>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</si>
  <si>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</si>
  <si>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</si>
  <si>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</si>
  <si>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</si>
  <si>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</si>
  <si>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</si>
  <si>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</si>
  <si>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</si>
  <si>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</si>
  <si>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</si>
  <si>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</si>
  <si>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</si>
  <si>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</si>
  <si>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</si>
  <si>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</si>
  <si>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</si>
  <si>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</si>
  <si>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</si>
  <si>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</si>
  <si>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</si>
  <si>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</si>
  <si>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</si>
  <si>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</si>
  <si>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</si>
  <si>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</si>
  <si>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</si>
  <si>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</si>
  <si>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</si>
  <si>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</si>
  <si>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</si>
  <si>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</si>
  <si>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</si>
  <si>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</si>
  <si>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</si>
  <si>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</si>
  <si>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</si>
  <si>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</si>
  <si>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</si>
  <si>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</si>
  <si>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</si>
  <si>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</si>
  <si>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</si>
  <si>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</si>
  <si>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</si>
  <si>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</si>
  <si>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</si>
  <si>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</si>
  <si>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</si>
  <si>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</si>
  <si>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</si>
  <si>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</si>
  <si>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</si>
  <si>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</si>
  <si>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</si>
  <si>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</si>
  <si>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</si>
  <si>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</si>
  <si>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</si>
  <si>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</si>
  <si>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</si>
  <si>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</si>
  <si>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</si>
  <si>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</si>
  <si>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</si>
  <si>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</si>
  <si>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</si>
  <si>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</si>
  <si>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</si>
  <si>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</si>
  <si>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</si>
  <si>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</si>
  <si>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</si>
  <si>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</si>
  <si>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</si>
  <si>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</si>
  <si>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</si>
  <si>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</si>
  <si>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</si>
  <si>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</si>
  <si>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</si>
  <si>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</si>
  <si>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</si>
  <si>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</si>
  <si>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</si>
  <si>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</si>
  <si>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</si>
  <si>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</si>
  <si>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</si>
  <si>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</si>
  <si>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</si>
  <si>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</si>
  <si>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</si>
  <si>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</si>
  <si>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</si>
  <si>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</si>
  <si>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</si>
  <si>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</si>
  <si>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</si>
  <si>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</si>
  <si>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</si>
  <si>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</si>
  <si>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</si>
  <si>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</si>
  <si>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</si>
  <si>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</si>
  <si>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</si>
  <si>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</si>
  <si>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</si>
  <si>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</si>
  <si>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</si>
  <si>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</si>
  <si>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</si>
  <si>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</si>
  <si>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</si>
  <si>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</si>
  <si>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</si>
  <si>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</si>
  <si>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</si>
  <si>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</si>
  <si>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</si>
  <si>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</si>
  <si>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</si>
  <si>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</si>
  <si>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</si>
  <si>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</si>
  <si>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</si>
  <si>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</si>
  <si>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</si>
  <si>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</si>
  <si>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</si>
  <si>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</si>
  <si>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</si>
  <si>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</si>
  <si>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</si>
  <si>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</si>
  <si>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</si>
  <si>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</si>
  <si>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</si>
  <si>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</si>
  <si>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</si>
  <si>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</si>
  <si>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</si>
  <si>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</si>
  <si>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</si>
  <si>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</si>
  <si>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</si>
  <si>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</si>
  <si>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</si>
  <si>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</si>
  <si>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</si>
  <si>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</si>
  <si>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</si>
  <si>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</si>
  <si>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</si>
  <si>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</si>
  <si>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</si>
  <si>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</si>
  <si>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</si>
  <si>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</si>
  <si>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</si>
  <si>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</si>
  <si>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</si>
  <si>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</si>
  <si>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</si>
  <si>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</si>
  <si>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</si>
  <si>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</si>
  <si>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</si>
  <si>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</si>
  <si>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</si>
  <si>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</si>
  <si>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</si>
  <si>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</si>
  <si>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</si>
  <si>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</si>
  <si>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</si>
  <si>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</si>
  <si>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</si>
  <si>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</si>
  <si>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</si>
  <si>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</si>
  <si>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</si>
  <si>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</si>
  <si>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</si>
  <si>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</si>
  <si>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</si>
  <si>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</si>
  <si>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</si>
  <si>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</si>
  <si>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</si>
  <si>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</si>
  <si>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</si>
  <si>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</si>
  <si>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</si>
  <si>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</si>
  <si>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</si>
  <si>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</si>
  <si>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</si>
  <si>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</si>
  <si>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</si>
  <si>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</si>
  <si>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</si>
  <si>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</si>
  <si>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</si>
  <si>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</si>
  <si>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</si>
  <si>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</si>
  <si>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</si>
  <si>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</si>
  <si>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</si>
  <si>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</si>
  <si>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</si>
  <si>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</si>
  <si>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</si>
  <si>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</si>
  <si>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</si>
  <si>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</si>
  <si>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</si>
  <si>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</si>
  <si>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</si>
  <si>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</si>
  <si>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</si>
  <si>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</si>
  <si>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</si>
  <si>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</si>
  <si>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</si>
  <si>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</si>
  <si>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</si>
  <si>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</si>
  <si>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</si>
  <si>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</si>
  <si>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</si>
  <si>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</si>
  <si>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</si>
  <si>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</si>
  <si>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</si>
  <si>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</si>
  <si>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</si>
  <si>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</si>
  <si>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</si>
  <si>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</si>
  <si>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</si>
  <si>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</si>
  <si>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</si>
  <si>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</si>
  <si>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</si>
  <si>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</si>
  <si>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</si>
  <si>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</si>
  <si>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</si>
  <si>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</si>
  <si>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</si>
  <si>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</si>
  <si>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</si>
  <si>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</si>
  <si>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</si>
  <si>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</si>
  <si>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10/19/2026: Đã comment</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</si>
  <si>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</si>
  <si>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</si>
  <si>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</si>
  <si>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</si>
  <si>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</si>
  <si>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</si>
  <si>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</si>
  <si>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</si>
  <si>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</si>
  <si>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</si>
  <si>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</si>
  <si>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</si>
  <si>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10/22/2026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</si>
</sst>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printerSettings" Target="../printerSettings/printerSettings1.bin"/><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printerSettings" Target="../printerSettings/printerSettings3.bin"/><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G127" activePane="bottomRight" state="frozen"/>
      <selection pane="topRight" activeCell="D1" sqref="D1"/>
      <selection pane="bottomLeft" activeCell="A7" sqref="A7"/>
      <selection pane="bottomRight" activeCell="O131" sqref="O131"/>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46317</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854</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819</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517</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398</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338</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435</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315</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366</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310</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147</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157</v>
      </c>
      <c r="K92" s="47">
        <f t="shared" ca="1" si="28"/>
        <v>136</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343</v>
      </c>
      <c r="K93" s="47">
        <f t="shared" ca="1" si="28"/>
        <v>322</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114</v>
      </c>
      <c r="K111" s="47">
        <f t="shared" ca="1" si="31"/>
        <v>93</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70</v>
      </c>
      <c r="K117" s="47">
        <f t="shared" ca="1" si="31"/>
        <v>49</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1063</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22</v>
      </c>
      <c r="K128" s="47">
        <f t="shared" ca="1" si="31"/>
        <v>1</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46323</v>
      </c>
      <c r="G129" s="31" t="s">
        <v>1028</v>
      </c>
      <c r="H129" s="21" t="s">
        <v>1029</v>
      </c>
      <c r="I129" s="138"/>
      <c r="J129" s="164">
        <f t="shared" ca="1" si="30"/>
        <v>15</v>
      </c>
      <c r="K129" s="47">
        <f t="shared" ca="1" si="31"/>
        <v>0</v>
      </c>
      <c r="L129" s="164"/>
      <c r="M129" s="40" t="s">
        <v>8</v>
      </c>
      <c r="N129" s="41"/>
      <c r="O129" s="40"/>
      <c r="P129" s="41"/>
      <c r="Q129" s="40"/>
      <c r="R129" s="155"/>
      <c r="S129" s="27">
        <v>46298</v>
      </c>
      <c r="T129" s="27">
        <v>46298</v>
      </c>
      <c r="U129" s="188">
        <v>46302</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46323</v>
      </c>
      <c r="G130" s="31" t="s">
        <v>1033</v>
      </c>
      <c r="H130" s="21" t="s">
        <v>1034</v>
      </c>
      <c r="I130" s="138"/>
      <c r="J130" s="164">
        <f t="shared" ca="1" si="30"/>
        <v>15</v>
      </c>
      <c r="K130" s="47">
        <f t="shared" ca="1" si="31"/>
        <v>0</v>
      </c>
      <c r="L130" s="164"/>
      <c r="M130" s="40" t="s">
        <v>8</v>
      </c>
      <c r="N130" s="41"/>
      <c r="O130" s="40"/>
      <c r="P130" s="41"/>
      <c r="Q130" s="40"/>
      <c r="R130" s="155"/>
      <c r="S130" s="27">
        <v>46300</v>
      </c>
      <c r="T130" s="27">
        <v>46300</v>
      </c>
      <c r="U130" s="188">
        <v>46302</v>
      </c>
      <c r="V130" s="29"/>
      <c r="W130" s="188"/>
      <c r="X130" s="235"/>
      <c r="Y130" s="230"/>
      <c r="Z130" s="227"/>
      <c r="AA130" s="29" t="str">
        <f t="shared" si="68"/>
        <v/>
      </c>
      <c r="AB130" s="229"/>
      <c r="AC130" s="229"/>
      <c r="AD130" s="337"/>
      <c r="AE130" s="92" t="s">
        <v>1097</v>
      </c>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1071</v>
      </c>
      <c r="AG131" s="238" t="str">
        <f t="shared" si="75"/>
        <v>LTIA-5.11-LTICT- 72120 -RFA-MSS-0004</v>
      </c>
      <c r="AH131" s="243" t="b" cm="1">
        <f t="array" ref="AH131">$E131=_xlfn.XLOOKUP(
AG131,
_xlfn._xlws.FILTER($AG$7:$AG$4579,$L$7:$L$4579&lt;&gt;"X"),
_xlfn._xlws.FILTER($E$7:$E$4579,$L$7:$L$4579&lt;&gt;"X"),
"",
0,
-1
)</f>
        <v>1</v>
      </c>
      <c r="AI131" s="75" t="str">
        <f t="shared" si="74"/>
        <v>YES</v>
      </c>
    </row>
    <row r="132" spans="1:35" s="9" customFormat="1" ht="47.25">
      <c r="A132" s="33">
        <f t="shared" si="19"/>
        <v>126</v>
      </c>
      <c r="B132" s="330" t="str">
        <f t="shared" ref="B132" si="80">MID(E132, FIND("-", E132) + 1, 4)</f>
        <v>5.11</v>
      </c>
      <c r="C132" s="164" t="s">
        <v>633</v>
      </c>
      <c r="D132" s="137" t="s">
        <v>32</v>
      </c>
      <c r="E132" s="25" t="s">
        <v>1039</v>
      </c>
      <c r="F132" s="174">
        <f t="shared" si="29"/>
        <v>46323</v>
      </c>
      <c r="G132" s="31" t="s">
        <v>1040</v>
      </c>
      <c r="H132" s="21" t="s">
        <v>1041</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1098</v>
      </c>
      <c r="AG132" s="238" t="str">
        <f t="shared" si="75"/>
        <v>LTIA-5.11-LTICT-70100-RFA-MSS-0007</v>
      </c>
      <c r="AH132" s="243" t="b" cm="1">
        <f t="array" ref="AH132">$E132=_xlfn.XLOOKUP(
AG132,
_xlfn._xlws.FILTER($AG$7:$AG$4579,$L$7:$L$4579&lt;&gt;"X"),
_xlfn._xlws.FILTER($E$7:$E$4579,$L$7:$L$4579&lt;&gt;"X"),
"",
0,
-1
)</f>
        <v>1</v>
      </c>
      <c r="AI132" s="75" t="str">
        <f t="shared" si="74"/>
        <v>YES</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16</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t="s">
        <v>1097</v>
      </c>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16</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t="s">
        <v>1097</v>
      </c>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1069</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1072</v>
      </c>
      <c r="F136" s="174">
        <f t="shared" si="29"/>
        <v>46330</v>
      </c>
      <c r="G136" s="31" t="s">
        <v>1073</v>
      </c>
      <c r="H136" s="21" t="s">
        <v>1074</v>
      </c>
      <c r="I136" s="138"/>
      <c r="J136" s="164">
        <f t="shared" ca="1" si="30"/>
        <v>8</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1075</v>
      </c>
      <c r="F137" s="174">
        <f t="shared" si="29"/>
        <v>46330</v>
      </c>
      <c r="G137" s="31" t="s">
        <v>1076</v>
      </c>
      <c r="H137" s="21" t="s">
        <v>1077</v>
      </c>
      <c r="I137" s="138"/>
      <c r="J137" s="164">
        <f t="shared" ca="1" si="30"/>
        <v>8</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1081</v>
      </c>
      <c r="D138" s="137" t="s">
        <v>32</v>
      </c>
      <c r="E138" s="25" t="s">
        <v>1078</v>
      </c>
      <c r="F138" s="174">
        <f t="shared" si="29"/>
        <v>46330</v>
      </c>
      <c r="G138" s="31" t="s">
        <v>1079</v>
      </c>
      <c r="H138" s="21" t="s">
        <v>1080</v>
      </c>
      <c r="I138" s="138"/>
      <c r="J138" s="164">
        <f t="shared" ca="1" si="30"/>
        <v>8</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1085</v>
      </c>
      <c r="D139" s="137" t="s">
        <v>32</v>
      </c>
      <c r="E139" s="25" t="s">
        <v>1082</v>
      </c>
      <c r="F139" s="174">
        <f t="shared" si="29"/>
        <v>46330</v>
      </c>
      <c r="G139" s="31" t="s">
        <v>1083</v>
      </c>
      <c r="H139" s="21" t="s">
        <v>1084</v>
      </c>
      <c r="I139" s="138"/>
      <c r="J139" s="164">
        <f t="shared" ca="1" si="30"/>
        <v>8</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1086</v>
      </c>
      <c r="F140" s="174">
        <f t="shared" si="29"/>
        <v>46331</v>
      </c>
      <c r="G140" s="31" t="s">
        <v>1087</v>
      </c>
      <c r="H140" s="21" t="s">
        <v>1088</v>
      </c>
      <c r="I140" s="138"/>
      <c r="J140" s="164">
        <f t="shared" ca="1" si="30"/>
        <v>7</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1092</v>
      </c>
      <c r="F141" s="174">
        <f t="shared" si="29"/>
        <v>46333</v>
      </c>
      <c r="G141" s="31" t="s">
        <v>1093</v>
      </c>
      <c r="H141" s="21" t="s">
        <v>1094</v>
      </c>
      <c r="I141" s="138"/>
      <c r="J141" s="164">
        <f t="shared" ca="1" si="30"/>
        <v>5</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376" t="s">
        <v>21</v>
      </c>
      <c r="E145" s="376"/>
      <c r="F145" s="377"/>
      <c r="G145" s="46"/>
      <c r="H145" s="68"/>
      <c r="I145" s="356" t="s">
        <v>14</v>
      </c>
      <c r="J145" s="357"/>
      <c r="K145" s="357"/>
      <c r="L145" s="357"/>
      <c r="M145" s="357"/>
      <c r="N145" s="358"/>
      <c r="O145" s="362" t="s">
        <v>7</v>
      </c>
      <c r="P145" s="363"/>
      <c r="Q145" s="362" t="s">
        <v>109</v>
      </c>
      <c r="R145" s="363"/>
      <c r="S145" s="1"/>
      <c r="T145" s="1"/>
      <c r="U145" s="140"/>
      <c r="V145" s="1"/>
      <c r="X145" s="11"/>
      <c r="Y145" s="11"/>
      <c r="Z145" s="11"/>
      <c r="AA145" s="11"/>
      <c r="AB145" s="11"/>
      <c r="AC145" s="11"/>
      <c r="AD145" s="11"/>
      <c r="AG145" s="11"/>
      <c r="AH145" s="11"/>
      <c r="AI145" s="11"/>
    </row>
    <row r="146" spans="1:35" ht="16.5" thickBot="1">
      <c r="A146" s="128"/>
      <c r="B146" s="128"/>
      <c r="C146" s="167" t="s">
        <v>109</v>
      </c>
      <c r="D146" s="354" t="s">
        <v>111</v>
      </c>
      <c r="E146" s="354"/>
      <c r="F146" s="355"/>
      <c r="G146" s="46"/>
      <c r="H146" s="46"/>
      <c r="I146" s="356" t="s">
        <v>19</v>
      </c>
      <c r="J146" s="357"/>
      <c r="K146" s="357"/>
      <c r="L146" s="358"/>
      <c r="M146" s="105">
        <f t="shared" ref="M146:M151" ca="1" si="89">N146/$N$146</f>
        <v>1</v>
      </c>
      <c r="N146" s="106">
        <f ca="1">SUM($N$147:$N$151)</f>
        <v>140</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354" t="s">
        <v>23</v>
      </c>
      <c r="E147" s="354"/>
      <c r="F147" s="355"/>
      <c r="G147" s="70"/>
      <c r="H147" s="6"/>
      <c r="I147" s="379" t="s">
        <v>66</v>
      </c>
      <c r="J147" s="380"/>
      <c r="K147" s="380"/>
      <c r="L147" s="381"/>
      <c r="M147" s="107">
        <f t="shared" ca="1" si="89"/>
        <v>0.49285714285714288</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354" t="s">
        <v>25</v>
      </c>
      <c r="E148" s="354"/>
      <c r="F148" s="355"/>
      <c r="H148" s="6"/>
      <c r="I148" s="382" t="s">
        <v>67</v>
      </c>
      <c r="J148" s="383"/>
      <c r="K148" s="383"/>
      <c r="L148" s="384"/>
      <c r="M148" s="109">
        <f t="shared" ca="1" si="89"/>
        <v>0.1</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354" t="s">
        <v>27</v>
      </c>
      <c r="E149" s="354"/>
      <c r="F149" s="355"/>
      <c r="G149" s="71"/>
      <c r="H149" s="6"/>
      <c r="I149" s="385" t="s">
        <v>68</v>
      </c>
      <c r="J149" s="386"/>
      <c r="K149" s="386"/>
      <c r="L149" s="387"/>
      <c r="M149" s="111">
        <f t="shared" ca="1" si="89"/>
        <v>0.20714285714285716</v>
      </c>
      <c r="N149" s="112">
        <f>COUNTIF($I$7:$I$143,"C")</f>
        <v>29</v>
      </c>
      <c r="O149" s="98">
        <f ca="1">COUNTIFS($J$7:$J$143,"&lt;=21",$I$7:$I$143,"C")</f>
        <v>15</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354" t="s">
        <v>29</v>
      </c>
      <c r="E150" s="354"/>
      <c r="F150" s="355"/>
      <c r="G150" s="72"/>
      <c r="I150" s="388" t="s">
        <v>70</v>
      </c>
      <c r="J150" s="389"/>
      <c r="K150" s="389"/>
      <c r="L150" s="390"/>
      <c r="M150" s="114">
        <f t="shared" ca="1" si="89"/>
        <v>9.285714285714286E-2</v>
      </c>
      <c r="N150" s="115">
        <f ca="1">SUM(O150:P150)</f>
        <v>13</v>
      </c>
      <c r="O150" s="98">
        <f ca="1">COUNTIFS($J$7:$J$143,"&lt;=21",$V$7:$V$143,"",$L$7:$L$143,"&lt;&gt;X")</f>
        <v>10</v>
      </c>
      <c r="P150" s="50">
        <f ca="1">COUNTIFS($J$7:$J$143,"&gt;21",$V$7:$V$143,"",$L$7:$L$143,"&lt;&gt;X")</f>
        <v>3</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354" t="s">
        <v>31</v>
      </c>
      <c r="E151" s="354"/>
      <c r="F151" s="355"/>
      <c r="H151" s="6"/>
      <c r="I151" s="391" t="s">
        <v>71</v>
      </c>
      <c r="J151" s="392"/>
      <c r="K151" s="392"/>
      <c r="L151" s="393"/>
      <c r="M151" s="113">
        <f t="shared" ca="1" si="89"/>
        <v>0.10714285714285714</v>
      </c>
      <c r="N151" s="97">
        <f>COUNTIFS($L$7:$L$143,"X")</f>
        <v>15</v>
      </c>
      <c r="O151" s="99"/>
      <c r="P151" s="51"/>
      <c r="Q151" s="221"/>
      <c r="R151" s="222"/>
    </row>
    <row r="152" spans="1:35">
      <c r="A152" s="128"/>
      <c r="B152" s="128"/>
      <c r="C152" s="168" t="s">
        <v>32</v>
      </c>
      <c r="D152" s="354" t="s">
        <v>33</v>
      </c>
      <c r="E152" s="354"/>
      <c r="F152" s="355"/>
      <c r="H152" s="1" t="s">
        <v>11</v>
      </c>
    </row>
    <row r="153" spans="1:35">
      <c r="C153" s="167" t="s">
        <v>34</v>
      </c>
      <c r="D153" s="354" t="s">
        <v>35</v>
      </c>
      <c r="E153" s="354"/>
      <c r="F153" s="355"/>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94" t="s">
        <v>75</v>
      </c>
      <c r="D154" s="350" t="s">
        <v>76</v>
      </c>
      <c r="E154" s="350"/>
      <c r="F154" s="351"/>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95"/>
      <c r="D155" s="352"/>
      <c r="E155" s="352"/>
      <c r="F155" s="353"/>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8" t="s">
        <v>41</v>
      </c>
      <c r="D157" s="378"/>
      <c r="E157" s="378"/>
      <c r="F157" s="378"/>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396" t="s">
        <v>91</v>
      </c>
      <c r="E158" s="396"/>
      <c r="F158" s="396"/>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396" t="s">
        <v>92</v>
      </c>
      <c r="E159" s="396"/>
      <c r="F159" s="396"/>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396" t="s">
        <v>93</v>
      </c>
      <c r="E160" s="396"/>
      <c r="F160" s="396"/>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02" t="s">
        <v>96</v>
      </c>
      <c r="D162" s="403"/>
      <c r="E162" s="403"/>
      <c r="F162" s="404"/>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05" t="s">
        <v>97</v>
      </c>
      <c r="E163" s="405"/>
      <c r="F163" s="406"/>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397" t="s">
        <v>98</v>
      </c>
      <c r="E164" s="397"/>
      <c r="F164" s="398"/>
    </row>
    <row r="165" spans="3:35">
      <c r="C165" s="213" t="s">
        <v>83</v>
      </c>
      <c r="D165" s="397" t="s">
        <v>99</v>
      </c>
      <c r="E165" s="397"/>
      <c r="F165" s="398"/>
    </row>
    <row r="166" spans="3:35">
      <c r="C166" s="214" t="s">
        <v>84</v>
      </c>
      <c r="D166" s="397" t="s">
        <v>100</v>
      </c>
      <c r="E166" s="397"/>
      <c r="F166" s="398"/>
    </row>
    <row r="167" spans="3:35">
      <c r="C167" s="214" t="s">
        <v>85</v>
      </c>
      <c r="D167" s="397" t="s">
        <v>101</v>
      </c>
      <c r="E167" s="397"/>
      <c r="F167" s="398"/>
    </row>
    <row r="168" spans="3:35" ht="18.75">
      <c r="C168" s="214" t="s">
        <v>86</v>
      </c>
      <c r="D168" s="397" t="s">
        <v>102</v>
      </c>
      <c r="E168" s="397"/>
      <c r="F168" s="398"/>
    </row>
    <row r="169" spans="3:35" ht="18.75">
      <c r="C169" s="213" t="s">
        <v>87</v>
      </c>
      <c r="D169" s="397" t="s">
        <v>103</v>
      </c>
      <c r="E169" s="397"/>
      <c r="F169" s="398"/>
    </row>
    <row r="170" spans="3:35">
      <c r="C170" s="215" t="s">
        <v>88</v>
      </c>
      <c r="D170" s="399" t="s">
        <v>104</v>
      </c>
      <c r="E170" s="400"/>
      <c r="F170" s="401"/>
    </row>
    <row r="171" spans="3:35" ht="18.75">
      <c r="C171" s="215" t="s">
        <v>89</v>
      </c>
      <c r="D171" s="397" t="s">
        <v>105</v>
      </c>
      <c r="E171" s="397"/>
      <c r="F171" s="398"/>
    </row>
    <row r="172" spans="3:35">
      <c r="C172" s="213" t="s">
        <v>90</v>
      </c>
      <c r="D172" s="397" t="s">
        <v>106</v>
      </c>
      <c r="E172" s="397"/>
      <c r="F172" s="398"/>
    </row>
    <row r="173" spans="3:35" ht="16.5" thickBot="1">
      <c r="C173" s="216" t="s">
        <v>94</v>
      </c>
      <c r="D173" s="373" t="s">
        <v>107</v>
      </c>
      <c r="E173" s="374"/>
      <c r="F173" s="375"/>
    </row>
  </sheetData>
  <autoFilter ref="A6:AE143"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s>
  <pageMargins left="0.25" right="0.17" top="0.5" bottom="0.25" header="0.3" footer="0.3"/>
  <pageSetup paperSize="9" scale="28" orientation="landscape" horizontalDpi="300" verticalDpi="300" r:id="rId508"/>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8"/>
  <sheetViews>
    <sheetView tabSelected="1" zoomScale="85" zoomScaleNormal="85" zoomScaleSheetLayoutView="85" workbookViewId="0">
      <pane xSplit="5" ySplit="6" topLeftCell="K38" activePane="bottomRight" state="frozen"/>
      <selection pane="topRight" activeCell="D1" sqref="D1"/>
      <selection pane="bottomLeft" activeCell="A7" sqref="A7"/>
      <selection pane="bottomRight" activeCell="T43" sqref="T43"/>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46317</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5" si="0">A6+1</f>
        <v>1</v>
      </c>
      <c r="B7" s="33" t="str">
        <f t="shared" ref="B7:B33" si="1">MID(D7, FIND("-", D7) + 1, 4)</f>
        <v>5.10</v>
      </c>
      <c r="C7" s="164" t="s">
        <v>522</v>
      </c>
      <c r="D7" s="25" t="s">
        <v>519</v>
      </c>
      <c r="E7" s="174">
        <f t="shared" ref="E7:E45"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_xlfn._xlws.FILTER($AG$7:$AG$4874,$K$7:$K$4874&lt;&gt;"X"),
_xlfn._xlws.FILTER($D$7:$D$4874,$K$7:$K$4874&lt;&gt;"X"),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5"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7" si="5">IF(AND($Q8="",$H8=""),"",IF(OR($Q8="B",$Q8="C"),IF($Y8&lt;&gt;"",$Y8+7,IF($X8&lt;&gt;"",$X8+8,"")),IF($Q8="",IF(OR($H8="B",$H8="C"),IF($V8&lt;&gt;"",$V8+7,IF($U8&lt;&gt;"",$U8+8,""))),"")))</f>
        <v>45681</v>
      </c>
      <c r="AA8" s="229">
        <v>45850</v>
      </c>
      <c r="AB8" s="229" t="str">
        <f t="shared" ref="AB8:AB45" si="6">IF(OR($Q8="B",$Q8="C"),IF($Z8="","",IF($AA8="",IF($Z8&gt;=$I$1,"In progress","Not submit yet"),IF($Z8&gt;=$AA8,"Timely Response","Late Resubmission"))),"")</f>
        <v>Late Resubmission</v>
      </c>
      <c r="AC8" s="183">
        <f t="shared" ref="AC8:AC33" si="7">IF(AB8="Late Resubmission",IF(AA8="","",AA8-Z8),IF(AB8="Not submit yet",IF(Z8="","",$I$1-Z8),""))</f>
        <v>169</v>
      </c>
      <c r="AD8" s="92"/>
      <c r="AG8" s="238" t="str">
        <f t="shared" ref="AG8:AG45" si="8">IF(AND(RIGHT($D8,1)&gt;="A",RIGHT($D8,1)&lt;="Z"),LEFT($D8,LEN($D8)-1),$D8)</f>
        <v>LTIA-5.10-VIETUR-80000-RFA-SDS-0122</v>
      </c>
      <c r="AH8" s="243" t="b" cm="1">
        <f t="array" ref="AH8">$D8=_xlfn.XLOOKUP(
AG8,
_xlfn._xlws.FILTER($AG$7:$AG$4874,$K$7:$K$4874&lt;&gt;"X"),
_xlfn._xlws.FILTER($D$7:$D$4874,$K$7:$K$4874&lt;&gt;"X"),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_xlfn._xlws.FILTER($AG$7:$AG$4874,$K$7:$K$4874&lt;&gt;"X"),
_xlfn._xlws.FILTER($D$7:$D$4874,$K$7:$K$4874&lt;&gt;"X"),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_xlfn._xlws.FILTER($AG$7:$AG$4874,$K$7:$K$4874&lt;&gt;"X"),
_xlfn._xlws.FILTER($D$7:$D$4874,$K$7:$K$4874&lt;&gt;"X"),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_xlfn._xlws.FILTER($AG$7:$AG$4874,$K$7:$K$4874&lt;&gt;"X"),
_xlfn._xlws.FILTER($D$7:$D$4874,$K$7:$K$4874&lt;&gt;"X"),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554</v>
      </c>
      <c r="AD12" s="92"/>
      <c r="AG12" s="238" t="str">
        <f t="shared" si="8"/>
        <v>LTIA-5.10-VIETUR-80000-RFA-SDS-0214</v>
      </c>
      <c r="AH12" s="243" t="b" cm="1">
        <f t="array" ref="AH12">$D12=_xlfn.XLOOKUP(
AG12,
_xlfn._xlws.FILTER($AG$7:$AG$4874,$K$7:$K$4874&lt;&gt;"X"),
_xlfn._xlws.FILTER($D$7:$D$4874,$K$7:$K$4874&lt;&gt;"X"),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_xlfn._xlws.FILTER($AG$7:$AG$4874,$K$7:$K$4874&lt;&gt;"X"),
_xlfn._xlws.FILTER($D$7:$D$4874,$K$7:$K$4874&lt;&gt;"X"),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5"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464</v>
      </c>
      <c r="AD14" s="92"/>
      <c r="AG14" s="238" t="str">
        <f t="shared" si="8"/>
        <v>LTIA-5.10-VIETUR-80000-RFA-SDS-0297</v>
      </c>
      <c r="AH14" s="243" t="b" cm="1">
        <f t="array" ref="AH14">$D14=_xlfn.XLOOKUP(
AG14,
_xlfn._xlws.FILTER($AG$7:$AG$4874,$K$7:$K$4874&lt;&gt;"X"),
_xlfn._xlws.FILTER($D$7:$D$4874,$K$7:$K$4874&lt;&gt;"X"),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_xlfn._xlws.FILTER($AG$7:$AG$4874,$K$7:$K$4874&lt;&gt;"X"),
_xlfn._xlws.FILTER($D$7:$D$4874,$K$7:$K$4874&lt;&gt;"X"),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353</v>
      </c>
      <c r="AD16" s="92"/>
      <c r="AG16" s="238" t="str">
        <f t="shared" si="8"/>
        <v>LTIA-5.10-VIETUR-80000-RFA-SDS-0330</v>
      </c>
      <c r="AH16" s="243" t="b" cm="1">
        <f t="array" ref="AH16">$D16=_xlfn.XLOOKUP(
AG16,
_xlfn._xlws.FILTER($AG$7:$AG$4874,$K$7:$K$4874&lt;&gt;"X"),
_xlfn._xlws.FILTER($D$7:$D$4874,$K$7:$K$4874&lt;&gt;"X"),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_xlfn._xlws.FILTER($AG$7:$AG$4874,$K$7:$K$4874&lt;&gt;"X"),
_xlfn._xlws.FILTER($D$7:$D$4874,$K$7:$K$4874&lt;&gt;"X"),
"",
0,
-1
)</f>
        <v>0</v>
      </c>
      <c r="AI17" s="75" t="str">
        <f t="shared" si="9"/>
        <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_xlfn._xlws.FILTER($AG$7:$AG$4874,$K$7:$K$4874&lt;&gt;"X"),
_xlfn._xlws.FILTER($D$7:$D$4874,$K$7:$K$4874&lt;&gt;"X"),
"",
0,
-1
)</f>
        <v>0</v>
      </c>
      <c r="AI18" s="75" t="str">
        <f t="shared" si="9"/>
        <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_xlfn._xlws.FILTER($AG$7:$AG$4874,$K$7:$K$4874&lt;&gt;"X"),
_xlfn._xlws.FILTER($D$7:$D$4874,$K$7:$K$4874&lt;&gt;"X"),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_xlfn._xlws.FILTER($AG$7:$AG$4874,$K$7:$K$4874&lt;&gt;"X"),
_xlfn._xlws.FILTER($D$7:$D$4874,$K$7:$K$4874&lt;&gt;"X"),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_xlfn._xlws.FILTER($AG$7:$AG$4874,$K$7:$K$4874&lt;&gt;"X"),
_xlfn._xlws.FILTER($D$7:$D$4874,$K$7:$K$4874&lt;&gt;"X"),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_xlfn._xlws.FILTER($AG$7:$AG$4874,$K$7:$K$4874&lt;&gt;"X"),
_xlfn._xlws.FILTER($D$7:$D$4874,$K$7:$K$4874&lt;&gt;"X"),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353</v>
      </c>
      <c r="AD23" s="92"/>
      <c r="AG23" s="238" t="str">
        <f t="shared" si="8"/>
        <v>LTIA-5.10-VIETUR-80000-RFA-SDS-0350</v>
      </c>
      <c r="AH23" s="243" t="b" cm="1">
        <f t="array" ref="AH23">$D23=_xlfn.XLOOKUP(
AG23,
_xlfn._xlws.FILTER($AG$7:$AG$4874,$K$7:$K$4874&lt;&gt;"X"),
_xlfn._xlws.FILTER($D$7:$D$4874,$K$7:$K$4874&lt;&gt;"X"),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353</v>
      </c>
      <c r="AD24" s="92"/>
      <c r="AG24" s="238" t="str">
        <f t="shared" si="8"/>
        <v>LTIA-5.10-VIETUR-80000-RFA-SDS-0140</v>
      </c>
      <c r="AH24" s="243" t="b" cm="1">
        <f t="array" ref="AH24">$D24=_xlfn.XLOOKUP(
AG24,
_xlfn._xlws.FILTER($AG$7:$AG$4874,$K$7:$K$4874&lt;&gt;"X"),
_xlfn._xlws.FILTER($D$7:$D$4874,$K$7:$K$4874&lt;&gt;"X"),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887</v>
      </c>
      <c r="AG25" s="238" t="str">
        <f t="shared" si="8"/>
        <v>LTIA-5.10-VIETUR-80000-RFA-SDS-0222</v>
      </c>
      <c r="AH25" s="243" t="b" cm="1">
        <f t="array" ref="AH25">$D25=_xlfn.XLOOKUP(
AG25,
_xlfn._xlws.FILTER($AG$7:$AG$4874,$K$7:$K$4874&lt;&gt;"X"),
_xlfn._xlws.FILTER($D$7:$D$4874,$K$7:$K$4874&lt;&gt;"X"),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331</v>
      </c>
      <c r="AD26" s="92"/>
      <c r="AG26" s="238" t="str">
        <f t="shared" si="8"/>
        <v>LTIA-5.10-VIETUR-80000-RFA-SDS-0371</v>
      </c>
      <c r="AH26" s="243" t="b" cm="1">
        <f t="array" ref="AH26">$D26=_xlfn.XLOOKUP(
AG26,
_xlfn._xlws.FILTER($AG$7:$AG$4874,$K$7:$K$4874&lt;&gt;"X"),
_xlfn._xlws.FILTER($D$7:$D$4874,$K$7:$K$4874&lt;&gt;"X"),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_xlfn._xlws.FILTER($AG$7:$AG$4874,$K$7:$K$4874&lt;&gt;"X"),
_xlfn._xlws.FILTER($D$7:$D$4874,$K$7:$K$4874&lt;&gt;"X"),
"",
0,
-1
)</f>
        <v>0</v>
      </c>
      <c r="AI27" s="75" t="str">
        <f t="shared" si="9"/>
        <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_xlfn._xlws.FILTER($AG$7:$AG$4874,$K$7:$K$4874&lt;&gt;"X"),
_xlfn._xlws.FILTER($D$7:$D$4874,$K$7:$K$4874&lt;&gt;"X"),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_xlfn._xlws.FILTER($AG$7:$AG$4874,$K$7:$K$4874&lt;&gt;"X"),
_xlfn._xlws.FILTER($D$7:$D$4874,$K$7:$K$4874&lt;&gt;"X"),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311</v>
      </c>
      <c r="AD30" s="92" t="s">
        <v>593</v>
      </c>
      <c r="AG30" s="238" t="str">
        <f t="shared" si="8"/>
        <v>LTIA-5.10-VIETUR-80000-RFA-SDS-0160</v>
      </c>
      <c r="AH30" s="243" t="b" cm="1">
        <f t="array" ref="AH30">$D30=_xlfn.XLOOKUP(
AG30,
_xlfn._xlws.FILTER($AG$7:$AG$4874,$K$7:$K$4874&lt;&gt;"X"),
_xlfn._xlws.FILTER($D$7:$D$4874,$K$7:$K$4874&lt;&gt;"X"),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176</v>
      </c>
      <c r="J31" s="47">
        <f t="shared" ca="1" si="4"/>
        <v>155</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_xlfn._xlws.FILTER($AG$7:$AG$4874,$K$7:$K$4874&lt;&gt;"X"),
_xlfn._xlws.FILTER($D$7:$D$4874,$K$7:$K$4874&lt;&gt;"X"),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_xlfn._xlws.FILTER($AG$7:$AG$4874,$K$7:$K$4874&lt;&gt;"X"),
_xlfn._xlws.FILTER($D$7:$D$4874,$K$7:$K$4874&lt;&gt;"X"),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_xlfn._xlws.FILTER($AG$7:$AG$4874,$K$7:$K$4874&lt;&gt;"X"),
_xlfn._xlws.FILTER($D$7:$D$4874,$K$7:$K$4874&lt;&gt;"X"),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_xlfn._xlws.FILTER($AG$7:$AG$4874,$K$7:$K$4874&lt;&gt;"X"),
_xlfn._xlws.FILTER($D$7:$D$4874,$K$7:$K$4874&lt;&gt;"X"),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13</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1067</v>
      </c>
      <c r="AG35" s="238" t="str">
        <f t="shared" si="8"/>
        <v>LTIA-5.10-VIETUR-80000-RFA-SDS-0417</v>
      </c>
      <c r="AH35" s="243" t="b" cm="1">
        <f t="array" ref="AH35">$D35=_xlfn.XLOOKUP(
AG35,
_xlfn._xlws.FILTER($AG$7:$AG$4874,$K$7:$K$4874&lt;&gt;"X"),
_xlfn._xlws.FILTER($D$7:$D$4874,$K$7:$K$4874&lt;&gt;"X"),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_xlfn._xlws.FILTER($AG$7:$AG$4874,$K$7:$K$4874&lt;&gt;"X"),
_xlfn._xlws.FILTER($D$7:$D$4874,$K$7:$K$4874&lt;&gt;"X"),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36</v>
      </c>
      <c r="J37" s="47">
        <f t="shared" ca="1" si="4"/>
        <v>15</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_xlfn._xlws.FILTER($AG$7:$AG$4874,$K$7:$K$4874&lt;&gt;"X"),
_xlfn._xlws.FILTER($D$7:$D$4874,$K$7:$K$4874&lt;&gt;"X"),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_xlfn._xlws.FILTER($AG$7:$AG$4874,$K$7:$K$4874&lt;&gt;"X"),
_xlfn._xlws.FILTER($D$7:$D$4874,$K$7:$K$4874&lt;&gt;"X"),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13</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1067</v>
      </c>
      <c r="AG39" s="238" t="str">
        <f t="shared" si="8"/>
        <v xml:space="preserve">  LTIA-5.10-VIETUR-80000-RFA-SDS-0394</v>
      </c>
      <c r="AH39" s="243" t="b" cm="1">
        <f t="array" ref="AH39">$D39=_xlfn.XLOOKUP(
AG39,
_xlfn._xlws.FILTER($AG$7:$AG$4874,$K$7:$K$4874&lt;&gt;"X"),
_xlfn._xlws.FILTER($D$7:$D$4874,$K$7:$K$4874&lt;&gt;"X"),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8</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_xlfn._xlws.FILTER($AG$7:$AG$4874,$K$7:$K$4874&lt;&gt;"X"),
_xlfn._xlws.FILTER($D$7:$D$4874,$K$7:$K$4874&lt;&gt;"X"),
"",
0,
-1
)</f>
        <v>1</v>
      </c>
      <c r="AI40" s="75" t="str">
        <f>IF(AND($AH40,OR($Q40="B",$Q40="C")),"YES","")</f>
        <v/>
      </c>
    </row>
    <row r="41" spans="1:35" s="9" customFormat="1" ht="63">
      <c r="A41" s="33">
        <f t="shared" si="0"/>
        <v>35</v>
      </c>
      <c r="B41" s="33" t="str">
        <f t="shared" ref="B41" si="23">MID(D41, FIND("-", D41) + 1, 4)</f>
        <v>5.10</v>
      </c>
      <c r="C41" s="164"/>
      <c r="D41" s="25" t="s">
        <v>1095</v>
      </c>
      <c r="E41" s="174">
        <f t="shared" si="2"/>
        <v>46332</v>
      </c>
      <c r="F41" s="31" t="s">
        <v>1096</v>
      </c>
      <c r="G41" s="21" t="s">
        <v>547</v>
      </c>
      <c r="H41" s="138"/>
      <c r="I41" s="164">
        <f t="shared" ca="1" si="10"/>
        <v>6</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4">IF(AB41="Late Resubmission",IF(AA41="","",AA41-Z41),IF(AB41="Not submit yet",IF(Z41="","",$I$1-Z41),""))</f>
        <v/>
      </c>
      <c r="AD41" s="92"/>
      <c r="AG41" s="238" t="str">
        <f t="shared" si="8"/>
        <v>LTIA-5.10-VIETUR-80000-RFA-SDS-0222</v>
      </c>
      <c r="AH41" s="243" t="b" cm="1">
        <f t="array" ref="AH41">$D41=_xlfn.XLOOKUP(
AG41,
_xlfn._xlws.FILTER($AG$7:$AG$4874,$K$7:$K$4874&lt;&gt;"X"),
_xlfn._xlws.FILTER($D$7:$D$4874,$K$7:$K$4874&lt;&gt;"X"),
"",
0,
-1
)</f>
        <v>1</v>
      </c>
      <c r="AI41" s="75" t="str">
        <f>IF(AND($AH41,OR($Q41="B",$Q41="C")),"YES","")</f>
        <v/>
      </c>
    </row>
    <row r="42" spans="1:35" s="9" customFormat="1" ht="47.25">
      <c r="A42" s="33">
        <f t="shared" si="0"/>
        <v>36</v>
      </c>
      <c r="B42" s="33" t="str">
        <f t="shared" ref="B42" si="25">MID(D42, FIND("-", D42) + 1, 4)</f>
        <v>5.10</v>
      </c>
      <c r="C42" s="164"/>
      <c r="D42" s="25" t="s">
        <v>1101</v>
      </c>
      <c r="E42" s="174">
        <f t="shared" si="2"/>
        <v>46338</v>
      </c>
      <c r="F42" s="31" t="s">
        <v>1102</v>
      </c>
      <c r="G42" s="21" t="s">
        <v>538</v>
      </c>
      <c r="H42" s="138"/>
      <c r="I42" s="164">
        <f t="shared" ca="1" si="10"/>
        <v>0</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6">IF(AB42="Late Resubmission",IF(AA42="","",AA42-Z42),IF(AB42="Not submit yet",IF(Z42="","",$I$1-Z42),""))</f>
        <v/>
      </c>
      <c r="AD42" s="92" t="s">
        <v>1110</v>
      </c>
      <c r="AG42" s="238" t="str">
        <f t="shared" si="8"/>
        <v>LTIA-5.10-VIETUR-80000-RFA-SDS-0197</v>
      </c>
      <c r="AH42" s="243" t="b" cm="1">
        <f t="array" ref="AH42">$D42=_xlfn.XLOOKUP(
AG42,
_xlfn._xlws.FILTER($AG$7:$AG$4874,$K$7:$K$4874&lt;&gt;"X"),
_xlfn._xlws.FILTER($D$7:$D$4874,$K$7:$K$4874&lt;&gt;"X"),
"",
0,
-1
)</f>
        <v>1</v>
      </c>
      <c r="AI42" s="75" t="str">
        <f>IF(AND($AH42,OR($Q42="B",$Q42="C")),"YES","")</f>
        <v/>
      </c>
    </row>
    <row r="43" spans="1:35" s="9" customFormat="1" ht="47.25">
      <c r="A43" s="33">
        <f t="shared" si="0"/>
        <v>37</v>
      </c>
      <c r="B43" s="33" t="str">
        <f t="shared" ref="B43" si="27">MID(D43, FIND("-", D43) + 1, 4)</f>
        <v>5.10</v>
      </c>
      <c r="C43" s="164"/>
      <c r="D43" s="25" t="s">
        <v>1103</v>
      </c>
      <c r="E43" s="174">
        <f t="shared" si="2"/>
        <v>46337</v>
      </c>
      <c r="F43" s="31" t="s">
        <v>1104</v>
      </c>
      <c r="G43" s="21" t="s">
        <v>521</v>
      </c>
      <c r="H43" s="138"/>
      <c r="I43" s="164">
        <f t="shared" ca="1" si="10"/>
        <v>1</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8">IF(AB43="Late Resubmission",IF(AA43="","",AA43-Z43),IF(AB43="Not submit yet",IF(Z43="","",$I$1-Z43),""))</f>
        <v/>
      </c>
      <c r="AD43" s="92"/>
      <c r="AG43" s="238" t="str">
        <f t="shared" si="8"/>
        <v>LTIA-5.10-VIETUR-80000-RFA-SDS-0080</v>
      </c>
      <c r="AH43" s="243" t="b" cm="1">
        <f t="array" ref="AH43">$D43=_xlfn.XLOOKUP(
AG43,
_xlfn._xlws.FILTER($AG$7:$AG$4874,$K$7:$K$4874&lt;&gt;"X"),
_xlfn._xlws.FILTER($D$7:$D$4874,$K$7:$K$4874&lt;&gt;"X"),
"",
0,
-1
)</f>
        <v>1</v>
      </c>
      <c r="AI43" s="75" t="str">
        <f>IF(AND($AH43,OR($Q43="B",$Q43="C")),"YES","")</f>
        <v/>
      </c>
    </row>
    <row r="44" spans="1:35" s="9" customFormat="1" ht="47.25">
      <c r="A44" s="33">
        <f t="shared" si="0"/>
        <v>38</v>
      </c>
      <c r="B44" s="33" t="str">
        <f t="shared" ref="B44" si="29">MID(D44, FIND("-", D44) + 1, 4)</f>
        <v>5.10</v>
      </c>
      <c r="C44" s="164"/>
      <c r="D44" s="25" t="s">
        <v>1105</v>
      </c>
      <c r="E44" s="174">
        <f t="shared" si="2"/>
        <v>46337</v>
      </c>
      <c r="F44" s="31" t="s">
        <v>1106</v>
      </c>
      <c r="G44" s="21" t="s">
        <v>526</v>
      </c>
      <c r="H44" s="138"/>
      <c r="I44" s="164">
        <f t="shared" ca="1" si="10"/>
        <v>1</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0">IF(AB44="Late Resubmission",IF(AA44="","",AA44-Z44),IF(AB44="Not submit yet",IF(Z44="","",$I$1-Z44),""))</f>
        <v/>
      </c>
      <c r="AD44" s="92"/>
      <c r="AG44" s="238" t="str">
        <f t="shared" si="8"/>
        <v>LTIA-5.10-VIETUR-80000-RFA-SDS-0122</v>
      </c>
      <c r="AH44" s="243" t="b" cm="1">
        <f t="array" ref="AH44">$D44=_xlfn.XLOOKUP(
AG44,
_xlfn._xlws.FILTER($AG$7:$AG$4874,$K$7:$K$4874&lt;&gt;"X"),
_xlfn._xlws.FILTER($D$7:$D$4874,$K$7:$K$4874&lt;&gt;"X"),
"",
0,
-1
)</f>
        <v>1</v>
      </c>
      <c r="AI44" s="75" t="str">
        <f>IF(AND($AH44,OR($Q44="B",$Q44="C")),"YES","")</f>
        <v/>
      </c>
    </row>
    <row r="45" spans="1:35" s="9" customFormat="1" ht="47.25">
      <c r="A45" s="33">
        <f t="shared" si="0"/>
        <v>39</v>
      </c>
      <c r="B45" s="33" t="str">
        <f t="shared" ref="B45" si="31">MID(D45, FIND("-", D45) + 1, 4)</f>
        <v>5.11</v>
      </c>
      <c r="C45" s="164" t="s">
        <v>656</v>
      </c>
      <c r="D45" s="25" t="s">
        <v>1107</v>
      </c>
      <c r="E45" s="174">
        <f t="shared" si="2"/>
        <v>46337</v>
      </c>
      <c r="F45" s="31" t="s">
        <v>1108</v>
      </c>
      <c r="G45" s="21" t="s">
        <v>1109</v>
      </c>
      <c r="H45" s="138"/>
      <c r="I45" s="164">
        <f t="shared" ca="1" si="10"/>
        <v>1</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2">IF(AB45="Late Resubmission",IF(AA45="","",AA45-Z45),IF(AB45="Not submit yet",IF(Z45="","",$I$1-Z45),""))</f>
        <v/>
      </c>
      <c r="AD45" s="92"/>
      <c r="AG45" s="238" t="str">
        <f t="shared" si="8"/>
        <v>LTIA-5.11-LTICT-71110-RFA-SDS-0002</v>
      </c>
      <c r="AH45" s="243" t="b" cm="1">
        <f t="array" ref="AH45">$D45=_xlfn.XLOOKUP(
AG45,
_xlfn._xlws.FILTER($AG$7:$AG$4874,$K$7:$K$4874&lt;&gt;"X"),
_xlfn._xlws.FILTER($D$7:$D$4874,$K$7:$K$4874&lt;&gt;"X"),
"",
0,
-1
)</f>
        <v>1</v>
      </c>
      <c r="AI45" s="75" t="str">
        <f>IF(AND($AH45,OR($Q45="B",$Q45="C")),"YES","")</f>
        <v/>
      </c>
    </row>
    <row r="46" spans="1:35" s="9" customFormat="1">
      <c r="A46" s="23"/>
      <c r="B46" s="33"/>
      <c r="C46" s="137"/>
      <c r="D46" s="25"/>
      <c r="E46" s="174"/>
      <c r="F46" s="31"/>
      <c r="G46" s="21"/>
      <c r="H46" s="138"/>
      <c r="I46" s="177"/>
      <c r="J46" s="47"/>
      <c r="K46" s="164"/>
      <c r="L46" s="52"/>
      <c r="M46" s="66"/>
      <c r="N46" s="40"/>
      <c r="O46" s="37"/>
      <c r="P46" s="17"/>
      <c r="Q46" s="183"/>
      <c r="R46" s="27"/>
      <c r="S46" s="27"/>
      <c r="T46" s="187"/>
      <c r="U46" s="29"/>
      <c r="V46" s="188"/>
      <c r="W46" s="227"/>
      <c r="X46" s="230"/>
      <c r="Y46" s="227"/>
      <c r="Z46" s="29" t="str">
        <f t="shared" si="5"/>
        <v/>
      </c>
      <c r="AA46" s="229"/>
      <c r="AB46" s="229"/>
      <c r="AC46" s="19"/>
      <c r="AD46" s="92"/>
      <c r="AG46" s="238"/>
      <c r="AH46" s="243"/>
      <c r="AI46" s="75"/>
    </row>
    <row r="47" spans="1:35" s="9" customFormat="1" ht="16.5" thickBot="1">
      <c r="A47" s="24"/>
      <c r="B47" s="329"/>
      <c r="C47" s="165"/>
      <c r="D47" s="45"/>
      <c r="E47" s="175"/>
      <c r="F47" s="32"/>
      <c r="G47" s="22"/>
      <c r="H47" s="139"/>
      <c r="I47" s="178"/>
      <c r="J47" s="132"/>
      <c r="K47" s="199"/>
      <c r="L47" s="53"/>
      <c r="M47" s="67"/>
      <c r="N47" s="18"/>
      <c r="O47" s="38"/>
      <c r="P47" s="18"/>
      <c r="Q47" s="184"/>
      <c r="R47" s="44"/>
      <c r="S47" s="44"/>
      <c r="T47" s="189"/>
      <c r="U47" s="43"/>
      <c r="V47" s="194"/>
      <c r="W47" s="228"/>
      <c r="X47" s="232"/>
      <c r="Y47" s="228"/>
      <c r="Z47" s="43" t="str">
        <f t="shared" si="5"/>
        <v/>
      </c>
      <c r="AA47" s="233"/>
      <c r="AB47" s="233"/>
      <c r="AC47" s="20"/>
      <c r="AD47" s="93"/>
      <c r="AG47" s="239"/>
      <c r="AH47" s="244"/>
      <c r="AI47" s="241"/>
    </row>
    <row r="48" spans="1:35" ht="16.5" thickBot="1"/>
    <row r="49" spans="3:35" ht="16.5" thickBot="1">
      <c r="C49" s="166" t="s">
        <v>20</v>
      </c>
      <c r="D49" s="376" t="s">
        <v>21</v>
      </c>
      <c r="E49" s="377"/>
      <c r="F49" s="46"/>
      <c r="G49" s="46"/>
      <c r="H49" s="356" t="s">
        <v>14</v>
      </c>
      <c r="I49" s="357"/>
      <c r="J49" s="357"/>
      <c r="K49" s="357"/>
      <c r="L49" s="357"/>
      <c r="M49" s="358"/>
      <c r="N49" s="362" t="s">
        <v>7</v>
      </c>
      <c r="O49" s="363"/>
      <c r="P49" s="362" t="s">
        <v>109</v>
      </c>
      <c r="Q49" s="363"/>
      <c r="R49" s="1"/>
      <c r="S49" s="1"/>
      <c r="T49" s="140"/>
      <c r="U49" s="1"/>
      <c r="W49" s="11"/>
      <c r="X49" s="11"/>
      <c r="Y49" s="11"/>
      <c r="Z49" s="11"/>
      <c r="AA49" s="11"/>
      <c r="AB49" s="11"/>
      <c r="AC49" s="11"/>
      <c r="AG49" s="11"/>
      <c r="AH49" s="11"/>
      <c r="AI49" s="11"/>
    </row>
    <row r="50" spans="3:35" ht="16.5" thickBot="1">
      <c r="C50" s="195" t="s">
        <v>109</v>
      </c>
      <c r="D50" s="420" t="s">
        <v>111</v>
      </c>
      <c r="E50" s="421"/>
      <c r="F50" s="46"/>
      <c r="H50" s="356" t="s">
        <v>18</v>
      </c>
      <c r="I50" s="357"/>
      <c r="J50" s="357"/>
      <c r="K50" s="358"/>
      <c r="L50" s="105">
        <f ca="1">M50/$M$50</f>
        <v>1</v>
      </c>
      <c r="M50" s="106">
        <f ca="1">SUM($M$51:$M$55)</f>
        <v>41</v>
      </c>
      <c r="N50" s="102" t="s">
        <v>15</v>
      </c>
      <c r="O50" s="103" t="s">
        <v>16</v>
      </c>
      <c r="P50" s="105">
        <f ca="1">Q50/$Q$50</f>
        <v>1</v>
      </c>
      <c r="Q50" s="220">
        <f ca="1">SUM(Q51:Q54)</f>
        <v>37</v>
      </c>
      <c r="R50" s="1"/>
      <c r="S50" s="1"/>
      <c r="T50" s="140"/>
      <c r="U50" s="1"/>
      <c r="W50" s="11"/>
      <c r="X50" s="11"/>
      <c r="Y50" s="11"/>
      <c r="Z50" s="11"/>
      <c r="AA50" s="11"/>
      <c r="AB50" s="11"/>
      <c r="AC50" s="11"/>
      <c r="AG50" s="11"/>
      <c r="AH50" s="11"/>
      <c r="AI50" s="11"/>
    </row>
    <row r="51" spans="3:35">
      <c r="C51" s="195" t="s">
        <v>36</v>
      </c>
      <c r="D51" s="418" t="s">
        <v>37</v>
      </c>
      <c r="E51" s="419"/>
      <c r="F51" s="69"/>
      <c r="G51" s="6"/>
      <c r="H51" s="379" t="s">
        <v>66</v>
      </c>
      <c r="I51" s="380"/>
      <c r="J51" s="380"/>
      <c r="K51" s="381"/>
      <c r="L51" s="107">
        <f ca="1">M51/$M$50</f>
        <v>2.4390243902439025E-2</v>
      </c>
      <c r="M51" s="108">
        <f>COUNTIF($H$7:$H$47,"A")</f>
        <v>1</v>
      </c>
      <c r="N51" s="100">
        <f ca="1">COUNTIFS($I$7:$I$47,"&lt;=21",$H$7:$H$47,"A")</f>
        <v>1</v>
      </c>
      <c r="O51" s="101">
        <f ca="1">COUNTIFS($I$7:$I$47,"&gt;21",$H$7:$H$47,"A")</f>
        <v>0</v>
      </c>
      <c r="P51" s="107">
        <f ca="1">Q51/$Q$50</f>
        <v>2.7027027027027029E-2</v>
      </c>
      <c r="Q51" s="108">
        <f>COUNTIF($Q$7:$Q$47,"A")</f>
        <v>1</v>
      </c>
      <c r="R51" s="1"/>
      <c r="S51" s="1"/>
      <c r="T51" s="140"/>
      <c r="U51" s="1"/>
      <c r="W51" s="11"/>
      <c r="X51" s="11"/>
      <c r="Y51" s="11"/>
      <c r="Z51" s="11"/>
      <c r="AA51" s="11"/>
      <c r="AB51" s="11"/>
      <c r="AC51" s="11"/>
      <c r="AG51" s="11"/>
      <c r="AH51" s="11"/>
      <c r="AI51" s="11"/>
    </row>
    <row r="52" spans="3:35">
      <c r="C52" s="394" t="s">
        <v>75</v>
      </c>
      <c r="D52" s="350" t="s">
        <v>76</v>
      </c>
      <c r="E52" s="351"/>
      <c r="F52" s="70"/>
      <c r="G52" s="6"/>
      <c r="H52" s="382" t="s">
        <v>67</v>
      </c>
      <c r="I52" s="383"/>
      <c r="J52" s="383"/>
      <c r="K52" s="384"/>
      <c r="L52" s="109">
        <f t="shared" ref="L52:L55" ca="1" si="33">M52/$M$50</f>
        <v>0.48780487804878048</v>
      </c>
      <c r="M52" s="110">
        <f>COUNTIF($H$7:$H$47,"B")</f>
        <v>20</v>
      </c>
      <c r="N52" s="98">
        <f ca="1">COUNTIFS($I$7:$I$47,"&lt;=21",$H$7:$H$47,"B")</f>
        <v>8</v>
      </c>
      <c r="O52" s="50">
        <f ca="1">COUNTIFS($I$7:$I$47,"&gt;21",$H$7:$H$47,"B")</f>
        <v>12</v>
      </c>
      <c r="P52" s="109">
        <f t="shared" ref="P52:P54" ca="1" si="34">Q52/$Q$50</f>
        <v>0.54054054054054057</v>
      </c>
      <c r="Q52" s="110">
        <f>COUNTIF($Q$7:$Q$47,"B")</f>
        <v>20</v>
      </c>
      <c r="R52" s="1"/>
      <c r="S52" s="1"/>
      <c r="T52" s="140"/>
      <c r="U52" s="1"/>
      <c r="W52" s="11"/>
      <c r="X52" s="11"/>
      <c r="Y52" s="11"/>
      <c r="Z52" s="11"/>
      <c r="AA52" s="11"/>
      <c r="AB52" s="11"/>
      <c r="AC52" s="11"/>
      <c r="AG52" s="11"/>
      <c r="AH52" s="11"/>
      <c r="AI52" s="11"/>
    </row>
    <row r="53" spans="3:35" ht="16.5" thickBot="1">
      <c r="C53" s="395"/>
      <c r="D53" s="352"/>
      <c r="E53" s="353"/>
      <c r="F53" s="71"/>
      <c r="G53" s="6"/>
      <c r="H53" s="385" t="s">
        <v>68</v>
      </c>
      <c r="I53" s="386"/>
      <c r="J53" s="386"/>
      <c r="K53" s="387"/>
      <c r="L53" s="111">
        <f t="shared" ca="1" si="33"/>
        <v>0.1951219512195122</v>
      </c>
      <c r="M53" s="112">
        <f>COUNTIF($H$7:$H$47,"C")</f>
        <v>8</v>
      </c>
      <c r="N53" s="98">
        <f ca="1">COUNTIFS($I$7:$I$47,"&lt;=21",$H$7:$H$47,"C")</f>
        <v>3</v>
      </c>
      <c r="O53" s="50">
        <f ca="1">COUNTIFS($I$7:$I$47,"&gt;21",$H$7:$H$47,"C")</f>
        <v>5</v>
      </c>
      <c r="P53" s="111">
        <f t="shared" ca="1" si="34"/>
        <v>8.1081081081081086E-2</v>
      </c>
      <c r="Q53" s="112">
        <f>COUNTIF($Q$7:$Q$47,"C")</f>
        <v>3</v>
      </c>
      <c r="R53" s="1"/>
      <c r="S53" s="1"/>
      <c r="T53" s="140"/>
      <c r="U53" s="1"/>
      <c r="W53" s="11"/>
      <c r="X53" s="11"/>
      <c r="Y53" s="11"/>
      <c r="Z53" s="11"/>
      <c r="AA53" s="11"/>
      <c r="AB53" s="11"/>
      <c r="AC53" s="11"/>
      <c r="AG53" s="11"/>
      <c r="AH53" s="11"/>
      <c r="AI53" s="11"/>
    </row>
    <row r="54" spans="3:35">
      <c r="F54" s="72"/>
      <c r="G54" s="6"/>
      <c r="H54" s="388" t="s">
        <v>70</v>
      </c>
      <c r="I54" s="389"/>
      <c r="J54" s="389"/>
      <c r="K54" s="390"/>
      <c r="L54" s="114">
        <f t="shared" ca="1" si="33"/>
        <v>0.24390243902439024</v>
      </c>
      <c r="M54" s="115">
        <f ca="1">SUM(N54:O54)</f>
        <v>10</v>
      </c>
      <c r="N54" s="98">
        <f ca="1">COUNTIFS($I$7:$I$47,"&lt;=21",$U$7:$U$47,"",$K$7:$K$47,"&lt;&gt;X")</f>
        <v>8</v>
      </c>
      <c r="O54" s="50">
        <f ca="1">COUNTIFS($I$7:$I$47,"&gt;21",$U$7:$U$47,"",$K$7:$K$47,"&lt;&gt;X")</f>
        <v>2</v>
      </c>
      <c r="P54" s="114">
        <f t="shared" ca="1" si="34"/>
        <v>0.35135135135135137</v>
      </c>
      <c r="Q54" s="115">
        <f ca="1">COUNTIFS($I$7:$I$47,"&gt;=0",$P$7:$P$47,"",$K$7:$K$47,"&lt;&gt;X")</f>
        <v>13</v>
      </c>
      <c r="R54" s="1" t="s">
        <v>10</v>
      </c>
      <c r="S54" s="1"/>
      <c r="T54" s="140"/>
      <c r="U54" s="1"/>
      <c r="W54" s="11"/>
      <c r="X54" s="11"/>
      <c r="Y54" s="11"/>
      <c r="Z54" s="11"/>
      <c r="AA54" s="11"/>
      <c r="AB54" s="11"/>
      <c r="AC54" s="11"/>
      <c r="AG54" s="11"/>
      <c r="AH54" s="11"/>
      <c r="AI54" s="11"/>
    </row>
    <row r="55" spans="3:35" ht="16.5" thickBot="1">
      <c r="C55" s="378" t="s">
        <v>41</v>
      </c>
      <c r="D55" s="378"/>
      <c r="E55" s="378"/>
      <c r="H55" s="391" t="s">
        <v>71</v>
      </c>
      <c r="I55" s="392"/>
      <c r="J55" s="392"/>
      <c r="K55" s="393"/>
      <c r="L55" s="113">
        <f t="shared" ca="1" si="33"/>
        <v>4.878048780487805E-2</v>
      </c>
      <c r="M55" s="97">
        <f>COUNTIFS($K$7:$K$47,"X")</f>
        <v>2</v>
      </c>
      <c r="N55" s="99"/>
      <c r="O55" s="51"/>
      <c r="P55" s="221"/>
      <c r="Q55" s="222"/>
    </row>
    <row r="56" spans="3:35">
      <c r="C56" s="169" t="s">
        <v>8</v>
      </c>
      <c r="D56" s="1" t="s">
        <v>42</v>
      </c>
    </row>
    <row r="57" spans="3:35">
      <c r="C57" s="169" t="s">
        <v>8</v>
      </c>
      <c r="D57" s="127" t="s">
        <v>43</v>
      </c>
    </row>
    <row r="58" spans="3:35">
      <c r="C58" s="169" t="s">
        <v>8</v>
      </c>
      <c r="D58" s="1" t="s">
        <v>44</v>
      </c>
    </row>
  </sheetData>
  <autoFilter ref="A6:AD47" xr:uid="{4D8E8261-1CEF-42DB-8488-C430D415EC88}">
    <sortState xmlns:xlrd2="http://schemas.microsoft.com/office/spreadsheetml/2017/richdata2" ref="A7:AD33">
      <sortCondition ref="S6:S33"/>
    </sortState>
  </autoFilter>
  <mergeCells count="37">
    <mergeCell ref="AG5:AG6"/>
    <mergeCell ref="AH5:AH6"/>
    <mergeCell ref="AI5:AI6"/>
    <mergeCell ref="H55:K55"/>
    <mergeCell ref="H50:K50"/>
    <mergeCell ref="N49:O49"/>
    <mergeCell ref="AD4:AD5"/>
    <mergeCell ref="H4:H5"/>
    <mergeCell ref="I4:I5"/>
    <mergeCell ref="L4:M4"/>
    <mergeCell ref="N4:O4"/>
    <mergeCell ref="R4:T4"/>
    <mergeCell ref="U4:W4"/>
    <mergeCell ref="K4:K5"/>
    <mergeCell ref="P4:Q4"/>
    <mergeCell ref="J4:J5"/>
    <mergeCell ref="D51:E51"/>
    <mergeCell ref="C55:E55"/>
    <mergeCell ref="H51:K51"/>
    <mergeCell ref="H52:K52"/>
    <mergeCell ref="H49:M49"/>
    <mergeCell ref="H53:K53"/>
    <mergeCell ref="H54:K54"/>
    <mergeCell ref="C52:C53"/>
    <mergeCell ref="D52:E53"/>
    <mergeCell ref="D50:E50"/>
    <mergeCell ref="P49:Q49"/>
    <mergeCell ref="X4:Y4"/>
    <mergeCell ref="Z4:AC4"/>
    <mergeCell ref="A4:A5"/>
    <mergeCell ref="D4:D5"/>
    <mergeCell ref="E4:E5"/>
    <mergeCell ref="F4:F5"/>
    <mergeCell ref="G4:G5"/>
    <mergeCell ref="C4:C5"/>
    <mergeCell ref="D49:E49"/>
    <mergeCell ref="B4:B5"/>
  </mergeCells>
  <phoneticPr fontId="5" type="noConversion"/>
  <conditionalFormatting sqref="A7:AD47 AG7:AI47">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6" r:id="rId103" xr:uid="{BDBBB1AA-41DD-4769-B198-E0D4B6B569E2}"/>
    <hyperlink ref="C57" r:id="rId104" xr:uid="{174B2EE8-A853-4328-A727-C5D3FC38F2B6}"/>
    <hyperlink ref="C58"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s>
  <pageMargins left="0.25" right="0.17" top="0.5" bottom="0.25" header="0.3" footer="0.3"/>
  <pageSetup paperSize="9" scale="29" orientation="landscape" horizontalDpi="300" verticalDpi="300" r:id="rId14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3"/>
  <sheetViews>
    <sheetView zoomScale="85" zoomScaleNormal="85" zoomScaleSheetLayoutView="85" workbookViewId="0">
      <pane xSplit="5" ySplit="6" topLeftCell="H123" activePane="bottomRight" state="frozen"/>
      <selection pane="topRight" activeCell="D1" sqref="D1"/>
      <selection pane="bottomLeft" activeCell="A7" sqref="A7"/>
      <selection pane="bottomRight" activeCell="U129" sqref="U129"/>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46317</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506</v>
      </c>
      <c r="J39" s="47">
        <f t="shared" ca="1" si="10"/>
        <v>485</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282</v>
      </c>
      <c r="J70" s="47">
        <f t="shared" ref="J70:J78" ca="1" si="15">IF(($I70-21)&gt;0,$I70-21,0)</f>
        <v>261</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9" si="23">IF($T80=0,$S80+22,$T80+21)</f>
        <v>45945</v>
      </c>
      <c r="F80" s="31" t="s">
        <v>629</v>
      </c>
      <c r="G80" s="21" t="s">
        <v>630</v>
      </c>
      <c r="H80" s="138" t="s">
        <v>6</v>
      </c>
      <c r="I80" s="164">
        <f t="shared" ref="I80:I129" si="24">IF(ISBLANK($V80),_xlfn.DAYS($I$1,$T80),_xlfn.DAYS($V80,$T80))</f>
        <v>6</v>
      </c>
      <c r="J80" s="47">
        <f t="shared" ref="J80:J129"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9"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121</v>
      </c>
      <c r="J97" s="47">
        <f t="shared" ca="1" si="25"/>
        <v>100</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132</v>
      </c>
      <c r="J112" s="47">
        <f t="shared" ca="1" si="25"/>
        <v>111</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72</v>
      </c>
      <c r="J113" s="47">
        <f t="shared" ca="1" si="25"/>
        <v>51</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72</v>
      </c>
      <c r="J115" s="47">
        <f t="shared" ca="1" si="25"/>
        <v>51</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1068</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1070</v>
      </c>
    </row>
    <row r="127" spans="1:26" s="9" customFormat="1" ht="47.25">
      <c r="A127" s="33">
        <f t="shared" si="29"/>
        <v>121</v>
      </c>
      <c r="B127" s="33" t="str">
        <f t="shared" ref="B127" si="58">MID(D127, FIND("-", D127) + 1, 4)</f>
        <v>5.11</v>
      </c>
      <c r="C127" s="164"/>
      <c r="D127" s="25" t="s">
        <v>1056</v>
      </c>
      <c r="E127" s="174">
        <f t="shared" si="23"/>
        <v>46325</v>
      </c>
      <c r="F127" s="31" t="s">
        <v>1057</v>
      </c>
      <c r="G127" s="21" t="s">
        <v>1058</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1099</v>
      </c>
    </row>
    <row r="128" spans="1:26" s="9" customFormat="1" ht="47.25">
      <c r="A128" s="33">
        <f t="shared" si="29"/>
        <v>122</v>
      </c>
      <c r="B128" s="33" t="str">
        <f t="shared" ref="B128" si="59">MID(D128, FIND("-", D128) + 1, 4)</f>
        <v>5.11</v>
      </c>
      <c r="C128" s="164" t="s">
        <v>621</v>
      </c>
      <c r="D128" s="25" t="s">
        <v>1064</v>
      </c>
      <c r="E128" s="174">
        <f t="shared" si="23"/>
        <v>46330</v>
      </c>
      <c r="F128" s="31" t="s">
        <v>1065</v>
      </c>
      <c r="G128" s="21" t="s">
        <v>1066</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1100</v>
      </c>
    </row>
    <row r="129" spans="1:26" s="9" customFormat="1" ht="63">
      <c r="A129" s="33">
        <f t="shared" si="29"/>
        <v>123</v>
      </c>
      <c r="B129" s="33" t="str">
        <f t="shared" ref="B129" si="60">MID(D129, FIND("-", D129) + 1, 4)</f>
        <v>5.10</v>
      </c>
      <c r="C129" s="164" t="s">
        <v>195</v>
      </c>
      <c r="D129" s="25" t="s">
        <v>1089</v>
      </c>
      <c r="E129" s="174">
        <f t="shared" si="23"/>
        <v>46332</v>
      </c>
      <c r="F129" s="31" t="s">
        <v>1090</v>
      </c>
      <c r="G129" s="21" t="s">
        <v>1091</v>
      </c>
      <c r="H129" s="138"/>
      <c r="I129" s="164">
        <f t="shared" ca="1" si="24"/>
        <v>6</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c r="A130" s="23"/>
      <c r="B130" s="33"/>
      <c r="C130" s="137"/>
      <c r="D130" s="25"/>
      <c r="E130" s="174"/>
      <c r="F130" s="31"/>
      <c r="G130" s="21"/>
      <c r="H130" s="138"/>
      <c r="I130" s="177"/>
      <c r="J130" s="48"/>
      <c r="K130" s="177"/>
      <c r="L130" s="59"/>
      <c r="M130" s="60"/>
      <c r="N130" s="61"/>
      <c r="O130" s="144"/>
      <c r="P130" s="146"/>
      <c r="Q130" s="152"/>
      <c r="R130" s="27"/>
      <c r="S130" s="27"/>
      <c r="T130" s="187"/>
      <c r="U130" s="29"/>
      <c r="V130" s="188"/>
      <c r="W130" s="235"/>
      <c r="X130" s="230"/>
      <c r="Y130" s="19"/>
      <c r="Z130" s="92"/>
    </row>
    <row r="131" spans="1:26" s="9" customFormat="1" ht="16.5" thickBot="1">
      <c r="A131" s="24"/>
      <c r="B131" s="329"/>
      <c r="C131" s="165"/>
      <c r="D131" s="45"/>
      <c r="E131" s="175"/>
      <c r="F131" s="32"/>
      <c r="G131" s="22"/>
      <c r="H131" s="139"/>
      <c r="I131" s="178"/>
      <c r="J131" s="49"/>
      <c r="K131" s="178"/>
      <c r="L131" s="62"/>
      <c r="M131" s="63"/>
      <c r="N131" s="64"/>
      <c r="O131" s="145"/>
      <c r="P131" s="147"/>
      <c r="Q131" s="153"/>
      <c r="R131" s="44"/>
      <c r="S131" s="44"/>
      <c r="T131" s="189"/>
      <c r="U131" s="43"/>
      <c r="V131" s="194"/>
      <c r="W131" s="258"/>
      <c r="X131" s="232"/>
      <c r="Y131" s="20"/>
      <c r="Z131" s="93"/>
    </row>
    <row r="132" spans="1:26" ht="16.5" thickBot="1"/>
    <row r="133" spans="1:26" ht="16.5" thickBot="1">
      <c r="C133" s="207" t="s">
        <v>38</v>
      </c>
      <c r="D133" s="428" t="s">
        <v>39</v>
      </c>
      <c r="E133" s="429"/>
      <c r="F133" s="46"/>
      <c r="G133" s="68"/>
      <c r="H133" s="356" t="s">
        <v>14</v>
      </c>
      <c r="I133" s="357"/>
      <c r="J133" s="357"/>
      <c r="K133" s="357"/>
      <c r="L133" s="357"/>
      <c r="M133" s="358"/>
      <c r="N133" s="362" t="s">
        <v>7</v>
      </c>
      <c r="O133" s="363"/>
      <c r="P133" s="362" t="s">
        <v>110</v>
      </c>
      <c r="Q133" s="363"/>
      <c r="R133" s="1"/>
      <c r="S133" s="1"/>
      <c r="T133" s="140"/>
      <c r="U133" s="1"/>
      <c r="W133" s="11"/>
      <c r="X133" s="11"/>
      <c r="Y133" s="11"/>
    </row>
    <row r="134" spans="1:26" ht="16.5" customHeight="1" thickBot="1">
      <c r="C134" s="208" t="s">
        <v>74</v>
      </c>
      <c r="D134" s="435" t="s">
        <v>77</v>
      </c>
      <c r="E134" s="436"/>
      <c r="F134" s="46"/>
      <c r="G134" s="46"/>
      <c r="H134" s="430" t="s">
        <v>17</v>
      </c>
      <c r="I134" s="431"/>
      <c r="J134" s="130"/>
      <c r="K134" s="210"/>
      <c r="L134" s="117">
        <f ca="1">M134/$M$134</f>
        <v>1</v>
      </c>
      <c r="M134" s="104">
        <f ca="1">SUM($M$135:$M$137)</f>
        <v>127</v>
      </c>
      <c r="N134" s="118" t="s">
        <v>15</v>
      </c>
      <c r="O134" s="119" t="s">
        <v>16</v>
      </c>
      <c r="P134" s="117">
        <f ca="1">Q134/$Q$134</f>
        <v>1</v>
      </c>
      <c r="Q134" s="104">
        <f ca="1">SUM(Q135:Q136)</f>
        <v>109</v>
      </c>
      <c r="R134" s="1"/>
      <c r="S134" s="1"/>
      <c r="T134" s="140"/>
      <c r="U134" s="1"/>
      <c r="W134" s="11"/>
      <c r="X134" s="11"/>
      <c r="Y134" s="11"/>
    </row>
    <row r="135" spans="1:26">
      <c r="C135" s="394" t="s">
        <v>6</v>
      </c>
      <c r="D135" s="435" t="s">
        <v>40</v>
      </c>
      <c r="E135" s="436"/>
      <c r="F135" s="69"/>
      <c r="G135" s="6"/>
      <c r="H135" s="432" t="s">
        <v>69</v>
      </c>
      <c r="I135" s="433"/>
      <c r="J135" s="433"/>
      <c r="K135" s="434"/>
      <c r="L135" s="122">
        <f t="shared" ref="L135:L137" ca="1" si="61">M135/$M$134</f>
        <v>0.84251968503937003</v>
      </c>
      <c r="M135" s="123">
        <f>COUNTIF($H$7:$H$131,"RFCS")</f>
        <v>107</v>
      </c>
      <c r="N135" s="121">
        <f ca="1">COUNTIFS($I$7:$I$131,"&lt;=21",$H$7:$H$131,"RFCS")</f>
        <v>65</v>
      </c>
      <c r="O135" s="120">
        <f ca="1">COUNTIFS($I$7:$I$131,"&gt;21",$H$7:$H$131,"RFCS")</f>
        <v>41</v>
      </c>
      <c r="P135" s="122">
        <f ca="1">Q135/$Q$134</f>
        <v>0.62385321100917435</v>
      </c>
      <c r="Q135" s="123">
        <f>COUNTIF($Q$7:$Q$131,"RBE") + COUNTIF($Q$7:$Q$131,"SUP")</f>
        <v>68</v>
      </c>
      <c r="R135" s="1"/>
      <c r="S135" s="1"/>
      <c r="T135" s="140"/>
      <c r="U135" s="1"/>
      <c r="W135" s="11"/>
      <c r="X135" s="11"/>
      <c r="Y135" s="11"/>
    </row>
    <row r="136" spans="1:26">
      <c r="C136" s="394"/>
      <c r="D136" s="435"/>
      <c r="E136" s="436"/>
      <c r="F136" s="72"/>
      <c r="G136" s="6"/>
      <c r="H136" s="388" t="s">
        <v>70</v>
      </c>
      <c r="I136" s="389"/>
      <c r="J136" s="389"/>
      <c r="K136" s="390"/>
      <c r="L136" s="124">
        <f t="shared" ca="1" si="61"/>
        <v>4.7244094488188976E-2</v>
      </c>
      <c r="M136" s="125">
        <f ca="1">SUM(N136:O136)</f>
        <v>6</v>
      </c>
      <c r="N136" s="98">
        <f ca="1">COUNTIFS($I$7:$I$131,"&lt;=21",$U$7:$U$131,"",$K$7:$K$131,"&lt;&gt;X")</f>
        <v>1</v>
      </c>
      <c r="O136" s="50">
        <f ca="1">COUNTIFS($I$7:$I$131,"&gt;21",$U$7:$U$131,"",$K$7:$K$131,"&lt;&gt;X")</f>
        <v>5</v>
      </c>
      <c r="P136" s="124">
        <f ca="1">Q136/$Q$134</f>
        <v>0.37614678899082571</v>
      </c>
      <c r="Q136" s="125">
        <f ca="1">COUNTIFS($I$7:$I$131,"&gt;=0",$P$7:$P$131,"",$K$7:$K$131,"&lt;&gt;X")</f>
        <v>41</v>
      </c>
      <c r="R136" s="1" t="s">
        <v>10</v>
      </c>
      <c r="S136" s="1"/>
      <c r="T136" s="140"/>
      <c r="U136" s="1"/>
      <c r="W136" s="11"/>
      <c r="X136" s="11"/>
      <c r="Y136" s="11"/>
    </row>
    <row r="137" spans="1:26" ht="16.5" thickBot="1">
      <c r="C137" s="394" t="s">
        <v>75</v>
      </c>
      <c r="D137" s="350" t="s">
        <v>76</v>
      </c>
      <c r="E137" s="351"/>
      <c r="H137" s="391" t="s">
        <v>71</v>
      </c>
      <c r="I137" s="392"/>
      <c r="J137" s="392"/>
      <c r="K137" s="393"/>
      <c r="L137" s="126">
        <f t="shared" ca="1" si="61"/>
        <v>0.11023622047244094</v>
      </c>
      <c r="M137" s="116">
        <f>COUNTIFS($K$7:$K$131,"X")</f>
        <v>14</v>
      </c>
      <c r="N137" s="99"/>
      <c r="O137" s="51"/>
      <c r="P137" s="223"/>
      <c r="Q137" s="224"/>
    </row>
    <row r="138" spans="1:26" ht="16.5" thickBot="1">
      <c r="C138" s="395"/>
      <c r="D138" s="352"/>
      <c r="E138" s="353"/>
    </row>
    <row r="140" spans="1:26">
      <c r="C140" s="378" t="s">
        <v>41</v>
      </c>
      <c r="D140" s="378"/>
      <c r="E140" s="378"/>
    </row>
    <row r="141" spans="1:26">
      <c r="C141" s="169" t="s">
        <v>8</v>
      </c>
      <c r="D141" s="1" t="s">
        <v>42</v>
      </c>
    </row>
    <row r="142" spans="1:26">
      <c r="C142" s="169" t="s">
        <v>8</v>
      </c>
      <c r="D142" s="127" t="s">
        <v>43</v>
      </c>
    </row>
    <row r="143" spans="1:26">
      <c r="C143" s="169" t="s">
        <v>8</v>
      </c>
      <c r="D143" s="1" t="s">
        <v>44</v>
      </c>
    </row>
  </sheetData>
  <autoFilter ref="A6:Z127"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4:I134"/>
    <mergeCell ref="C140:E140"/>
    <mergeCell ref="H135:K135"/>
    <mergeCell ref="H136:K136"/>
    <mergeCell ref="H137:K137"/>
    <mergeCell ref="D134:E134"/>
    <mergeCell ref="C135:C136"/>
    <mergeCell ref="D135:E136"/>
    <mergeCell ref="C137:C138"/>
    <mergeCell ref="D137:E138"/>
    <mergeCell ref="B4:B5"/>
    <mergeCell ref="P133:Q133"/>
    <mergeCell ref="J4:J5"/>
    <mergeCell ref="D133:E133"/>
    <mergeCell ref="H133:M133"/>
    <mergeCell ref="N133:O133"/>
  </mergeCells>
  <phoneticPr fontId="71"/>
  <conditionalFormatting sqref="A7:Z131">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1" r:id="rId128" xr:uid="{F06CE902-4089-4B08-A7E9-420A16C9FF0E}"/>
    <hyperlink ref="C142" r:id="rId129" xr:uid="{6D322F1B-B574-40E7-BED0-14ED893C19C5}"/>
    <hyperlink ref="C143"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s>
  <pageMargins left="0.25" right="0.17" top="0.5" bottom="0.25" header="0.3" footer="0.3"/>
  <pageSetup paperSize="9" scale="28" orientation="landscape" horizontalDpi="300" verticalDpi="300" r:id="rId48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6"/>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6">IF(_xlfn.ANCHORARRAY(D7)="","",_xlfn.SEQUENCE(ROWS(_xlfn.ANCHORARRAY(D7))))</f>
        <v>1</v>
      </c>
      <c r="B7" s="302" t="str" cm="1">
        <f t="array" ref="B7:B26">_xlfn.LET(
_xlpm.x,_xlfn.XLOOKUP(_xlfn.ANCHORARRAY(D7),RFA!$E:$E,RFA!$C:$C,""),
IF(_xlpm.x=0,"",_xlpm.x)
)</f>
        <v>FAS</v>
      </c>
      <c r="C7" s="13" t="str" cm="1">
        <f t="array" ref="C7:C26">_xlfn.LET(
_xlpm.x,_xlfn.XLOOKUP(_xlfn.ANCHORARRAY(D7),RFA!$E:$E,RFA!$D:$D,""),
IF(_xlpm.x=0,"",_xlpm.x)
)</f>
        <v>MAS</v>
      </c>
      <c r="D7" s="282" t="str" cm="1">
        <f t="array" ref="D7:D26">_xlfn._xlws.FILTER(RFA!$E$5:$E$4578, RFA!$AI$5:$AI$4578="YES","")</f>
        <v>LTIA-5.10-VIETUR-70000-RFA-MAS-0088A</v>
      </c>
      <c r="E7" s="303" t="str" cm="1">
        <f t="array" ref="E7:E26">_xlfn.LET(
_xlpm.x,_xlfn.XLOOKUP(_xlfn.ANCHORARRAY(D7),RFA!$E:$E,RFA!$G:$G,""),
IF(_xlpm.x=0,"",_xlpm.x)
)</f>
        <v>Request for approval material cable fire resistant shield for fire alarm system (Belden)</v>
      </c>
      <c r="F7" s="303" t="str" cm="1">
        <f t="array" ref="F7:F26">_xlfn.LET(
_xlpm.x,_xlfn.XLOOKUP(_xlfn.ANCHORARRAY(D7),RFA!$E:$E,RFA!$H:$H,""),
IF(_xlpm.x=0,"",_xlpm.x)
)</f>
        <v>Đề nghị phê duyệt vật liệu cáp chống cháy cho hệ thống báo cháy (Belden)</v>
      </c>
      <c r="G7" s="270" cm="1">
        <f t="array" ref="G7:G26">_xlfn.LET(
_xlpm.x,_xlfn.XLOOKUP(_xlfn.ANCHORARRAY(D7),RFA!$E:$E,RFA!$S:$S,""),
IF(_xlpm.x=0,"",_xlpm.x)
)</f>
        <v>45426</v>
      </c>
      <c r="H7" s="270" cm="1">
        <f t="array" ref="H7:H26">_xlfn.LET(
_xlpm.x,_xlfn.XLOOKUP(_xlfn.ANCHORARRAY(D7),RFA!$E:$E,RFA!$T:$T,""),
IF(_xlpm.x=0,"",_xlpm.x)
)</f>
        <v>45426</v>
      </c>
      <c r="I7" s="264" cm="1">
        <f t="array" ref="I7:I26">_xlfn.LET(
_xlpm.x,_xlfn.XLOOKUP(_xlfn.ANCHORARRAY(D7),RFA!$E:$E,RFA!$U:$U,""),
IF(_xlpm.x=0,"",_xlpm.x)
)</f>
        <v>45426</v>
      </c>
      <c r="J7" s="264" t="str" cm="1">
        <f t="array" ref="J7:J26">_xlfn.LET(
_xlpm.x,_xlfn.XLOOKUP(_xlfn.ANCHORARRAY(D7),RFA!$E:$E,RFA!$I:$I,""),
IF(_xlpm.x=0,"",_xlpm.x)
)</f>
        <v>C</v>
      </c>
      <c r="K7" s="270" cm="1">
        <f t="array" ref="K7:K26">_xlfn.LET(
_xlpm.x,_xlfn.XLOOKUP(_xlfn.ANCHORARRAY(D7),RFA!$E:$E,RFA!$V:$V,""),
IF(_xlpm.x=0,"",_xlpm.x)
)</f>
        <v>45454</v>
      </c>
      <c r="L7" s="264" cm="1">
        <f t="array" ref="L7:L26">_xlfn.LET(
_xlpm.x,_xlfn.XLOOKUP(_xlfn.ANCHORARRAY(D7),RFA!$E:$E,RFA!$W:$W,""),
IF(_xlpm.x=0,"",_xlpm.x)
)</f>
        <v>45455</v>
      </c>
      <c r="M7" s="264" t="str" cm="1">
        <f t="array" ref="M7:M26">_xlfn.LET(
_xlpm.x,_xlfn.XLOOKUP(_xlfn.ANCHORARRAY(D7),RFA!$E:$E,RFA!$R:$R,""),
IF(_xlpm.x=0,"",_xlpm.x)
)</f>
        <v>C</v>
      </c>
      <c r="N7" s="270" cm="1">
        <f t="array" ref="N7:N26">_xlfn.LET(
_xlpm.x,_xlfn.XLOOKUP(_xlfn.ANCHORARRAY(D7),RFA!$E:$E,RFA!$Y:$Y,""),
IF(_xlpm.x=0,"",_xlpm.x)
)</f>
        <v>45456</v>
      </c>
      <c r="O7" s="264" cm="1">
        <f t="array" ref="O7:O26">_xlfn.LET(
_xlpm.x,_xlfn.XLOOKUP(_xlfn.ANCHORARRAY(D7),RFA!$E:$E,RFA!$Z:$Z,""),
IF(_xlpm.x=0,"",_xlpm.x)
)</f>
        <v>45456</v>
      </c>
      <c r="P7" s="264" cm="1">
        <f t="array" ref="P7:P26">_xlfn.LET(
_xlpm.x,_xlfn.XLOOKUP(_xlfn.ANCHORARRAY(D7),RFA!$E:$E,RFA!$AA:$AA,""),
IF(_xlpm.x=0,"",_xlpm.x)
)</f>
        <v>45463</v>
      </c>
      <c r="Q7" s="270" t="str" cm="1">
        <f t="array" ref="Q7:Q26">_xlfn.LET(
_xlpm.x,_xlfn.XLOOKUP(_xlfn.ANCHORARRAY(D7),RFA!$E:$E,RFA!$AB:$AB,""),
IF(_xlpm.x=0,"",_xlpm.x)
)</f>
        <v/>
      </c>
      <c r="R7" s="13" t="str" cm="1">
        <f t="array" ref="R7:R26">_xlfn.LET(
_xlpm.x,_xlfn.XLOOKUP(_xlfn.ANCHORARRAY(D7),RFA!$E:$E,RFA!$AC:$AC,""),
IF(_xlpm.x=0,"",_xlpm.x)
)</f>
        <v>Not submit yet</v>
      </c>
      <c r="S7" s="279" cm="1">
        <f t="array" ref="S7:S26">_xlfn.LET(
_xlpm.x,_xlfn.XLOOKUP(_xlfn.ANCHORARRAY(D7),RFA!$E:$E,RFA!$AD:$AD,""),
IF(_xlpm.x=0,"",_xlpm.x)
)</f>
        <v>853</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818</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516</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397</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337</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314</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309</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146</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v/>
      </c>
      <c r="S22" s="279" t="str">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v/>
      </c>
      <c r="S23" s="279" t="str">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7"/>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SCS
SCN
DCH
PAS</v>
      </c>
      <c r="C7" s="282" t="str" cm="1">
        <f t="array" ref="C7:C14">_xlfn._xlws.FILTER('RFA-SDS'!$D$5:$D$4874,'RFA-SDS'!$AI$5:$AI$4874="YES","")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554</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464</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v>Not submit yet</v>
      </c>
      <c r="R9" s="279">
        <v>353</v>
      </c>
    </row>
    <row r="10" spans="1:18" ht="10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353</v>
      </c>
    </row>
    <row r="11" spans="1:18" ht="45">
      <c r="A11" s="13">
        <v>5</v>
      </c>
      <c r="B11" s="302" t="str">
        <v>FAS</v>
      </c>
      <c r="C11" s="282" t="str">
        <v>LTIA-5.10-VIETUR-80000-RFA-SDS-0140B</v>
      </c>
      <c r="D11" s="303" t="str">
        <v>Construction design drawing of  ICT system – part.1: ICT systems for 2F Level (Re-submission for attachment) 5. Public addressable system-level 2 (attachment 5)</v>
      </c>
      <c r="E11" s="303" t="str">
        <v>Bản vẽ TKTC cho hệ thống ICT – phần 1 – Hệ thống ICT cho tầng 2 (trình cho phần đính kèm số: 5. Hệ thống phát thanh công cộng - tầng 2 (đính kèm 5)</v>
      </c>
      <c r="F11" s="270">
        <v>45908</v>
      </c>
      <c r="G11" s="270">
        <v>45908</v>
      </c>
      <c r="H11" s="264">
        <v>45909</v>
      </c>
      <c r="I11" s="264" t="str">
        <v>B</v>
      </c>
      <c r="J11" s="270">
        <v>45873</v>
      </c>
      <c r="K11" s="264">
        <v>45917</v>
      </c>
      <c r="L11" s="264" t="str">
        <v>B</v>
      </c>
      <c r="M11" s="270">
        <v>46153</v>
      </c>
      <c r="N11" s="264">
        <v>45957</v>
      </c>
      <c r="O11" s="264">
        <v>45964</v>
      </c>
      <c r="P11" s="270" t="str">
        <v/>
      </c>
      <c r="Q11" s="13" t="str">
        <v>Not submit yet</v>
      </c>
      <c r="R11" s="279">
        <v>353</v>
      </c>
    </row>
    <row r="12" spans="1:18" ht="45">
      <c r="A12" s="13">
        <v>6</v>
      </c>
      <c r="B12" s="302" t="str">
        <v>ACS</v>
      </c>
      <c r="C12" s="282" t="str">
        <v>LTIA-5.10-VIETUR-80000-RFA-SDS-0371</v>
      </c>
      <c r="D12" s="303" t="str">
        <v xml:space="preserve">Construction design drawing of  ICT system – part.1: ICT systems for Duress Button Drawings. </v>
      </c>
      <c r="E12" s="303" t="str">
        <v>Bản vẽ TKTC cho hệ thống ICT – phần 1 – Hệ thống ICT cho hệ thống nút nhấn khẩn cấp.</v>
      </c>
      <c r="F12" s="270">
        <v>45930</v>
      </c>
      <c r="G12" s="270">
        <v>45930</v>
      </c>
      <c r="H12" s="264">
        <v>45932</v>
      </c>
      <c r="I12" s="264" t="str">
        <v>B</v>
      </c>
      <c r="J12" s="270">
        <v>45940</v>
      </c>
      <c r="K12" s="264">
        <v>45945</v>
      </c>
      <c r="L12" s="264" t="str">
        <v>B</v>
      </c>
      <c r="M12" s="270">
        <v>45978</v>
      </c>
      <c r="N12" s="264">
        <v>45979</v>
      </c>
      <c r="O12" s="264">
        <v>45986</v>
      </c>
      <c r="P12" s="270" t="str">
        <v/>
      </c>
      <c r="Q12" s="13" t="str">
        <v>Not submit yet</v>
      </c>
      <c r="R12" s="279">
        <v>331</v>
      </c>
    </row>
    <row r="13" spans="1:18" ht="75">
      <c r="A13" s="13">
        <v>7</v>
      </c>
      <c r="B13" s="302" t="str">
        <v>PAS</v>
      </c>
      <c r="C13" s="282" t="str">
        <v>LTIA-5.10-VIETUR-80000-RFA-SDS-0394</v>
      </c>
      <c r="D13" s="303" t="str">
        <v>Construction design drawing of  ICT system – part.1: ICT systems for Schematic Diagram Public Address System (PAS)</v>
      </c>
      <c r="E13" s="303" t="str">
        <v>Bản vẽ TKTC cho hệ thống ICT – phần 1 – Hệ thống ICT cho SDNL hệ thống Phát Thanh</v>
      </c>
      <c r="F13" s="270">
        <v>45965</v>
      </c>
      <c r="G13" s="270">
        <v>45965</v>
      </c>
      <c r="H13" s="264">
        <v>45966</v>
      </c>
      <c r="I13" s="264" t="str">
        <v>C</v>
      </c>
      <c r="J13" s="270">
        <v>45979</v>
      </c>
      <c r="K13" s="264">
        <v>45994</v>
      </c>
      <c r="L13" s="264" t="str">
        <v>C</v>
      </c>
      <c r="M13" s="270">
        <v>46146</v>
      </c>
      <c r="N13" s="264">
        <v>46136</v>
      </c>
      <c r="O13" s="264">
        <v>46143</v>
      </c>
      <c r="P13" s="270">
        <v>46268</v>
      </c>
      <c r="Q13" s="13" t="str">
        <v>Late Resubmission</v>
      </c>
      <c r="R13" s="279">
        <v>125</v>
      </c>
    </row>
    <row r="14" spans="1:18" ht="45">
      <c r="A14" s="13">
        <v>8</v>
      </c>
      <c r="B14" s="302" t="str">
        <v>PAS</v>
      </c>
      <c r="C14" s="282" t="str">
        <v>LTIA-5.10-VIETUR-80000-RFA-SDS-0160B</v>
      </c>
      <c r="D14" s="303" t="str">
        <v xml:space="preserve">Construction design drawing of  ICT system – part.1: ICT systems for GF Level </v>
      </c>
      <c r="E14" s="303" t="str">
        <v>Bản vẽ TKTC cho hệ thống ICT – phần 1 – Hệ thống ICT cho tầng GF</v>
      </c>
      <c r="F14" s="270">
        <v>45972</v>
      </c>
      <c r="G14" s="270">
        <v>45972</v>
      </c>
      <c r="H14" s="264">
        <v>45972</v>
      </c>
      <c r="I14" s="264" t="str">
        <v>B</v>
      </c>
      <c r="J14" s="270">
        <v>45982</v>
      </c>
      <c r="K14" s="264">
        <v>45982</v>
      </c>
      <c r="L14" s="264" t="str">
        <v>B</v>
      </c>
      <c r="M14" s="270">
        <v>45995</v>
      </c>
      <c r="N14" s="264">
        <v>45999</v>
      </c>
      <c r="O14" s="264">
        <v>46006</v>
      </c>
      <c r="P14" s="270" t="str">
        <v/>
      </c>
      <c r="Q14" s="13" t="str">
        <v>Not submit yet</v>
      </c>
      <c r="R14" s="279">
        <v>311</v>
      </c>
    </row>
    <row r="15" spans="1:18" ht="45"/>
    <row r="16" spans="1:18" ht="60"/>
    <row r="17" ht="45"/>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853</v>
      </c>
      <c r="B3" s="319">
        <f>AVERAGEIF('Need ReSub (RFA)'!S7:S76,"&lt;&gt;0")</f>
        <v>461.25</v>
      </c>
      <c r="C3" s="319">
        <f>MAX(_xlfn.ANCHORARRAY('Need ReSub (RFA-SDS)'!R7))</f>
        <v>554</v>
      </c>
      <c r="D3" s="319">
        <f>AVERAGEIF(_xlfn.ANCHORARRAY('Need ReSub (RFA-SDS)'!R7),"&lt;&gt;0")</f>
        <v>355.5</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461 days, with a maximum of 853 days, indicating that delays in the RFA approval process are contributing to delays in construction work.
Furthermore, the RFA (SDS) is as follows:
Avarage :  356 days
Maimum :  554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2026-10-22T02:24:01Z</dcterms:modified>
</cp:coreProperties>
</file>