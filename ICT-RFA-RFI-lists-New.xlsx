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852056E6-79F0-4F2A-9FF0-C3AD7076D7B0}" xr6:coauthVersionLast="47" xr6:coauthVersionMax="47" xr10:uidLastSave="{00000000-0000-0000-0000-000000000000}"/>
  <bookViews>
    <workbookView xWindow="-120" yWindow="-120" windowWidth="29040" windowHeight="16440" tabRatio="506" activeTab="2"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RFA!$A$6:$AE$146</definedName>
    <definedName name="_xlnm._FilterDatabase" localSheetId="1" hidden="1">'RFA-SDS'!$A$6:$AD$51</definedName>
    <definedName name="_xlnm._FilterDatabase" localSheetId="2" hidden="1">RFI!$A$6:$Z$131</definedName>
    <definedName name="_xlnm.Print_Area" localSheetId="3">'Need ReSub (RFA)'!$A$1:$S$77</definedName>
    <definedName name="_xlnm.Print_Area" localSheetId="4">'Need ReSub (RFA-SDS)'!$A$1:$R$62</definedName>
    <definedName name="_xlnm.Print_Area" localSheetId="0">RFA!$A$1:$AE$146,RFA!$I$148:$R$154,RFA!$C$148:$F$158,RFA!$C$160:$F$163,RFA!$C$165:$F$176</definedName>
    <definedName name="_xlnm.Print_Area" localSheetId="1">'RFA-SDS'!$A$1:$AD$51,'RFA-SDS'!$H$53:$Q$59,'RFA-SDS'!$C$53:$E$57,'RFA-SDS'!$C$59:$E$62</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9" i="4" l="1"/>
  <c r="AB49" i="4"/>
  <c r="AC49" i="4" s="1"/>
  <c r="Z49" i="4"/>
  <c r="E49" i="4"/>
  <c r="B49" i="4"/>
  <c r="AG144" i="1"/>
  <c r="AA144" i="1"/>
  <c r="F144" i="1"/>
  <c r="B144" i="1"/>
  <c r="AG143" i="1"/>
  <c r="AA143" i="1"/>
  <c r="F143" i="1"/>
  <c r="B143" i="1"/>
  <c r="AG48" i="4"/>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5" i="1"/>
  <c r="AA145" i="1"/>
  <c r="AG126" i="1"/>
  <c r="AC126" i="1"/>
  <c r="AD126" i="1" s="1"/>
  <c r="AA126" i="1"/>
  <c r="F126" i="1"/>
  <c r="B126" i="1"/>
  <c r="AG125" i="1"/>
  <c r="AC125" i="1"/>
  <c r="AD125" i="1" s="1"/>
  <c r="AA125" i="1"/>
  <c r="F125" i="1"/>
  <c r="B125" i="1"/>
  <c r="AI146" i="1"/>
  <c r="Z51" i="4"/>
  <c r="Z5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6"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8" i="4" l="1" a="1"/>
  <c r="AI48" i="4" s="1"/>
  <c r="AH49" i="4" a="1"/>
  <c r="AI49" i="4" s="1"/>
  <c r="AH143" i="1" a="1"/>
  <c r="AI143" i="1" s="1"/>
  <c r="AH144" i="1" a="1"/>
  <c r="AI144" i="1" s="1"/>
  <c r="AH46" i="4"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7" i="4"/>
  <c r="Q56" i="4"/>
  <c r="Q55" i="4"/>
  <c r="R152" i="1"/>
  <c r="R151" i="1"/>
  <c r="R150"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9" i="4"/>
  <c r="N154"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7" i="4"/>
  <c r="M56" i="4"/>
  <c r="M5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9" i="4" s="1"/>
  <c r="J49" i="4" s="1"/>
  <c r="N152" i="1"/>
  <c r="N151" i="1"/>
  <c r="N150"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4" i="1" s="1"/>
  <c r="K144"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42" i="1" l="1"/>
  <c r="K142" i="1" s="1"/>
  <c r="J143" i="1"/>
  <c r="K143" i="1" s="1"/>
  <c r="I47" i="4"/>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C7" i="4"/>
  <c r="R7" i="7" s="1" a="1"/>
  <c r="Q7" i="7" a="1"/>
  <c r="AD7" i="1"/>
  <c r="R7" i="6" a="1"/>
  <c r="Q58" i="4"/>
  <c r="Q54" i="4" s="1"/>
  <c r="R153" i="1"/>
  <c r="R149" i="1" s="1"/>
  <c r="P150" i="1"/>
  <c r="O153" i="1"/>
  <c r="N57" i="4"/>
  <c r="O55" i="4"/>
  <c r="O57" i="4"/>
  <c r="P153" i="1"/>
  <c r="O152" i="1"/>
  <c r="P152" i="1"/>
  <c r="P151" i="1"/>
  <c r="O151" i="1"/>
  <c r="O56" i="4"/>
  <c r="O58" i="4"/>
  <c r="N56" i="4"/>
  <c r="N55" i="4"/>
  <c r="O150" i="1"/>
  <c r="N58" i="4"/>
  <c r="S7" i="6" a="1"/>
  <c r="M58" i="4" l="1"/>
  <c r="M54" i="4" s="1"/>
  <c r="N153" i="1"/>
  <c r="D3" i="9"/>
  <c r="C3" i="9"/>
  <c r="P54" i="4"/>
  <c r="P56" i="4"/>
  <c r="P57" i="4"/>
  <c r="P55" i="4"/>
  <c r="P58" i="4"/>
  <c r="Q149" i="1"/>
  <c r="Q151" i="1"/>
  <c r="Q152" i="1"/>
  <c r="Q150" i="1"/>
  <c r="Q153" i="1"/>
  <c r="L58" i="4" l="1"/>
  <c r="L56" i="4"/>
  <c r="L55" i="4"/>
  <c r="L57" i="4"/>
  <c r="L54" i="4"/>
  <c r="L59" i="4"/>
  <c r="N149" i="1"/>
  <c r="M153" i="1" s="1"/>
  <c r="B3" i="9"/>
  <c r="A3" i="9"/>
  <c r="N138" i="5"/>
  <c r="Q138" i="5"/>
  <c r="Q136" i="5" s="1"/>
  <c r="O138" i="5"/>
  <c r="O137" i="5"/>
  <c r="N137" i="5"/>
  <c r="J7" i="5"/>
  <c r="M151" i="1" l="1"/>
  <c r="M150" i="1"/>
  <c r="M149" i="1"/>
  <c r="M154" i="1"/>
  <c r="M152"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<sst xmlns="http://schemas.openxmlformats.org/spreadsheetml/2006/main" count="3642" uniqueCount="1144">
  <si>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</si>
  <si>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</si>
  <si>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</si>
  <si>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</si>
  <si>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</si>
  <si>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</si>
  <si>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</si>
  <si>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</si>
  <si>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</si>
  <si>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</si>
  <si>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</si>
  <si>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</si>
  <si>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</si>
  <si>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</si>
  <si>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</si>
  <si>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</si>
  <si>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</si>
  <si>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</si>
  <si>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</si>
  <si>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</si>
  <si>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</si>
  <si>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</si>
  <si>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</si>
  <si>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</si>
  <si>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</si>
  <si>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</si>
  <si>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</si>
  <si>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</si>
  <si>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</si>
  <si>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</si>
  <si>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</si>
  <si>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</si>
  <si>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</si>
  <si>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</si>
  <si>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</si>
  <si>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</si>
  <si>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</si>
  <si>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</si>
  <si>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</si>
  <si>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</si>
  <si>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</si>
  <si>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</si>
  <si>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</si>
  <si>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</si>
  <si>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</si>
  <si>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</si>
  <si>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</si>
  <si>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</si>
  <si>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</si>
  <si>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</si>
  <si>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</si>
  <si>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</si>
  <si>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</si>
  <si>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</si>
  <si>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</si>
  <si>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</si>
  <si>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</si>
  <si>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</si>
  <si>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</si>
  <si>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</si>
  <si>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</si>
  <si>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</si>
  <si>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</si>
  <si>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</si>
  <si>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</si>
  <si>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</si>
  <si>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</si>
  <si>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</si>
  <si>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</si>
  <si>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</si>
  <si>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</si>
  <si>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</si>
  <si>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</si>
  <si>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</si>
  <si>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</si>
  <si>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</si>
  <si>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</si>
  <si>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</si>
  <si>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</si>
  <si>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</si>
  <si>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</si>
  <si>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</si>
  <si>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</si>
  <si>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</si>
  <si>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</si>
  <si>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</si>
  <si>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</si>
  <si>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</si>
  <si>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</si>
  <si>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</si>
  <si>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</si>
  <si>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</si>
  <si>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</si>
  <si>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</si>
  <si>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</si>
  <si>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</si>
  <si>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</si>
  <si>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</si>
  <si>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</si>
  <si>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</si>
  <si>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</si>
  <si>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</si>
  <si>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</si>
  <si>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</si>
  <si>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</si>
  <si>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</si>
  <si>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</si>
  <si>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</si>
  <si>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</si>
  <si>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</si>
  <si>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</si>
  <si>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</si>
  <si>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</si>
  <si>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</si>
  <si>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</si>
  <si>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</si>
  <si>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</si>
  <si>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</si>
  <si>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</si>
  <si>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</si>
  <si>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</si>
  <si>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</si>
  <si>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</si>
  <si>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</si>
  <si>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</si>
  <si>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</si>
  <si>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</si>
  <si>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</si>
  <si>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</si>
  <si>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</si>
  <si>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</si>
  <si>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</si>
  <si>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</si>
  <si>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</si>
  <si>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</si>
  <si>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</si>
  <si>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</si>
  <si>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</si>
  <si>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</si>
  <si>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</si>
  <si>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</si>
  <si>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</si>
  <si>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</si>
  <si>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</si>
  <si>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</si>
  <si>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</si>
  <si>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</si>
  <si>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</si>
  <si>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</si>
  <si>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</si>
  <si>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</si>
  <si>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</si>
  <si>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</si>
  <si>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</si>
  <si>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</si>
  <si>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</si>
  <si>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</si>
  <si>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</si>
  <si>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</si>
  <si>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</si>
  <si>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</si>
  <si>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</si>
  <si>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</si>
  <si>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</si>
  <si>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</si>
  <si>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</si>
  <si>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</si>
  <si>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</si>
  <si>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</si>
  <si>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</si>
  <si>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</si>
  <si>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</si>
  <si>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</si>
  <si>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</si>
  <si>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</si>
  <si>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</si>
  <si>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</si>
  <si>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</si>
  <si>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</si>
  <si>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</si>
  <si>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</si>
  <si>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</si>
  <si>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</si>
  <si>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</si>
  <si>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</si>
  <si>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</si>
  <si>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</si>
  <si>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</si>
  <si>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</si>
  <si>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</si>
  <si>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</si>
  <si>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</si>
  <si>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</si>
  <si>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</si>
  <si>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</si>
  <si>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</si>
  <si>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</si>
  <si>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</si>
  <si>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</si>
  <si>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</si>
  <si>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</si>
  <si>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</si>
  <si>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</si>
  <si>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</si>
  <si>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</si>
  <si>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</si>
  <si>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</si>
  <si>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</si>
  <si>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</si>
  <si>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</si>
  <si>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</si>
  <si>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</si>
  <si>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</si>
  <si>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</si>
  <si>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</si>
  <si>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</si>
  <si>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</si>
  <si>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</si>
  <si>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</si>
  <si>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</si>
  <si>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</si>
  <si>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</si>
  <si>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</si>
  <si>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</si>
  <si>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</si>
  <si>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</si>
  <si>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</si>
  <si>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</si>
  <si>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</si>
  <si>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</si>
  <si>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</si>
  <si>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</si>
  <si>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</si>
  <si>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</si>
  <si>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</si>
  <si>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</si>
  <si>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</si>
  <si>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</si>
  <si>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</si>
  <si>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</si>
  <si>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</si>
  <si>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</si>
  <si>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</si>
  <si>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</si>
  <si>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</si>
  <si>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</si>
  <si>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</si>
  <si>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</si>
  <si>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</si>
  <si>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</si>
  <si>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</si>
  <si>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</si>
  <si>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</si>
  <si>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</si>
  <si>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</si>
  <si>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</si>
  <si>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</si>
  <si>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</si>
  <si>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</si>
  <si>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</si>
  <si>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</si>
  <si>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</si>
  <si>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</si>
  <si>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</si>
  <si>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</si>
  <si>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</si>
  <si>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</si>
  <si>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</si>
  <si>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</si>
  <si>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</si>
  <si>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</si>
  <si>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</si>
  <si>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</si>
  <si>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</si>
  <si>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</si>
  <si>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</si>
  <si>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</si>
  <si>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</si>
  <si>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</si>
  <si>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</si>
  <si>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</si>
  <si>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</si>
  <si>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</si>
  <si>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</si>
  <si>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</si>
  <si>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</si>
  <si>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</si>
  <si>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</si>
  <si>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</si>
  <si>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</si>
  <si>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</si>
  <si>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</si>
  <si>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</si>
  <si>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</si>
  <si>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</si>
  <si>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</si>
  <si>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</si>
  <si>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</si>
  <si>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</si>
  <si>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</si>
  <si>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</si>
  <si>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</si>
  <si>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</si>
  <si>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</si>
  <si>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</si>
  <si>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</si>
  <si>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</si>
  <si>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</si>
  <si>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</si>
  <si>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</si>
  <si>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</si>
  <si>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</si>
  <si>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</si>
  <si>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</si>
  <si>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</si>
  <si>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</si>
  <si>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</si>
  <si>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</si>
  <si>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</si>
  <si>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</si>
  <si>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</si>
  <si>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</si>
  <si>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</si>
  <si>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</si>
  <si>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</si>
  <si>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</si>
  <si>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</si>
  <si>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</si>
  <si>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</si>
  <si>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</si>
  <si>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</si>
  <si>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</si>
  <si>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</si>
  <si>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</si>
  <si>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</si>
  <si>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</si>
  <si>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</si>
  <si>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</si>
  <si>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</si>
  <si>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</si>
  <si>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</si>
  <si>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</si>
  <si>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</si>
  <si>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</si>
  <si>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</si>
  <si>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</si>
  <si>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</si>
  <si>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</si>
  <si>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</si>
  <si>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</si>
  <si>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</si>
  <si>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</si>
  <si>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</si>
  <si>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</si>
  <si>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</si>
  <si>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</si>
  <si>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</si>
  <si>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</si>
  <si>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</si>
  <si>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</si>
  <si>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</si>
  <si>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</si>
  <si>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</si>
  <si>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</si>
  <si>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</si>
  <si>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</si>
  <si>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</si>
  <si>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</si>
  <si>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</si>
  <si>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</si>
  <si>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</si>
  <si>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</si>
  <si>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</si>
  <si>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</si>
  <si>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</si>
  <si>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</si>
  <si>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</si>
  <si>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</si>
  <si>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</si>
  <si>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</si>
  <si>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</si>
  <si>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</si>
  <si>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</si>
  <si>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</si>
  <si>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</si>
  <si>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</si>
  <si>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</si>
  <si>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</si>
  <si>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</si>
  <si>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</si>
  <si>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</si>
  <si>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</si>
  <si>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</si>
  <si>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</si>
  <si>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</si>
  <si>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</si>
  <si>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</si>
  <si>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</si>
  <si>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</si>
  <si>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</si>
  <si>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</si>
  <si>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</si>
  <si>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</si>
  <si>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</si>
  <si>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</si>
  <si>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</si>
  <si>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</si>
  <si>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</si>
  <si>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</si>
  <si>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</si>
  <si>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</si>
  <si>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</si>
  <si>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</si>
  <si>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</si>
  <si>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</si>
  <si>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</si>
  <si>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</si>
  <si>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</si>
  <si>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</si>
  <si>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</si>
  <si>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</si>
  <si>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</si>
  <si>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</si>
  <si>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</si>
  <si>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</si>
  <si>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</si>
  <si>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</si>
  <si>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</si>
  <si>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</si>
  <si>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</si>
  <si>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</si>
  <si>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</si>
  <si>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</si>
  <si>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</si>
  <si>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</si>
  <si>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</si>
  <si>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</si>
  <si>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</si>
  <si>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</si>
  <si>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</si>
  <si>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</si>
  <si>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</si>
  <si>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</si>
  <si>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</si>
  <si>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</si>
  <si>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</si>
  <si>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</si>
  <si>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</si>
  <si>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</si>
  <si>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</si>
  <si>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</si>
  <si>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</si>
  <si>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</si>
  <si>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</si>
  <si>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</si>
  <si>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</si>
  <si>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</si>
  <si>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</si>
  <si>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</si>
  <si>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</si>
  <si>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</si>
  <si>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</si>
  <si>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</si>
  <si>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</si>
  <si>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</si>
  <si>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</si>
  <si>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</si>
  <si>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</si>
  <si>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</si>
  <si>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</si>
  <si>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</si>
  <si>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</si>
  <si>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</si>
  <si>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</si>
  <si>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</si>
  <si>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</si>
  <si>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</si>
  <si>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</si>
  <si>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</si>
  <si>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</si>
  <si>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</si>
  <si>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</si>
  <si>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</si>
  <si>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</si>
  <si>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</si>
  <si>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</si>
  <si>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</si>
  <si>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</si>
  <si>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</si>
  <si>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</si>
  <si>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</si>
  <si>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</si>
  <si>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</si>
  <si>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</si>
  <si>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</si>
  <si>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</si>
  <si>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</si>
  <si>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</si>
  <si>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</si>
  <si>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</si>
  <si>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</si>
  <si>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</si>
  <si>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</si>
  <si>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</si>
  <si>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</si>
  <si>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</si>
  <si>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</si>
  <si>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</si>
  <si>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</si>
  <si>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</si>
  <si>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</si>
  <si>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</si>
  <si>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</si>
  <si>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</si>
  <si>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</si>
  <si>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</si>
  <si>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</si>
  <si>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</si>
  <si>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</si>
  <si>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</si>
  <si>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</si>
  <si>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</si>
  <si>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</si>
  <si>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</si>
  <si>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</si>
  <si>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</si>
  <si>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</si>
  <si>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</si>
  <si>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</si>
  <si>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</si>
  <si>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</si>
  <si>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</si>
  <si>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</si>
  <si>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</si>
  <si>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</si>
  <si>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</si>
  <si>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</si>
  <si>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</si>
  <si>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</si>
  <si>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</si>
  <si>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</si>
  <si>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</si>
  <si>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</si>
  <si>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</si>
  <si>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</si>
  <si>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</si>
  <si>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</si>
  <si>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</si>
  <si>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</si>
  <si>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</si>
  <si>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</si>
  <si>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</si>
  <si>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</si>
  <si>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</si>
  <si>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</si>
  <si>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</si>
  <si>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</si>
  <si>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</si>
  <si>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</si>
  <si>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</si>
  <si>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</si>
  <si>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</si>
  <si>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</si>
  <si>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</si>
  <si>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</si>
  <si>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</si>
  <si>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</si>
  <si>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</si>
  <si>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</si>
  <si>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</si>
  <si>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</si>
  <si>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</si>
  <si>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</si>
  <si>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</si>
  <si>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</si>
  <si>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</si>
  <si>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</si>
  <si>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</si>
  <si>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</si>
  <si>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</si>
  <si>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</si>
  <si>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</si>
  <si>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</si>
  <si>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</si>
  <si>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</si>
  <si>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</si>
  <si>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</si>
  <si>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</si>
  <si>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</si>
  <si>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</si>
  <si>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</si>
  <si>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</si>
  <si>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</si>
  <si>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</si>
  <si>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</si>
  <si>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</si>
  <si>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</si>
  <si>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</si>
  <si>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</si>
  <si>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</si>
  <si>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</si>
  <si>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</si>
  <si>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</si>
  <si>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</si>
  <si>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</si>
  <si>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</si>
  <si>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</si>
  <si>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</si>
  <si>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</si>
  <si>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</si>
  <si>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</si>
  <si>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</si>
  <si>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</si>
  <si>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</si>
  <si>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</si>
  <si>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</si>
  <si>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</si>
  <si>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</si>
  <si>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</si>
  <si>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</si>
  <si>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</si>
  <si>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</si>
  <si>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</si>
  <si>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</si>
  <si>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</si>
  <si>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</si>
  <si>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</si>
  <si>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</si>
  <si>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</si>
  <si>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</si>
  <si>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</si>
  <si>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</si>
  <si>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</si>
  <si>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</si>
  <si>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</si>
  <si>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</si>
  <si>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</si>
  <si>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</si>
  <si>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</si>
  <si>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</si>
  <si>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</si>
  <si>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</si>
  <si>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</si>
  <si>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</si>
  <si>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</si>
  <si>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</si>
  <si>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</si>
  <si>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</si>
  <si>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</si>
  <si>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</si>
  <si>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</si>
  <si>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</si>
  <si>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</si>
  <si>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</si>
  <si>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</si>
  <si>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</si>
  <si>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</si>
  <si>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</si>
  <si>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</si>
  <si>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</si>
  <si>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</si>
  <si>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</si>
  <si>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</si>
  <si>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</si>
  <si>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</si>
  <si>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</si>
  <si>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</si>
  <si>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</si>
  <si>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</si>
  <si>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</si>
  <si>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</si>
  <si>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</si>
  <si>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</si>
  <si>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</si>
  <si>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</si>
  <si>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</si>
  <si>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</si>
  <si>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</si>
  <si>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</si>
  <si>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</si>
  <si>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</si>
  <si>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</si>
  <si>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</si>
  <si>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</si>
  <si>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</si>
  <si>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</si>
  <si>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</si>
  <si>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</si>
  <si>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</si>
  <si>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</si>
  <si>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</si>
  <si>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</si>
  <si>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</si>
  <si>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</si>
  <si>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</si>
  <si>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</si>
  <si>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</si>
  <si>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</si>
  <si>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</si>
  <si>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</si>
  <si>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</si>
  <si>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</si>
  <si>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</si>
  <si>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</si>
  <si>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</si>
  <si>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</si>
  <si>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</si>
  <si>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</si>
  <si>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</si>
  <si>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</si>
  <si>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</si>
  <si>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</si>
  <si>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</si>
  <si>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</si>
  <si>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</si>
  <si>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</si>
  <si>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</si>
  <si>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</si>
  <si>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</si>
  <si>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</si>
  <si>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</si>
  <si>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</si>
  <si>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</si>
  <si>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</si>
  <si>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</si>
  <si>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</si>
  <si>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</si>
  <si>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</si>
  <si>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</si>
  <si>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</si>
  <si>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</si>
  <si>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</si>
  <si>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</si>
  <si>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</si>
  <si>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</si>
  <si>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</si>
  <si>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</si>
  <si>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</si>
  <si>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</si>
  <si>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</si>
  <si>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</si>
  <si>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</si>
  <si>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</si>
  <si>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</si>
  <si>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</si>
  <si>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</si>
  <si>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</si>
  <si>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</si>
  <si>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</si>
  <si>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</si>
  <si>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</si>
  <si>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</si>
  <si>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</si>
  <si>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</si>
  <si>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</si>
  <si>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</si>
  <si>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</si>
  <si>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</si>
  <si>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</si>
  <si>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</si>
  <si>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</si>
  <si>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</si>
  <si>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</si>
  <si>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</si>
  <si>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</si>
  <si>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</si>
  <si>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</si>
  <si>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</si>
  <si>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</si>
  <si>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</si>
  <si>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</si>
  <si>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</si>
  <si>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</si>
  <si>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</si>
  <si>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</si>
  <si>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</si>
  <si>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</si>
  <si>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</si>
  <si>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</si>
  <si>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</si>
  <si>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</si>
  <si>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</si>
  <si>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</si>
  <si>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</si>
  <si>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</si>
  <si>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</si>
  <si>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</si>
  <si>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</si>
  <si>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</si>
  <si>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</si>
  <si>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</si>
  <si>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</si>
  <si>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</si>
  <si>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</si>
  <si>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</si>
  <si>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</si>
  <si>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</si>
  <si>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</si>
  <si>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</si>
  <si>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</si>
  <si>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</si>
  <si>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</si>
  <si>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</si>
  <si>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</si>
  <si>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</si>
  <si>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</si>
  <si>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</si>
  <si>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</si>
  <si>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</si>
  <si>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</si>
  <si>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</si>
  <si>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</si>
  <si>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</si>
  <si>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</si>
  <si>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</si>
  <si>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</si>
  <si>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</si>
  <si>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</si>
  <si>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</si>
  <si>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</si>
  <si>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</si>
  <si>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</si>
  <si>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</si>
  <si>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</si>
  <si>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</si>
  <si>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</si>
  <si>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</si>
  <si>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</si>
  <si>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</si>
  <si>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</si>
  <si>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</si>
  <si>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</si>
  <si>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</si>
  <si>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</si>
  <si>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</si>
  <si>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</si>
  <si>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</si>
  <si>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</si>
  <si>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</si>
  <si>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</si>
  <si>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</si>
  <si>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</si>
  <si>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</si>
  <si>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</si>
  <si>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</si>
  <si>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</si>
  <si>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</si>
  <si>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</si>
  <si>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</si>
  <si>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</si>
  <si>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</si>
  <si>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</si>
  <si>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</si>
  <si>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</si>
  <si>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</si>
  <si>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</si>
  <si>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</si>
  <si>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</si>
  <si>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</si>
  <si>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</si>
  <si>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</si>
  <si>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</si>
  <si>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</si>
  <si>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</si>
  <si>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</si>
  <si>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</si>
  <si>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</si>
  <si>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</si>
  <si>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</si>
  <si>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</si>
  <si>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</si>
  <si>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</si>
  <si>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</si>
  <si>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</si>
  <si>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</si>
  <si>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</si>
  <si>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</si>
  <si>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</si>
  <si>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</si>
  <si>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</si>
  <si>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</si>
  <si>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</si>
  <si>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</si>
  <si>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</si>
  <si>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</si>
  <si>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</si>
  <si>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</si>
  <si>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</si>
  <si>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</si>
  <si>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</si>
  <si>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</si>
  <si>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</si>
  <si>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</si>
  <si>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</si>
  <si>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</si>
  <si>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</si>
  <si>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</si>
  <si>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</si>
  <si>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</si>
  <si>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</si>
  <si>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</si>
  <si>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</si>
  <si>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</si>
  <si>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</si>
  <si>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</si>
  <si>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</si>
  <si>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</si>
  <si>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</si>
  <si>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</si>
  <si>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</si>
  <si>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</si>
  <si>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</si>
  <si>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</si>
  <si>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</si>
  <si>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</si>
  <si>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</si>
  <si>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</si>
  <si>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</si>
  <si>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</si>
  <si>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</si>
  <si>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</si>
  <si>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</si>
  <si>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</si>
  <si>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</si>
  <si>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</si>
  <si>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</si>
  <si>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</si>
  <si>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</si>
  <si>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</si>
  <si>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</si>
  <si>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</si>
  <si>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</si>
  <si>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</si>
  <si>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</si>
  <si>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</si>
  <si>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</si>
  <si>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</si>
  <si>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</si>
  <si>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</si>
  <si>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</si>
  <si>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</si>
  <si>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</si>
  <si>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</si>
  <si>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</si>
  <si>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</si>
  <si>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</si>
  <si>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</si>
  <si>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</si>
  <si>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</si>
  <si>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</si>
  <si>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</si>
  <si>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</si>
  <si>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</si>
  <si>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</si>
  <si>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</si>
  <si>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</si>
  <si>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</si>
  <si>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</si>
  <si>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</si>
  <si>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</si>
  <si>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</si>
  <si>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</si>
  <si>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</si>
  <si>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</si>
  <si>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</si>
  <si>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</si>
  <si>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</si>
  <si>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</si>
  <si>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</si>
  <si>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</si>
  <si>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</si>
  <si>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</si>
  <si>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</si>
  <si>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</si>
  <si>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</si>
  <si>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</si>
  <si>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</si>
  <si>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</si>
  <si>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</si>
  <si>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</si>
  <si>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</si>
  <si>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</si>
  <si>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</si>
  <si>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</si>
  <si>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</si>
  <si>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</si>
  <si>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</si>
  <si>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</si>
  <si>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</si>
  <si>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</si>
  <si>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</si>
  <si>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</si>
  <si>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</si>
  <si>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</si>
  <si>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</si>
  <si>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</si>
  <si>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</si>
  <si>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</si>
  <si>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</si>
  <si>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</si>
  <si>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</si>
  <si>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</si>
  <si>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</si>
  <si>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</si>
  <si>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</si>
  <si>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</si>
  <si>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</si>
  <si>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</si>
  <si>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</si>
  <si>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</si>
  <si>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</si>
  <si>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</si>
  <si>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</si>
  <si>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</si>
  <si>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</si>
  <si>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</si>
  <si>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</si>
  <si>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</si>
  <si>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</si>
  <si>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</si>
  <si>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</si>
  <si>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</si>
  <si>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</si>
  <si>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</si>
  <si>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</si>
  <si>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</si>
  <si>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</si>
  <si>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</si>
  <si>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</si>
  <si>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</si>
  <si>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</si>
  <si>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</si>
  <si>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</si>
  <si>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</si>
  <si>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</si>
  <si>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</si>
  <si>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</si>
  <si>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</si>
  <si>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</si>
  <si>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</si>
  <si>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</si>
  <si>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</si>
  <si>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</si>
  <si>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</si>
  <si>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</si>
  <si>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</si>
  <si>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</si>
  <si>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</si>
  <si>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</si>
  <si>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</si>
  <si>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</si>
  <si>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</si>
  <si>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</si>
  <si>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</si>
  <si>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</si>
  <si>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</si>
  <si>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</si>
  <si>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</si>
  <si>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</si>
  <si>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</si>
  <si>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</si>
  <si>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</si>
  <si>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</si>
  <si>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</si>
  <si>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</si>
  <si>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</si>
  <si>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</si>
  <si>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</si>
  <si>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</si>
  <si>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</si>
  <si>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</si>
  <si>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</si>
  <si>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</si>
  <si>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</si>
  <si>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</si>
  <si>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</si>
  <si>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</si>
  <si>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</si>
  <si>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</si>
  <si>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</si>
  <si>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</si>
  <si>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</si>
  <si>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</si>
  <si>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</si>
  <si>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</si>
  <si>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</si>
  <si>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</si>
  <si>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</si>
  <si>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</si>
  <si>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</si>
  <si>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</si>
  <si>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</si>
  <si>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</si>
  <si>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</si>
  <si>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</si>
  <si>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</si>
  <si>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</si>
  <si>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</si>
  <si>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</si>
  <si>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</si>
  <si>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</si>
  <si>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</si>
  <si>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</si>
  <si>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</si>
  <si>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</si>
  <si>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</si>
  <si>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</si>
  <si>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</si>
  <si>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</si>
  <si>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</si>
  <si>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</si>
  <si>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</si>
  <si>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</si>
  <si>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</si>
  <si>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</si>
  <si>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</si>
  <si>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10/1/2026: Đã comemnt
Withdraw (nhưng không có mail)
10/23/2026: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</si>
  <si>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</si>
  <si>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</si>
  <si>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</si>
  <si>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</si>
  <si>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</si>
  <si>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</si>
  <si>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</si>
  <si>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10/26/2026: Đã comment</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</si>
  <si>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</si>
  <si>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</si>
  <si>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</si>
  <si>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</si>
  <si>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</si>
  <si>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</si>
  <si>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</si>
  <si>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</si>
  <si>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</si>
  <si>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</si>
  <si>
    <t>10/23/2026: Đã comment
10/26/2026: Đã gửi CNC
10/27/2026: Đã ký C</t>
  </si>
  <si>
    <t>10/23/2026: Đã comment
10/26/2026: Đã gửi CNC
10/27/2026: Đã ký RFCS</t>
  </si>
  <si>
    <t>LTIA-5.10-VIETUR-72150-RFA-OTH-0750A</t>
  </si>
  <si>
    <t>LTIA-5.11-LTICT-72190-RFA-OTH-0011A</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</si>
  <si>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</si>
  <si>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</si>
  <si>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Chuyển sang kiến trúc</t>
  </si>
  <si>
    <t>LTIA-5.10-VIETUR-80000-RFA-SDS-0160C</t>
  </si>
  <si>
    <t>Construction design drawing of  ICT system – part.1: ICT systems for GF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</si>
</sst>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22" Type="http://schemas.openxmlformats.org/officeDocument/2006/relationships/hyperlink" Target="https://conincojsc-my.sharepoint.com/:b:/g/personal/vanphongjcjv_coninco_com_vn/IQDfxpjPCBLzRp1st3mfgRWQATpbWcq5lpuQ32Kr3VS1a7A"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524" Type="http://schemas.openxmlformats.org/officeDocument/2006/relationships/hyperlink" Target="https://etcvn.sharepoint.com/:f:/r/sites/ACV.Prj.LTIA.ICT-ACV.Prj.LTIA.ICT-JCJV-PMU-VIETUR/Shared%20Documents/Prj.Outside/02.PMU-JCJV-ICT/01.Project%20Quality%20Management/02.RFA/5.%20RFA-OTH/RFA-OTH-0011A?d=w55b56e326756457dbe266af60aef3297&amp;csf=1&amp;web=1&amp;e=YYTGRf"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hyperlink" Target="https://conincojsc-my.sharepoint.com/:b:/g/personal/vanphongjcjv_coninco_com_vn/IQAor17Fh_03QYwaQNCHVgC1AY5e-3S39FbuNqDTFdHCyfU"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1" Type="http://schemas.openxmlformats.org/officeDocument/2006/relationships/hyperlink" Target="https://conincojsc-my.sharepoint.com/:b:/g/personal/vanphongjcjv_coninco_com_vn/IQBHnVIiJl-STIsJ5_8CHhWXAUJK463TEdiIL28ercXMg9s"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23" Type="http://schemas.openxmlformats.org/officeDocument/2006/relationships/hyperlink" Target="https://vietur.sharepoint.com/:f:/r/sites/LTIA/Shared%20Documents/4%20LTIA_LINK/4.1%20LTIA_LINK%20GUI%20CDT%20-%20TV/2026/10_2026/20261027/LTIA-5.10-VIETUR-72150-RFA-OTH-0750A?d=wcc123bade8184e1e93009c3d9b637ea8&amp;csf=1&amp;web=1&amp;e=oPEQab"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525" Type="http://schemas.openxmlformats.org/officeDocument/2006/relationships/printerSettings" Target="../printerSettings/printerSettings1.bin"/><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0" Type="http://schemas.openxmlformats.org/officeDocument/2006/relationships/hyperlink" Target="https://conincojsc-my.sharepoint.com/:b:/g/personal/vanphongjcjv_coninco_com_vn/IQAUyqiAXXFVS7TWRtFZBKx9AaiIRoWarxh6fd55NoPdv54"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hyperlink" Target="https://vietur.sharepoint.com/:f:/r/sites/LTIA/Shared%20Documents/4%20LTIA_LINK/4.1%20LTIA_LINK%20GUI%20CDT%20-%20TV/2026/10_2026/20261028/LTIA-5.10-VIETUR-80000-RFA-SDS-0160C?d=wa5ddeea397ec4523abb144b9714cf14b&amp;csf=1&amp;web=1&amp;e=sOAaTe"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56" Type="http://schemas.openxmlformats.org/officeDocument/2006/relationships/printerSettings" Target="../printerSettings/printerSettings2.bin"/><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printerSettings" Target="../printerSettings/printerSettings3.bin"/><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6"/>
  <sheetViews>
    <sheetView zoomScale="85" zoomScaleNormal="85" zoomScaleSheetLayoutView="115" workbookViewId="0">
      <pane xSplit="6" ySplit="6" topLeftCell="G139" activePane="bottomRight" state="frozen"/>
      <selection pane="topRight" activeCell="D1" sqref="D1"/>
      <selection pane="bottomLeft" activeCell="A7" sqref="A7"/>
      <selection pane="bottomRight" activeCell="AE145" sqref="AE145"/>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46324</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_xlfn._xlws.FILTER($AG$7:$AG$4581,$L$7:$L$4581&lt;&gt;"X"),
_xlfn._xlws.FILTER($E$7:$E$4581,$L$7:$L$4581&lt;&gt;"X"),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_xlfn._xlws.FILTER($AG$7:$AG$4581,$L$7:$L$4581&lt;&gt;"X"),
_xlfn._xlws.FILTER($E$7:$E$4581,$L$7:$L$4581&lt;&gt;"X"),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_xlfn._xlws.FILTER($AG$7:$AG$4581,$L$7:$L$4581&lt;&gt;"X"),
_xlfn._xlws.FILTER($E$7:$E$4581,$L$7:$L$4581&lt;&gt;"X"),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_xlfn._xlws.FILTER($AG$7:$AG$4581,$L$7:$L$4581&lt;&gt;"X"),
_xlfn._xlws.FILTER($E$7:$E$4581,$L$7:$L$4581&lt;&gt;"X"),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_xlfn._xlws.FILTER($AG$7:$AG$4581,$L$7:$L$4581&lt;&gt;"X"),
_xlfn._xlws.FILTER($E$7:$E$4581,$L$7:$L$4581&lt;&gt;"X"),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_xlfn._xlws.FILTER($AG$7:$AG$4581,$L$7:$L$4581&lt;&gt;"X"),
_xlfn._xlws.FILTER($E$7:$E$4581,$L$7:$L$4581&lt;&gt;"X"),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_xlfn._xlws.FILTER($AG$7:$AG$4581,$L$7:$L$4581&lt;&gt;"X"),
_xlfn._xlws.FILTER($E$7:$E$4581,$L$7:$L$4581&lt;&gt;"X"),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861</v>
      </c>
      <c r="AE14" s="92"/>
      <c r="AG14" s="238" t="str">
        <f t="shared" si="8"/>
        <v>LTIA-5.10-VIETUR-70000-RFA-MAS-0088</v>
      </c>
      <c r="AH14" s="243" t="b" cm="1">
        <f t="array" ref="AH14">$E14=_xlfn.XLOOKUP(
AG14,
_xlfn._xlws.FILTER($AG$7:$AG$4581,$L$7:$L$4581&lt;&gt;"X"),
_xlfn._xlws.FILTER($E$7:$E$4581,$L$7:$L$4581&lt;&gt;"X"),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826</v>
      </c>
      <c r="AE15" s="92"/>
      <c r="AG15" s="238" t="str">
        <f t="shared" si="8"/>
        <v>LTIA-5.10-VIETUR-70000-RFA-MAS-0248</v>
      </c>
      <c r="AH15" s="243" t="b" cm="1">
        <f t="array" ref="AH15">$E15=_xlfn.XLOOKUP(
AG15,
_xlfn._xlws.FILTER($AG$7:$AG$4581,$L$7:$L$4581&lt;&gt;"X"),
_xlfn._xlws.FILTER($E$7:$E$4581,$L$7:$L$4581&lt;&gt;"X"),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_xlfn._xlws.FILTER($AG$7:$AG$4581,$L$7:$L$4581&lt;&gt;"X"),
_xlfn._xlws.FILTER($E$7:$E$4581,$L$7:$L$4581&lt;&gt;"X"),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_xlfn._xlws.FILTER($AG$7:$AG$4581,$L$7:$L$4581&lt;&gt;"X"),
_xlfn._xlws.FILTER($E$7:$E$4581,$L$7:$L$4581&lt;&gt;"X"),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_xlfn._xlws.FILTER($AG$7:$AG$4581,$L$7:$L$4581&lt;&gt;"X"),
_xlfn._xlws.FILTER($E$7:$E$4581,$L$7:$L$4581&lt;&gt;"X"),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_xlfn._xlws.FILTER($AG$7:$AG$4581,$L$7:$L$4581&lt;&gt;"X"),
_xlfn._xlws.FILTER($E$7:$E$4581,$L$7:$L$4581&lt;&gt;"X"),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_xlfn._xlws.FILTER($AG$7:$AG$4581,$L$7:$L$4581&lt;&gt;"X"),
_xlfn._xlws.FILTER($E$7:$E$4581,$L$7:$L$4581&lt;&gt;"X"),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_xlfn._xlws.FILTER($AG$7:$AG$4581,$L$7:$L$4581&lt;&gt;"X"),
_xlfn._xlws.FILTER($E$7:$E$4581,$L$7:$L$4581&lt;&gt;"X"),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_xlfn._xlws.FILTER($AG$7:$AG$4581,$L$7:$L$4581&lt;&gt;"X"),
_xlfn._xlws.FILTER($E$7:$E$4581,$L$7:$L$4581&lt;&gt;"X"),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_xlfn._xlws.FILTER($AG$7:$AG$4581,$L$7:$L$4581&lt;&gt;"X"),
_xlfn._xlws.FILTER($E$7:$E$4581,$L$7:$L$4581&lt;&gt;"X"),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_xlfn._xlws.FILTER($AG$7:$AG$4581,$L$7:$L$4581&lt;&gt;"X"),
_xlfn._xlws.FILTER($E$7:$E$4581,$L$7:$L$4581&lt;&gt;"X"),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_xlfn._xlws.FILTER($AG$7:$AG$4581,$L$7:$L$4581&lt;&gt;"X"),
_xlfn._xlws.FILTER($E$7:$E$4581,$L$7:$L$4581&lt;&gt;"X"),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_xlfn._xlws.FILTER($AG$7:$AG$4581,$L$7:$L$4581&lt;&gt;"X"),
_xlfn._xlws.FILTER($E$7:$E$4581,$L$7:$L$4581&lt;&gt;"X"),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_xlfn._xlws.FILTER($AG$7:$AG$4581,$L$7:$L$4581&lt;&gt;"X"),
_xlfn._xlws.FILTER($E$7:$E$4581,$L$7:$L$4581&lt;&gt;"X"),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_xlfn._xlws.FILTER($AG$7:$AG$4581,$L$7:$L$4581&lt;&gt;"X"),
_xlfn._xlws.FILTER($E$7:$E$4581,$L$7:$L$4581&lt;&gt;"X"),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_xlfn._xlws.FILTER($AG$7:$AG$4581,$L$7:$L$4581&lt;&gt;"X"),
_xlfn._xlws.FILTER($E$7:$E$4581,$L$7:$L$4581&lt;&gt;"X"),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_xlfn._xlws.FILTER($AG$7:$AG$4581,$L$7:$L$4581&lt;&gt;"X"),
_xlfn._xlws.FILTER($E$7:$E$4581,$L$7:$L$4581&lt;&gt;"X"),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_xlfn._xlws.FILTER($AG$7:$AG$4581,$L$7:$L$4581&lt;&gt;"X"),
_xlfn._xlws.FILTER($E$7:$E$4581,$L$7:$L$4581&lt;&gt;"X"),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_xlfn._xlws.FILTER($AG$7:$AG$4581,$L$7:$L$4581&lt;&gt;"X"),
_xlfn._xlws.FILTER($E$7:$E$4581,$L$7:$L$4581&lt;&gt;"X"),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_xlfn._xlws.FILTER($AG$7:$AG$4581,$L$7:$L$4581&lt;&gt;"X"),
_xlfn._xlws.FILTER($E$7:$E$4581,$L$7:$L$4581&lt;&gt;"X"),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_xlfn._xlws.FILTER($AG$7:$AG$4581,$L$7:$L$4581&lt;&gt;"X"),
_xlfn._xlws.FILTER($E$7:$E$4581,$L$7:$L$4581&lt;&gt;"X"),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_xlfn._xlws.FILTER($AG$7:$AG$4581,$L$7:$L$4581&lt;&gt;"X"),
_xlfn._xlws.FILTER($E$7:$E$4581,$L$7:$L$4581&lt;&gt;"X"),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_xlfn._xlws.FILTER($AG$7:$AG$4581,$L$7:$L$4581&lt;&gt;"X"),
_xlfn._xlws.FILTER($E$7:$E$4581,$L$7:$L$4581&lt;&gt;"X"),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_xlfn._xlws.FILTER($AG$7:$AG$4581,$L$7:$L$4581&lt;&gt;"X"),
_xlfn._xlws.FILTER($E$7:$E$4581,$L$7:$L$4581&lt;&gt;"X"),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_xlfn._xlws.FILTER($AG$7:$AG$4581,$L$7:$L$4581&lt;&gt;"X"),
_xlfn._xlws.FILTER($E$7:$E$4581,$L$7:$L$4581&lt;&gt;"X"),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_xlfn._xlws.FILTER($AG$7:$AG$4581,$L$7:$L$4581&lt;&gt;"X"),
_xlfn._xlws.FILTER($E$7:$E$4581,$L$7:$L$4581&lt;&gt;"X"),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_xlfn._xlws.FILTER($AG$7:$AG$4581,$L$7:$L$4581&lt;&gt;"X"),
_xlfn._xlws.FILTER($E$7:$E$4581,$L$7:$L$4581&lt;&gt;"X"),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_xlfn._xlws.FILTER($AG$7:$AG$4581,$L$7:$L$4581&lt;&gt;"X"),
_xlfn._xlws.FILTER($E$7:$E$4581,$L$7:$L$4581&lt;&gt;"X"),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_xlfn._xlws.FILTER($AG$7:$AG$4581,$L$7:$L$4581&lt;&gt;"X"),
_xlfn._xlws.FILTER($E$7:$E$4581,$L$7:$L$4581&lt;&gt;"X"),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_xlfn._xlws.FILTER($AG$7:$AG$4581,$L$7:$L$4581&lt;&gt;"X"),
_xlfn._xlws.FILTER($E$7:$E$4581,$L$7:$L$4581&lt;&gt;"X"),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524</v>
      </c>
      <c r="AE44" s="92"/>
      <c r="AG44" s="238" t="str">
        <f t="shared" si="14"/>
        <v>LTIA-5.10-VIETUR-70000-RFA-OTH-0432</v>
      </c>
      <c r="AH44" s="243" t="b" cm="1">
        <f t="array" ref="AH44">$E44=_xlfn.XLOOKUP(
AG44,
_xlfn._xlws.FILTER($AG$7:$AG$4581,$L$7:$L$4581&lt;&gt;"X"),
_xlfn._xlws.FILTER($E$7:$E$4581,$L$7:$L$4581&lt;&gt;"X"),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_xlfn._xlws.FILTER($AG$7:$AG$4581,$L$7:$L$4581&lt;&gt;"X"),
_xlfn._xlws.FILTER($E$7:$E$4581,$L$7:$L$4581&lt;&gt;"X"),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405</v>
      </c>
      <c r="AE46" s="92"/>
      <c r="AG46" s="238" t="str">
        <f t="shared" si="14"/>
        <v>LTIA-5.10-VIETUR-70000-RFA-MAS-0277</v>
      </c>
      <c r="AH46" s="243" t="b" cm="1">
        <f t="array" ref="AH46">$E46=_xlfn.XLOOKUP(
AG46,
_xlfn._xlws.FILTER($AG$7:$AG$4581,$L$7:$L$4581&lt;&gt;"X"),
_xlfn._xlws.FILTER($E$7:$E$4581,$L$7:$L$4581&lt;&gt;"X"),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_xlfn._xlws.FILTER($AG$7:$AG$4581,$L$7:$L$4581&lt;&gt;"X"),
_xlfn._xlws.FILTER($E$7:$E$4581,$L$7:$L$4581&lt;&gt;"X"),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_xlfn._xlws.FILTER($AG$7:$AG$4581,$L$7:$L$4581&lt;&gt;"X"),
_xlfn._xlws.FILTER($E$7:$E$4581,$L$7:$L$4581&lt;&gt;"X"),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_xlfn._xlws.FILTER($AG$7:$AG$4581,$L$7:$L$4581&lt;&gt;"X"),
_xlfn._xlws.FILTER($E$7:$E$4581,$L$7:$L$4581&lt;&gt;"X"),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345</v>
      </c>
      <c r="AE50" s="92"/>
      <c r="AG50" s="238" t="str">
        <f t="shared" si="14"/>
        <v>LTIA-5.10-VIETUR-70000-RFA-OTH-0523</v>
      </c>
      <c r="AH50" s="243" t="b" cm="1">
        <f t="array" ref="AH50">$E50=_xlfn.XLOOKUP(
AG50,
_xlfn._xlws.FILTER($AG$7:$AG$4581,$L$7:$L$4581&lt;&gt;"X"),
_xlfn._xlws.FILTER($E$7:$E$4581,$L$7:$L$4581&lt;&gt;"X"),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442</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_xlfn._xlws.FILTER($AG$7:$AG$4581,$L$7:$L$4581&lt;&gt;"X"),
_xlfn._xlws.FILTER($E$7:$E$4581,$L$7:$L$4581&lt;&gt;"X"),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_xlfn._xlws.FILTER($AG$7:$AG$4581,$L$7:$L$4581&lt;&gt;"X"),
_xlfn._xlws.FILTER($E$7:$E$4581,$L$7:$L$4581&lt;&gt;"X"),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_xlfn._xlws.FILTER($AG$7:$AG$4581,$L$7:$L$4581&lt;&gt;"X"),
_xlfn._xlws.FILTER($E$7:$E$4581,$L$7:$L$4581&lt;&gt;"X"),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_xlfn._xlws.FILTER($AG$7:$AG$4581,$L$7:$L$4581&lt;&gt;"X"),
_xlfn._xlws.FILTER($E$7:$E$4581,$L$7:$L$4581&lt;&gt;"X"),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_xlfn._xlws.FILTER($AG$7:$AG$4581,$L$7:$L$4581&lt;&gt;"X"),
_xlfn._xlws.FILTER($E$7:$E$4581,$L$7:$L$4581&lt;&gt;"X"),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_xlfn._xlws.FILTER($AG$7:$AG$4581,$L$7:$L$4581&lt;&gt;"X"),
_xlfn._xlws.FILTER($E$7:$E$4581,$L$7:$L$4581&lt;&gt;"X"),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_xlfn._xlws.FILTER($AG$7:$AG$4581,$L$7:$L$4581&lt;&gt;"X"),
_xlfn._xlws.FILTER($E$7:$E$4581,$L$7:$L$4581&lt;&gt;"X"),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322</v>
      </c>
      <c r="AE58" s="92"/>
      <c r="AG58" s="238" t="str">
        <f t="shared" si="14"/>
        <v>LTIA-5.10-VIETUR-70000-RFA-OTH-0589</v>
      </c>
      <c r="AH58" s="243" t="b" cm="1">
        <f t="array" ref="AH58">$E58=_xlfn.XLOOKUP(
AG58,
_xlfn._xlws.FILTER($AG$7:$AG$4581,$L$7:$L$4581&lt;&gt;"X"),
_xlfn._xlws.FILTER($E$7:$E$4581,$L$7:$L$4581&lt;&gt;"X"),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373</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_xlfn._xlws.FILTER($AG$7:$AG$4581,$L$7:$L$4581&lt;&gt;"X"),
_xlfn._xlws.FILTER($E$7:$E$4581,$L$7:$L$4581&lt;&gt;"X"),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_xlfn._xlws.FILTER($AG$7:$AG$4581,$L$7:$L$4581&lt;&gt;"X"),
_xlfn._xlws.FILTER($E$7:$E$4581,$L$7:$L$4581&lt;&gt;"X"),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317</v>
      </c>
      <c r="AE61" s="92"/>
      <c r="AG61" s="238" t="str">
        <f t="shared" si="14"/>
        <v>LTIA-5.10-VIETUR-70000-RFA-MAS-0706</v>
      </c>
      <c r="AH61" s="243" t="b" cm="1">
        <f t="array" ref="AH61">$E61=_xlfn.XLOOKUP(
AG61,
_xlfn._xlws.FILTER($AG$7:$AG$4581,$L$7:$L$4581&lt;&gt;"X"),
_xlfn._xlws.FILTER($E$7:$E$4581,$L$7:$L$4581&lt;&gt;"X"),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_xlfn._xlws.FILTER($AG$7:$AG$4581,$L$7:$L$4581&lt;&gt;"X"),
_xlfn._xlws.FILTER($E$7:$E$4581,$L$7:$L$4581&lt;&gt;"X"),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_xlfn._xlws.FILTER($AG$7:$AG$4581,$L$7:$L$4581&lt;&gt;"X"),
_xlfn._xlws.FILTER($E$7:$E$4581,$L$7:$L$4581&lt;&gt;"X"),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_xlfn._xlws.FILTER($AG$7:$AG$4581,$L$7:$L$4581&lt;&gt;"X"),
_xlfn._xlws.FILTER($E$7:$E$4581,$L$7:$L$4581&lt;&gt;"X"),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_xlfn._xlws.FILTER($AG$7:$AG$4581,$L$7:$L$4581&lt;&gt;"X"),
_xlfn._xlws.FILTER($E$7:$E$4581,$L$7:$L$4581&lt;&gt;"X"),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_xlfn._xlws.FILTER($AG$7:$AG$4581,$L$7:$L$4581&lt;&gt;"X"),
_xlfn._xlws.FILTER($E$7:$E$4581,$L$7:$L$4581&lt;&gt;"X"),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_xlfn._xlws.FILTER($AG$7:$AG$4581,$L$7:$L$4581&lt;&gt;"X"),
_xlfn._xlws.FILTER($E$7:$E$4581,$L$7:$L$4581&lt;&gt;"X"),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154</v>
      </c>
      <c r="AE68" s="92"/>
      <c r="AG68" s="238" t="str">
        <f t="shared" si="14"/>
        <v>LTIA-5.10-VIETUR-70000-RFA-OTH-0654</v>
      </c>
      <c r="AH68" s="243" t="b" cm="1">
        <f t="array" ref="AH68">$E68=_xlfn.XLOOKUP(
AG68,
_xlfn._xlws.FILTER($AG$7:$AG$4581,$L$7:$L$4581&lt;&gt;"X"),
_xlfn._xlws.FILTER($E$7:$E$4581,$L$7:$L$4581&lt;&gt;"X"),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_xlfn._xlws.FILTER($AG$7:$AG$4581,$L$7:$L$4581&lt;&gt;"X"),
_xlfn._xlws.FILTER($E$7:$E$4581,$L$7:$L$4581&lt;&gt;"X"),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_xlfn._xlws.FILTER($AG$7:$AG$4581,$L$7:$L$4581&lt;&gt;"X"),
_xlfn._xlws.FILTER($E$7:$E$4581,$L$7:$L$4581&lt;&gt;"X"),
"",
0,
-1
)</f>
        <v>1</v>
      </c>
      <c r="AI70" s="75" t="str">
        <f t="shared" si="9"/>
        <v/>
      </c>
    </row>
    <row r="71" spans="1:35" s="9" customFormat="1" ht="47.25">
      <c r="A71" s="33">
        <f t="shared" ref="A71:A144"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_xlfn._xlws.FILTER($AG$7:$AG$4581,$L$7:$L$4581&lt;&gt;"X"),
_xlfn._xlws.FILTER($E$7:$E$4581,$L$7:$L$4581&lt;&gt;"X"),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_xlfn._xlws.FILTER($AG$7:$AG$4581,$L$7:$L$4581&lt;&gt;"X"),
_xlfn._xlws.FILTER($E$7:$E$4581,$L$7:$L$4581&lt;&gt;"X"),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_xlfn._xlws.FILTER($AG$7:$AG$4581,$L$7:$L$4581&lt;&gt;"X"),
_xlfn._xlws.FILTER($E$7:$E$4581,$L$7:$L$4581&lt;&gt;"X"),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_xlfn._xlws.FILTER($AG$7:$AG$4581,$L$7:$L$4581&lt;&gt;"X"),
_xlfn._xlws.FILTER($E$7:$E$4581,$L$7:$L$4581&lt;&gt;"X"),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_xlfn._xlws.FILTER($AG$7:$AG$4581,$L$7:$L$4581&lt;&gt;"X"),
_xlfn._xlws.FILTER($E$7:$E$4581,$L$7:$L$4581&lt;&gt;"X"),
"",
0,
-1
)</f>
        <v>1</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_xlfn._xlws.FILTER($AG$7:$AG$4581,$L$7:$L$4581&lt;&gt;"X"),
_xlfn._xlws.FILTER($E$7:$E$4581,$L$7:$L$4581&lt;&gt;"X"),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_xlfn._xlws.FILTER($AG$7:$AG$4581,$L$7:$L$4581&lt;&gt;"X"),
_xlfn._xlws.FILTER($E$7:$E$4581,$L$7:$L$4581&lt;&gt;"X"),
"",
0,
-1
)</f>
        <v>1</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_xlfn._xlws.FILTER($AG$7:$AG$4581,$L$7:$L$4581&lt;&gt;"X"),
_xlfn._xlws.FILTER($E$7:$E$4581,$L$7:$L$4581&lt;&gt;"X"),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_xlfn._xlws.FILTER($AG$7:$AG$4581,$L$7:$L$4581&lt;&gt;"X"),
_xlfn._xlws.FILTER($E$7:$E$4581,$L$7:$L$4581&lt;&gt;"X"),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_xlfn._xlws.FILTER($AG$7:$AG$4581,$L$7:$L$4581&lt;&gt;"X"),
_xlfn._xlws.FILTER($E$7:$E$4581,$L$7:$L$4581&lt;&gt;"X"),
"",
0,
-1
)</f>
        <v>1</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_xlfn._xlws.FILTER($AG$7:$AG$4581,$L$7:$L$4581&lt;&gt;"X"),
_xlfn._xlws.FILTER($E$7:$E$4581,$L$7:$L$4581&lt;&gt;"X"),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_xlfn._xlws.FILTER($AG$7:$AG$4581,$L$7:$L$4581&lt;&gt;"X"),
_xlfn._xlws.FILTER($E$7:$E$4581,$L$7:$L$4581&lt;&gt;"X"),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_xlfn._xlws.FILTER($AG$7:$AG$4581,$L$7:$L$4581&lt;&gt;"X"),
_xlfn._xlws.FILTER($E$7:$E$4581,$L$7:$L$4581&lt;&gt;"X"),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_xlfn._xlws.FILTER($AG$7:$AG$4581,$L$7:$L$4581&lt;&gt;"X"),
_xlfn._xlws.FILTER($E$7:$E$4581,$L$7:$L$4581&lt;&gt;"X"),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_xlfn._xlws.FILTER($AG$7:$AG$4581,$L$7:$L$4581&lt;&gt;"X"),
_xlfn._xlws.FILTER($E$7:$E$4581,$L$7:$L$4581&lt;&gt;"X"),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_xlfn._xlws.FILTER($AG$7:$AG$4581,$L$7:$L$4581&lt;&gt;"X"),
_xlfn._xlws.FILTER($E$7:$E$4581,$L$7:$L$4581&lt;&gt;"X"),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_xlfn._xlws.FILTER($AG$7:$AG$4581,$L$7:$L$4581&lt;&gt;"X"),
_xlfn._xlws.FILTER($E$7:$E$4581,$L$7:$L$4581&lt;&gt;"X"),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_xlfn._xlws.FILTER($AG$7:$AG$4581,$L$7:$L$4581&lt;&gt;"X"),
_xlfn._xlws.FILTER($E$7:$E$4581,$L$7:$L$4581&lt;&gt;"X"),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_xlfn._xlws.FILTER($AG$7:$AG$4581,$L$7:$L$4581&lt;&gt;"X"),
_xlfn._xlws.FILTER($E$7:$E$4581,$L$7:$L$4581&lt;&gt;"X"),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_xlfn._xlws.FILTER($AG$7:$AG$4581,$L$7:$L$4581&lt;&gt;"X"),
_xlfn._xlws.FILTER($E$7:$E$4581,$L$7:$L$4581&lt;&gt;"X"),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_xlfn._xlws.FILTER($AG$7:$AG$4581,$L$7:$L$4581&lt;&gt;"X"),
_xlfn._xlws.FILTER($E$7:$E$4581,$L$7:$L$4581&lt;&gt;"X"),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164</v>
      </c>
      <c r="K92" s="47">
        <f t="shared" ca="1" si="28"/>
        <v>143</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_xlfn._xlws.FILTER($AG$7:$AG$4581,$L$7:$L$4581&lt;&gt;"X"),
_xlfn._xlws.FILTER($E$7:$E$4581,$L$7:$L$4581&lt;&gt;"X"),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350</v>
      </c>
      <c r="K93" s="47">
        <f t="shared" ca="1" si="28"/>
        <v>329</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_xlfn._xlws.FILTER($AG$7:$AG$4581,$L$7:$L$4581&lt;&gt;"X"),
_xlfn._xlws.FILTER($E$7:$E$4581,$L$7:$L$4581&lt;&gt;"X"),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_xlfn._xlws.FILTER($AG$7:$AG$4581,$L$7:$L$4581&lt;&gt;"X"),
_xlfn._xlws.FILTER($E$7:$E$4581,$L$7:$L$4581&lt;&gt;"X"),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_xlfn._xlws.FILTER($AG$7:$AG$4581,$L$7:$L$4581&lt;&gt;"X"),
_xlfn._xlws.FILTER($E$7:$E$4581,$L$7:$L$4581&lt;&gt;"X"),
"",
0,
-1
)</f>
        <v>0</v>
      </c>
      <c r="AI95" s="75" t="str">
        <f t="shared" si="24"/>
        <v/>
      </c>
    </row>
    <row r="96" spans="1:35" s="9" customFormat="1" ht="47.25">
      <c r="A96" s="33">
        <f t="shared" si="19"/>
        <v>90</v>
      </c>
      <c r="B96" s="330" t="str">
        <f t="shared" si="20"/>
        <v>5.11</v>
      </c>
      <c r="C96" s="164" t="s">
        <v>721</v>
      </c>
      <c r="D96" s="137" t="s">
        <v>85</v>
      </c>
      <c r="E96" s="25" t="s">
        <v>807</v>
      </c>
      <c r="F96" s="174">
        <f t="shared" ref="F96:F144" si="29">IF($U96=0,$T96+22,$U96+21)</f>
        <v>46078</v>
      </c>
      <c r="G96" s="31" t="s">
        <v>822</v>
      </c>
      <c r="H96" s="21" t="s">
        <v>823</v>
      </c>
      <c r="I96" s="138" t="s">
        <v>1</v>
      </c>
      <c r="J96" s="164">
        <f t="shared" ref="J96:J144" si="30">IF(ISBLANK($W96),_xlfn.DAYS($J$1,$U96),_xlfn.DAYS($W96,$U96))</f>
        <v>48</v>
      </c>
      <c r="K96" s="47">
        <f t="shared" ref="K96:K144"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_xlfn._xlws.FILTER($AG$7:$AG$4581,$L$7:$L$4581&lt;&gt;"X"),
_xlfn._xlws.FILTER($E$7:$E$4581,$L$7:$L$4581&lt;&gt;"X"),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_xlfn._xlws.FILTER($AG$7:$AG$4581,$L$7:$L$4581&lt;&gt;"X"),
_xlfn._xlws.FILTER($E$7:$E$4581,$L$7:$L$4581&lt;&gt;"X"),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_xlfn._xlws.FILTER($AG$7:$AG$4581,$L$7:$L$4581&lt;&gt;"X"),
_xlfn._xlws.FILTER($E$7:$E$4581,$L$7:$L$4581&lt;&gt;"X"),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_xlfn._xlws.FILTER($AG$7:$AG$4581,$L$7:$L$4581&lt;&gt;"X"),
_xlfn._xlws.FILTER($E$7:$E$4581,$L$7:$L$4581&lt;&gt;"X"),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_xlfn._xlws.FILTER($AG$7:$AG$4581,$L$7:$L$4581&lt;&gt;"X"),
_xlfn._xlws.FILTER($E$7:$E$4581,$L$7:$L$4581&lt;&gt;"X"),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_xlfn._xlws.FILTER($AG$7:$AG$4581,$L$7:$L$4581&lt;&gt;"X"),
_xlfn._xlws.FILTER($E$7:$E$4581,$L$7:$L$4581&lt;&gt;"X"),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_xlfn._xlws.FILTER($AG$7:$AG$4581,$L$7:$L$4581&lt;&gt;"X"),
_xlfn._xlws.FILTER($E$7:$E$4581,$L$7:$L$4581&lt;&gt;"X"),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_xlfn._xlws.FILTER($AG$7:$AG$4581,$L$7:$L$4581&lt;&gt;"X"),
_xlfn._xlws.FILTER($E$7:$E$4581,$L$7:$L$4581&lt;&gt;"X"),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_xlfn._xlws.FILTER($AG$7:$AG$4581,$L$7:$L$4581&lt;&gt;"X"),
_xlfn._xlws.FILTER($E$7:$E$4581,$L$7:$L$4581&lt;&gt;"X"),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_xlfn._xlws.FILTER($AG$7:$AG$4581,$L$7:$L$4581&lt;&gt;"X"),
_xlfn._xlws.FILTER($E$7:$E$4581,$L$7:$L$4581&lt;&gt;"X"),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_xlfn._xlws.FILTER($AG$7:$AG$4581,$L$7:$L$4581&lt;&gt;"X"),
_xlfn._xlws.FILTER($E$7:$E$4581,$L$7:$L$4581&lt;&gt;"X"),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_xlfn._xlws.FILTER($AG$7:$AG$4581,$L$7:$L$4581&lt;&gt;"X"),
_xlfn._xlws.FILTER($E$7:$E$4581,$L$7:$L$4581&lt;&gt;"X"),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_xlfn._xlws.FILTER($AG$7:$AG$4581,$L$7:$L$4581&lt;&gt;"X"),
_xlfn._xlws.FILTER($E$7:$E$4581,$L$7:$L$4581&lt;&gt;"X"),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_xlfn._xlws.FILTER($AG$7:$AG$4581,$L$7:$L$4581&lt;&gt;"X"),
_xlfn._xlws.FILTER($E$7:$E$4581,$L$7:$L$4581&lt;&gt;"X"),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_xlfn._xlws.FILTER($AG$7:$AG$4581,$L$7:$L$4581&lt;&gt;"X"),
_xlfn._xlws.FILTER($E$7:$E$4581,$L$7:$L$4581&lt;&gt;"X"),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121</v>
      </c>
      <c r="K111" s="47">
        <f t="shared" ca="1" si="31"/>
        <v>100</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_xlfn._xlws.FILTER($AG$7:$AG$4581,$L$7:$L$4581&lt;&gt;"X"),
_xlfn._xlws.FILTER($E$7:$E$4581,$L$7:$L$4581&lt;&gt;"X"),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_xlfn._xlws.FILTER($AG$7:$AG$4581,$L$7:$L$4581&lt;&gt;"X"),
_xlfn._xlws.FILTER($E$7:$E$4581,$L$7:$L$4581&lt;&gt;"X"),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_xlfn._xlws.FILTER($AG$7:$AG$4581,$L$7:$L$4581&lt;&gt;"X"),
_xlfn._xlws.FILTER($E$7:$E$4581,$L$7:$L$4581&lt;&gt;"X"),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_xlfn._xlws.FILTER($AG$7:$AG$4581,$L$7:$L$4581&lt;&gt;"X"),
_xlfn._xlws.FILTER($E$7:$E$4581,$L$7:$L$4581&lt;&gt;"X"),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_xlfn._xlws.FILTER($AG$7:$AG$4581,$L$7:$L$4581&lt;&gt;"X"),
_xlfn._xlws.FILTER($E$7:$E$4581,$L$7:$L$4581&lt;&gt;"X"),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_xlfn._xlws.FILTER($AG$7:$AG$4581,$L$7:$L$4581&lt;&gt;"X"),
_xlfn._xlws.FILTER($E$7:$E$4581,$L$7:$L$4581&lt;&gt;"X"),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77</v>
      </c>
      <c r="K117" s="47">
        <f t="shared" ca="1" si="31"/>
        <v>56</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_xlfn._xlws.FILTER($AG$7:$AG$4581,$L$7:$L$4581&lt;&gt;"X"),
_xlfn._xlws.FILTER($E$7:$E$4581,$L$7:$L$4581&lt;&gt;"X"),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_xlfn._xlws.FILTER($AG$7:$AG$4581,$L$7:$L$4581&lt;&gt;"X"),
_xlfn._xlws.FILTER($E$7:$E$4581,$L$7:$L$4581&lt;&gt;"X"),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_xlfn._xlws.FILTER($AG$7:$AG$4581,$L$7:$L$4581&lt;&gt;"X"),
_xlfn._xlws.FILTER($E$7:$E$4581,$L$7:$L$4581&lt;&gt;"X"),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v>46322</v>
      </c>
      <c r="AC120" s="229" t="str">
        <f t="shared" si="22"/>
        <v>Late Resubmission</v>
      </c>
      <c r="AD120" s="337">
        <f t="shared" ref="AD120" si="64">IF(AC120="Late Resubmission",IF(AB120="","",AB120-AA120),IF(AC120="Not submit yet",IF(AA120="","",$J$1-AA120),""))</f>
        <v>32</v>
      </c>
      <c r="AE120" s="92" t="s">
        <v>1008</v>
      </c>
      <c r="AG120" s="238" t="str">
        <f t="shared" si="14"/>
        <v>LTIA-5.10-VIETUR-72150-RFA-OTH-0750</v>
      </c>
      <c r="AH120" s="243" t="b" cm="1">
        <f t="array" ref="AH120">$E120=_xlfn.XLOOKUP(
AG120,
_xlfn._xlws.FILTER($AG$7:$AG$4581,$L$7:$L$4581&lt;&gt;"X"),
_xlfn._xlws.FILTER($E$7:$E$4581,$L$7:$L$4581&lt;&gt;"X"),
"",
0,
-1
)</f>
        <v>0</v>
      </c>
      <c r="AI120" s="75" t="str">
        <f>IF($AH120,IF(OR($R120="B",$R120="C"),"YES",IF($R120="",IF(OR($I120="B",$I120="C"),"YES",""),"")),"")</f>
        <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_xlfn._xlws.FILTER($AG$7:$AG$4581,$L$7:$L$4581&lt;&gt;"X"),
_xlfn._xlws.FILTER($E$7:$E$4581,$L$7:$L$4581&lt;&gt;"X"),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6"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_xlfn._xlws.FILTER($AG$7:$AG$4581,$L$7:$L$4581&lt;&gt;"X"),
_xlfn._xlws.FILTER($E$7:$E$4581,$L$7:$L$4581&lt;&gt;"X"),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_xlfn._xlws.FILTER($AG$7:$AG$4581,$L$7:$L$4581&lt;&gt;"X"),
_xlfn._xlws.FILTER($E$7:$E$4581,$L$7:$L$4581&lt;&gt;"X"),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_xlfn._xlws.FILTER($AG$7:$AG$4581,$L$7:$L$4581&lt;&gt;"X"),
_xlfn._xlws.FILTER($E$7:$E$4581,$L$7:$L$4581&lt;&gt;"X"),
"",
0,
-1
)</f>
        <v>1</v>
      </c>
      <c r="AI124" s="75" t="str">
        <f t="shared" ref="AI124:AI146"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4" si="75">IF(AND(RIGHT($E125,1)&gt;="A",RIGHT($E125,1)&lt;="Z"),LEFT($E125,LEN($E125)-1),$E125)</f>
        <v xml:space="preserve"> LTIA-5.11-LTICT-71110-RFA-MAS-0021</v>
      </c>
      <c r="AH125" s="243" t="b" cm="1">
        <f t="array" ref="AH125">$E125=_xlfn.XLOOKUP(
AG125,
_xlfn._xlws.FILTER($AG$7:$AG$4582,$L$7:$L$4582&lt;&gt;"X"),
_xlfn._xlws.FILTER($E$7:$E$4582,$L$7:$L$4582&lt;&gt;"X"),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_xlfn._xlws.FILTER($AG$7:$AG$4582,$L$7:$L$4582&lt;&gt;"X"),
_xlfn._xlws.FILTER($E$7:$E$4582,$L$7:$L$4582&lt;&gt;"X"),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_xlfn._xlws.FILTER($AG$7:$AG$4582,$L$7:$L$4582&lt;&gt;"X"),
_xlfn._xlws.FILTER($E$7:$E$4582,$L$7:$L$4582&lt;&gt;"X"),
"",
0,
-1
)</f>
        <v>1</v>
      </c>
      <c r="AI127" s="75" t="str">
        <f t="shared" si="74"/>
        <v/>
      </c>
    </row>
    <row r="128" spans="1:35" s="9" customFormat="1" ht="47.25">
      <c r="A128" s="33">
        <f t="shared" si="19"/>
        <v>122</v>
      </c>
      <c r="B128" s="330" t="str">
        <f t="shared" si="76"/>
        <v>5.10</v>
      </c>
      <c r="C128" s="164" t="s">
        <v>131</v>
      </c>
      <c r="D128" s="137" t="s">
        <v>30</v>
      </c>
      <c r="E128" s="25" t="s">
        <v>999</v>
      </c>
      <c r="F128" s="174">
        <f t="shared" si="29"/>
        <v>46339</v>
      </c>
      <c r="G128" s="31" t="s">
        <v>1000</v>
      </c>
      <c r="H128" s="21" t="s">
        <v>1001</v>
      </c>
      <c r="I128" s="138"/>
      <c r="J128" s="164">
        <f t="shared" ca="1" si="30"/>
        <v>6</v>
      </c>
      <c r="K128" s="47">
        <f t="shared" ca="1" si="31"/>
        <v>0</v>
      </c>
      <c r="L128" s="164"/>
      <c r="M128" s="40" t="s">
        <v>8</v>
      </c>
      <c r="N128" s="41"/>
      <c r="O128" s="40"/>
      <c r="P128" s="41"/>
      <c r="Q128" s="40"/>
      <c r="R128" s="155"/>
      <c r="S128" s="27">
        <v>46295</v>
      </c>
      <c r="T128" s="27">
        <v>46295</v>
      </c>
      <c r="U128" s="188">
        <v>46318</v>
      </c>
      <c r="V128" s="29"/>
      <c r="W128" s="188"/>
      <c r="X128" s="235"/>
      <c r="Y128" s="230"/>
      <c r="Z128" s="227"/>
      <c r="AA128" s="29" t="str">
        <f t="shared" si="68"/>
        <v/>
      </c>
      <c r="AB128" s="229"/>
      <c r="AC128" s="229"/>
      <c r="AD128" s="337"/>
      <c r="AE128" s="92" t="s">
        <v>1116</v>
      </c>
      <c r="AG128" s="238" t="str">
        <f t="shared" si="75"/>
        <v>LTIA-5.10-VIETUR-70000-RFA-MAS-0696</v>
      </c>
      <c r="AH128" s="243" t="b" cm="1">
        <f t="array" ref="AH128">$E128=_xlfn.XLOOKUP(
AG128,
_xlfn._xlws.FILTER($AG$7:$AG$4582,$L$7:$L$4582&lt;&gt;"X"),
_xlfn._xlws.FILTER($E$7:$E$4582,$L$7:$L$4582&lt;&gt;"X"),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si="30"/>
        <v>20</v>
      </c>
      <c r="K129" s="47">
        <f t="shared" si="31"/>
        <v>0</v>
      </c>
      <c r="L129" s="164"/>
      <c r="M129" s="40" t="s">
        <v>8</v>
      </c>
      <c r="N129" s="41"/>
      <c r="O129" s="40" t="s">
        <v>8</v>
      </c>
      <c r="P129" s="41"/>
      <c r="Q129" s="40"/>
      <c r="R129" s="155"/>
      <c r="S129" s="27">
        <v>46298</v>
      </c>
      <c r="T129" s="27">
        <v>46298</v>
      </c>
      <c r="U129" s="188">
        <v>46302</v>
      </c>
      <c r="V129" s="29">
        <v>46314</v>
      </c>
      <c r="W129" s="188">
        <v>46322</v>
      </c>
      <c r="X129" s="235" t="s">
        <v>240</v>
      </c>
      <c r="Y129" s="230"/>
      <c r="Z129" s="227"/>
      <c r="AA129" s="29">
        <f t="shared" si="68"/>
        <v>46329</v>
      </c>
      <c r="AB129" s="229"/>
      <c r="AC129" s="229"/>
      <c r="AD129" s="337"/>
      <c r="AE129" s="92" t="s">
        <v>1108</v>
      </c>
      <c r="AG129" s="238" t="str">
        <f t="shared" si="75"/>
        <v>LTIA-5.11- LTICT- 72100-RFA-MSS-0002</v>
      </c>
      <c r="AH129" s="243" t="b" cm="1">
        <f t="array" ref="AH129">$E129=_xlfn.XLOOKUP(
AG129,
_xlfn._xlws.FILTER($AG$7:$AG$4582,$L$7:$L$4582&lt;&gt;"X"),
_xlfn._xlws.FILTER($E$7:$E$4582,$L$7:$L$4582&lt;&gt;"X"),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si="30"/>
        <v>20</v>
      </c>
      <c r="K130" s="47">
        <f t="shared" si="31"/>
        <v>0</v>
      </c>
      <c r="L130" s="164"/>
      <c r="M130" s="40" t="s">
        <v>8</v>
      </c>
      <c r="N130" s="41"/>
      <c r="O130" s="40" t="s">
        <v>8</v>
      </c>
      <c r="P130" s="41"/>
      <c r="Q130" s="40"/>
      <c r="R130" s="155"/>
      <c r="S130" s="27">
        <v>46300</v>
      </c>
      <c r="T130" s="27">
        <v>46300</v>
      </c>
      <c r="U130" s="188">
        <v>46302</v>
      </c>
      <c r="V130" s="29">
        <v>46314</v>
      </c>
      <c r="W130" s="188">
        <v>46322</v>
      </c>
      <c r="X130" s="235" t="s">
        <v>240</v>
      </c>
      <c r="Y130" s="230"/>
      <c r="Z130" s="227"/>
      <c r="AA130" s="29">
        <f t="shared" si="68"/>
        <v>46329</v>
      </c>
      <c r="AB130" s="229"/>
      <c r="AC130" s="229"/>
      <c r="AD130" s="337"/>
      <c r="AE130" s="92" t="s">
        <v>1109</v>
      </c>
      <c r="AG130" s="238" t="str">
        <f t="shared" si="75"/>
        <v>LTIA-5.11-LTICT- 72010 -RFA-MSS-0003</v>
      </c>
      <c r="AH130" s="243" t="b" cm="1">
        <f t="array" ref="AH130">$E130=_xlfn.XLOOKUP(
AG130,
_xlfn._xlws.FILTER($AG$7:$AG$4582,$L$7:$L$4582&lt;&gt;"X"),
_xlfn._xlws.FILTER($E$7:$E$4582,$L$7:$L$4582&lt;&gt;"X"),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1063</v>
      </c>
      <c r="AG131" s="238" t="str">
        <f t="shared" si="75"/>
        <v>LTIA-5.11-LTICT- 72120 -RFA-MSS-0004</v>
      </c>
      <c r="AH131" s="243" t="b" cm="1">
        <f t="array" ref="AH131">$E131=_xlfn.XLOOKUP(
AG131,
_xlfn._xlws.FILTER($AG$7:$AG$4582,$L$7:$L$4582&lt;&gt;"X"),
_xlfn._xlws.FILTER($E$7:$E$4582,$L$7:$L$4582&lt;&gt;"X"),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1089</v>
      </c>
      <c r="AG132" s="238" t="str">
        <f t="shared" si="75"/>
        <v>LTIA-5.11-LTICT-70100-RFA-MSS-0007</v>
      </c>
      <c r="AH132" s="243" t="b" cm="1">
        <f t="array" ref="AH132">$E132=_xlfn.XLOOKUP(
AG132,
_xlfn._xlws.FILTER($AG$7:$AG$4582,$L$7:$L$4582&lt;&gt;"X"),
_xlfn._xlws.FILTER($E$7:$E$4582,$L$7:$L$4582&lt;&gt;"X"),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si="30"/>
        <v>21</v>
      </c>
      <c r="K133" s="47">
        <f t="shared" si="31"/>
        <v>0</v>
      </c>
      <c r="L133" s="164"/>
      <c r="M133" s="40" t="s">
        <v>8</v>
      </c>
      <c r="N133" s="41"/>
      <c r="O133" s="40" t="s">
        <v>8</v>
      </c>
      <c r="P133" s="41"/>
      <c r="Q133" s="40"/>
      <c r="R133" s="155"/>
      <c r="S133" s="27">
        <v>46301</v>
      </c>
      <c r="T133" s="27">
        <v>46301</v>
      </c>
      <c r="U133" s="188">
        <v>46301</v>
      </c>
      <c r="V133" s="29">
        <v>46314</v>
      </c>
      <c r="W133" s="188">
        <v>46322</v>
      </c>
      <c r="X133" s="235" t="s">
        <v>240</v>
      </c>
      <c r="Y133" s="230"/>
      <c r="Z133" s="227"/>
      <c r="AA133" s="29">
        <f t="shared" si="68"/>
        <v>46329</v>
      </c>
      <c r="AB133" s="229"/>
      <c r="AC133" s="229"/>
      <c r="AD133" s="337"/>
      <c r="AE133" s="92" t="s">
        <v>1109</v>
      </c>
      <c r="AG133" s="238" t="str">
        <f t="shared" si="75"/>
        <v>LTIA-5.11-LTICT- 72190 -RFA-MSS-0005</v>
      </c>
      <c r="AH133" s="243" t="b" cm="1">
        <f t="array" ref="AH133">$E133=_xlfn.XLOOKUP(
AG133,
_xlfn._xlws.FILTER($AG$7:$AG$4582,$L$7:$L$4582&lt;&gt;"X"),
_xlfn._xlws.FILTER($E$7:$E$4582,$L$7:$L$4582&lt;&gt;"X"),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si="30"/>
        <v>21</v>
      </c>
      <c r="K134" s="47">
        <f t="shared" si="31"/>
        <v>0</v>
      </c>
      <c r="L134" s="164"/>
      <c r="M134" s="40" t="s">
        <v>8</v>
      </c>
      <c r="N134" s="41"/>
      <c r="O134" s="40" t="s">
        <v>8</v>
      </c>
      <c r="P134" s="41"/>
      <c r="Q134" s="40"/>
      <c r="R134" s="155"/>
      <c r="S134" s="27">
        <v>46301</v>
      </c>
      <c r="T134" s="27">
        <v>46301</v>
      </c>
      <c r="U134" s="188">
        <v>46301</v>
      </c>
      <c r="V134" s="29">
        <v>46314</v>
      </c>
      <c r="W134" s="188">
        <v>46322</v>
      </c>
      <c r="X134" s="235" t="s">
        <v>240</v>
      </c>
      <c r="Y134" s="230"/>
      <c r="Z134" s="227"/>
      <c r="AA134" s="29">
        <f t="shared" si="68"/>
        <v>46329</v>
      </c>
      <c r="AB134" s="229"/>
      <c r="AC134" s="229"/>
      <c r="AD134" s="337"/>
      <c r="AE134" s="92" t="s">
        <v>1109</v>
      </c>
      <c r="AG134" s="238" t="str">
        <f t="shared" si="75"/>
        <v>LTIA-5.11-LTICT- 71110 -RFA-MSS-0006</v>
      </c>
      <c r="AH134" s="243" t="b" cm="1">
        <f t="array" ref="AH134">$E134=_xlfn.XLOOKUP(
AG134,
_xlfn._xlws.FILTER($AG$7:$AG$4582,$L$7:$L$4582&lt;&gt;"X"),
_xlfn._xlws.FILTER($E$7:$E$4582,$L$7:$L$4582&lt;&gt;"X"),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_xlfn._xlws.FILTER($AG$7:$AG$4582,$L$7:$L$4582&lt;&gt;"X"),
_xlfn._xlws.FILTER($E$7:$E$4582,$L$7:$L$4582&lt;&gt;"X"),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7</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_xlfn._xlws.FILTER($AG$7:$AG$4582,$L$7:$L$4582&lt;&gt;"X"),
_xlfn._xlws.FILTER($E$7:$E$4582,$L$7:$L$4582&lt;&gt;"X"),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7</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_xlfn._xlws.FILTER($AG$7:$AG$4582,$L$7:$L$4582&lt;&gt;"X"),
_xlfn._xlws.FILTER($E$7:$E$4582,$L$7:$L$4582&lt;&gt;"X"),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7</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_xlfn._xlws.FILTER($AG$7:$AG$4582,$L$7:$L$4582&lt;&gt;"X"),
_xlfn._xlws.FILTER($E$7:$E$4582,$L$7:$L$4582&lt;&gt;"X"),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7</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_xlfn._xlws.FILTER($AG$7:$AG$4582,$L$7:$L$4582&lt;&gt;"X"),
_xlfn._xlws.FILTER($E$7:$E$4582,$L$7:$L$4582&lt;&gt;"X"),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c r="J140" s="164">
        <f t="shared" ca="1" si="30"/>
        <v>14</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_xlfn._xlws.FILTER($AG$7:$AG$4582,$L$7:$L$4582&lt;&gt;"X"),
_xlfn._xlws.FILTER($E$7:$E$4582,$L$7:$L$4582&lt;&gt;"X"),
"",
0,
-1
)</f>
        <v>1</v>
      </c>
      <c r="AI140" s="75" t="str">
        <f t="shared" si="74"/>
        <v/>
      </c>
    </row>
    <row r="141" spans="1:35" s="9" customFormat="1" ht="47.25">
      <c r="A141" s="33">
        <f t="shared" si="19"/>
        <v>135</v>
      </c>
      <c r="B141" s="330" t="str">
        <f t="shared" ref="B141" si="88">MID(E141, FIND("-", E141) + 1, 4)</f>
        <v>5.11</v>
      </c>
      <c r="C141" s="164" t="s">
        <v>342</v>
      </c>
      <c r="D141" s="137" t="s">
        <v>28</v>
      </c>
      <c r="E141" s="25" t="s">
        <v>1084</v>
      </c>
      <c r="F141" s="174">
        <f t="shared" si="29"/>
        <v>46333</v>
      </c>
      <c r="G141" s="31" t="s">
        <v>1085</v>
      </c>
      <c r="H141" s="21" t="s">
        <v>1086</v>
      </c>
      <c r="I141" s="138"/>
      <c r="J141" s="164">
        <f t="shared" ca="1" si="30"/>
        <v>12</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t="s">
        <v>1124</v>
      </c>
      <c r="AG141" s="238" t="str">
        <f t="shared" si="75"/>
        <v>LTIA-5.11-LTICT-72020-RFA-OTH-0009</v>
      </c>
      <c r="AH141" s="243" t="b" cm="1">
        <f t="array" ref="AH141">$E141=_xlfn.XLOOKUP(
AG141,
_xlfn._xlws.FILTER($AG$7:$AG$4582,$L$7:$L$4582&lt;&gt;"X"),
_xlfn._xlws.FILTER($E$7:$E$4582,$L$7:$L$4582&lt;&gt;"X"),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1117</v>
      </c>
      <c r="H142" s="21" t="s">
        <v>1118</v>
      </c>
      <c r="I142" s="138"/>
      <c r="J142" s="164">
        <f t="shared" ca="1" si="30"/>
        <v>6</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1134</v>
      </c>
      <c r="AG142" s="238" t="str">
        <f t="shared" si="75"/>
        <v>LTIA-5.11-LTICT-10000-RFA-GEN-0005</v>
      </c>
      <c r="AH142" s="243" t="b" cm="1">
        <f t="array" ref="AH142">$E142=_xlfn.XLOOKUP(
AG142,
_xlfn._xlws.FILTER($AG$7:$AG$4582,$L$7:$L$4582&lt;&gt;"X"),
_xlfn._xlws.FILTER($E$7:$E$4582,$L$7:$L$4582&lt;&gt;"X"),
"",
0,
-1
)</f>
        <v>1</v>
      </c>
      <c r="AI142" s="75" t="str">
        <f t="shared" si="74"/>
        <v/>
      </c>
    </row>
    <row r="143" spans="1:35" s="9" customFormat="1" ht="63">
      <c r="A143" s="33">
        <f t="shared" si="19"/>
        <v>137</v>
      </c>
      <c r="B143" s="330" t="str">
        <f t="shared" ref="B143" si="90">MID(E143, FIND("-", E143) + 1, 4)</f>
        <v>5.10</v>
      </c>
      <c r="C143" s="164" t="s">
        <v>197</v>
      </c>
      <c r="D143" s="137" t="s">
        <v>28</v>
      </c>
      <c r="E143" s="25" t="s">
        <v>1137</v>
      </c>
      <c r="F143" s="174">
        <f t="shared" si="29"/>
        <v>46343</v>
      </c>
      <c r="G143" s="31" t="s">
        <v>963</v>
      </c>
      <c r="H143" s="21" t="s">
        <v>964</v>
      </c>
      <c r="I143" s="138"/>
      <c r="J143" s="164">
        <f t="shared" ca="1" si="30"/>
        <v>2</v>
      </c>
      <c r="K143" s="47">
        <f t="shared" ca="1" si="31"/>
        <v>0</v>
      </c>
      <c r="L143" s="164"/>
      <c r="M143" s="40" t="s">
        <v>8</v>
      </c>
      <c r="N143" s="41"/>
      <c r="O143" s="40"/>
      <c r="P143" s="41"/>
      <c r="Q143" s="40"/>
      <c r="R143" s="155"/>
      <c r="S143" s="27">
        <v>46322</v>
      </c>
      <c r="T143" s="27">
        <v>46322</v>
      </c>
      <c r="U143" s="188">
        <v>46322</v>
      </c>
      <c r="V143" s="29"/>
      <c r="W143" s="188"/>
      <c r="X143" s="235"/>
      <c r="Y143" s="230"/>
      <c r="Z143" s="227"/>
      <c r="AA143" s="29" t="str">
        <f t="shared" si="68"/>
        <v/>
      </c>
      <c r="AB143" s="229"/>
      <c r="AC143" s="229"/>
      <c r="AD143" s="337"/>
      <c r="AE143" s="92"/>
      <c r="AG143" s="238" t="str">
        <f t="shared" si="75"/>
        <v>LTIA-5.10-VIETUR-72150-RFA-OTH-0750</v>
      </c>
      <c r="AH143" s="243" t="b" cm="1">
        <f t="array" ref="AH143">$E143=_xlfn.XLOOKUP(
AG143,
_xlfn._xlws.FILTER($AG$7:$AG$4582,$L$7:$L$4582&lt;&gt;"X"),
_xlfn._xlws.FILTER($E$7:$E$4582,$L$7:$L$4582&lt;&gt;"X"),
"",
0,
-1
)</f>
        <v>1</v>
      </c>
      <c r="AI143" s="75" t="str">
        <f t="shared" si="74"/>
        <v/>
      </c>
    </row>
    <row r="144" spans="1:35" s="9" customFormat="1" ht="94.5">
      <c r="A144" s="33">
        <f t="shared" si="19"/>
        <v>138</v>
      </c>
      <c r="B144" s="330" t="str">
        <f t="shared" ref="B144" si="91">MID(E144, FIND("-", E144) + 1, 4)</f>
        <v>5.11</v>
      </c>
      <c r="C144" s="164"/>
      <c r="D144" s="137" t="s">
        <v>28</v>
      </c>
      <c r="E144" s="25" t="s">
        <v>1138</v>
      </c>
      <c r="F144" s="174">
        <f t="shared" si="29"/>
        <v>46331</v>
      </c>
      <c r="G144" s="31" t="s">
        <v>1139</v>
      </c>
      <c r="H144" s="21" t="s">
        <v>1140</v>
      </c>
      <c r="I144" s="138"/>
      <c r="J144" s="164">
        <f t="shared" ca="1" si="30"/>
        <v>14</v>
      </c>
      <c r="K144" s="47">
        <f t="shared" ca="1" si="31"/>
        <v>0</v>
      </c>
      <c r="L144" s="164" t="s">
        <v>997</v>
      </c>
      <c r="M144" s="40" t="s">
        <v>8</v>
      </c>
      <c r="N144" s="41"/>
      <c r="O144" s="40"/>
      <c r="P144" s="41"/>
      <c r="Q144" s="40"/>
      <c r="R144" s="155"/>
      <c r="S144" s="27">
        <v>46310</v>
      </c>
      <c r="T144" s="27">
        <v>46310</v>
      </c>
      <c r="U144" s="188">
        <v>46310</v>
      </c>
      <c r="V144" s="29"/>
      <c r="W144" s="188"/>
      <c r="X144" s="235"/>
      <c r="Y144" s="230"/>
      <c r="Z144" s="227"/>
      <c r="AA144" s="29" t="str">
        <f t="shared" si="68"/>
        <v/>
      </c>
      <c r="AB144" s="229"/>
      <c r="AC144" s="229"/>
      <c r="AD144" s="337"/>
      <c r="AE144" s="92" t="s">
        <v>1141</v>
      </c>
      <c r="AG144" s="238" t="str">
        <f t="shared" si="75"/>
        <v>LTIA-5.11-LTICT-72190-RFA-OTH-0011</v>
      </c>
      <c r="AH144" s="243" t="b" cm="1">
        <f t="array" ref="AH144">$E144=_xlfn.XLOOKUP(
AG144,
_xlfn._xlws.FILTER($AG$7:$AG$4582,$L$7:$L$4582&lt;&gt;"X"),
_xlfn._xlws.FILTER($E$7:$E$4582,$L$7:$L$4582&lt;&gt;"X"),
"",
0,
-1
)</f>
        <v>1</v>
      </c>
      <c r="AI144" s="75" t="str">
        <f t="shared" si="74"/>
        <v/>
      </c>
    </row>
    <row r="145" spans="1:35" s="9" customFormat="1">
      <c r="A145" s="33"/>
      <c r="B145" s="330"/>
      <c r="C145" s="164"/>
      <c r="D145" s="137"/>
      <c r="E145" s="25"/>
      <c r="F145" s="174"/>
      <c r="G145" s="31"/>
      <c r="H145" s="21"/>
      <c r="I145" s="138"/>
      <c r="J145" s="164"/>
      <c r="K145" s="47"/>
      <c r="L145" s="164"/>
      <c r="M145" s="40"/>
      <c r="N145" s="41"/>
      <c r="O145" s="40"/>
      <c r="P145" s="41"/>
      <c r="Q145" s="40"/>
      <c r="R145" s="155"/>
      <c r="S145" s="27"/>
      <c r="T145" s="27"/>
      <c r="U145" s="188"/>
      <c r="V145" s="29"/>
      <c r="W145" s="188"/>
      <c r="X145" s="235"/>
      <c r="Y145" s="230"/>
      <c r="Z145" s="227"/>
      <c r="AA145" s="29" t="str">
        <f t="shared" si="68"/>
        <v/>
      </c>
      <c r="AB145" s="229"/>
      <c r="AC145" s="229"/>
      <c r="AD145" s="337"/>
      <c r="AE145" s="92"/>
      <c r="AG145" s="238"/>
      <c r="AH145" s="243"/>
      <c r="AI145" s="75" t="str">
        <f t="shared" si="74"/>
        <v/>
      </c>
    </row>
    <row r="146" spans="1:35" s="9" customFormat="1" ht="16.5" thickBot="1">
      <c r="A146" s="347"/>
      <c r="B146" s="338"/>
      <c r="C146" s="178"/>
      <c r="D146" s="139"/>
      <c r="E146" s="339"/>
      <c r="F146" s="340"/>
      <c r="G146" s="32"/>
      <c r="H146" s="22"/>
      <c r="I146" s="139"/>
      <c r="J146" s="178"/>
      <c r="K146" s="49"/>
      <c r="L146" s="178"/>
      <c r="M146" s="341"/>
      <c r="N146" s="342"/>
      <c r="O146" s="341"/>
      <c r="P146" s="342"/>
      <c r="Q146" s="341"/>
      <c r="R146" s="343"/>
      <c r="S146" s="344"/>
      <c r="T146" s="344"/>
      <c r="U146" s="345"/>
      <c r="V146" s="232"/>
      <c r="W146" s="345"/>
      <c r="X146" s="258"/>
      <c r="Y146" s="232"/>
      <c r="Z146" s="228"/>
      <c r="AA146" s="232" t="str">
        <f t="shared" si="68"/>
        <v/>
      </c>
      <c r="AB146" s="233"/>
      <c r="AC146" s="233"/>
      <c r="AD146" s="346"/>
      <c r="AE146" s="93"/>
      <c r="AG146" s="239"/>
      <c r="AH146" s="244"/>
      <c r="AI146" s="241" t="str">
        <f t="shared" si="74"/>
        <v/>
      </c>
    </row>
    <row r="147" spans="1:35" ht="16.5" thickBot="1"/>
    <row r="148" spans="1:35" ht="16.5" thickBot="1">
      <c r="A148" s="128"/>
      <c r="B148" s="128"/>
      <c r="C148" s="166" t="s">
        <v>20</v>
      </c>
      <c r="D148" s="376" t="s">
        <v>21</v>
      </c>
      <c r="E148" s="376"/>
      <c r="F148" s="377"/>
      <c r="G148" s="46"/>
      <c r="H148" s="68"/>
      <c r="I148" s="356" t="s">
        <v>14</v>
      </c>
      <c r="J148" s="357"/>
      <c r="K148" s="357"/>
      <c r="L148" s="357"/>
      <c r="M148" s="357"/>
      <c r="N148" s="358"/>
      <c r="O148" s="362" t="s">
        <v>7</v>
      </c>
      <c r="P148" s="363"/>
      <c r="Q148" s="362" t="s">
        <v>109</v>
      </c>
      <c r="R148" s="363"/>
      <c r="S148" s="1"/>
      <c r="T148" s="1"/>
      <c r="U148" s="140"/>
      <c r="V148" s="1"/>
      <c r="X148" s="11"/>
      <c r="Y148" s="11"/>
      <c r="Z148" s="11"/>
      <c r="AA148" s="11"/>
      <c r="AB148" s="11"/>
      <c r="AC148" s="11"/>
      <c r="AD148" s="11"/>
      <c r="AG148" s="11"/>
      <c r="AH148" s="11"/>
      <c r="AI148" s="11"/>
    </row>
    <row r="149" spans="1:35" ht="16.5" thickBot="1">
      <c r="A149" s="128"/>
      <c r="B149" s="128"/>
      <c r="C149" s="167" t="s">
        <v>109</v>
      </c>
      <c r="D149" s="354" t="s">
        <v>111</v>
      </c>
      <c r="E149" s="354"/>
      <c r="F149" s="355"/>
      <c r="G149" s="46"/>
      <c r="H149" s="46"/>
      <c r="I149" s="356" t="s">
        <v>19</v>
      </c>
      <c r="J149" s="357"/>
      <c r="K149" s="357"/>
      <c r="L149" s="358"/>
      <c r="M149" s="105">
        <f t="shared" ref="M149:M154" ca="1" si="92">N149/$N$149</f>
        <v>1</v>
      </c>
      <c r="N149" s="106">
        <f ca="1">SUM($N$150:$N$154)</f>
        <v>143</v>
      </c>
      <c r="O149" s="102" t="s">
        <v>15</v>
      </c>
      <c r="P149" s="103" t="s">
        <v>16</v>
      </c>
      <c r="Q149" s="105">
        <f ca="1">R149/$R$149</f>
        <v>1</v>
      </c>
      <c r="R149" s="220">
        <f ca="1">SUM(R150:R153)</f>
        <v>124</v>
      </c>
      <c r="S149" s="1"/>
      <c r="T149" s="1"/>
      <c r="U149" s="140"/>
      <c r="V149" s="1"/>
      <c r="X149" s="11"/>
      <c r="Y149" s="11"/>
      <c r="Z149" s="11"/>
      <c r="AA149" s="11"/>
      <c r="AB149" s="11"/>
      <c r="AC149" s="11"/>
      <c r="AD149" s="11"/>
      <c r="AG149" s="11"/>
      <c r="AH149" s="11"/>
      <c r="AI149" s="11"/>
    </row>
    <row r="150" spans="1:35">
      <c r="A150" s="128"/>
      <c r="B150" s="128"/>
      <c r="C150" s="167" t="s">
        <v>22</v>
      </c>
      <c r="D150" s="354" t="s">
        <v>23</v>
      </c>
      <c r="E150" s="354"/>
      <c r="F150" s="355"/>
      <c r="G150" s="70"/>
      <c r="H150" s="6"/>
      <c r="I150" s="379" t="s">
        <v>66</v>
      </c>
      <c r="J150" s="380"/>
      <c r="K150" s="380"/>
      <c r="L150" s="381"/>
      <c r="M150" s="107">
        <f t="shared" ca="1" si="92"/>
        <v>0.4825174825174825</v>
      </c>
      <c r="N150" s="108">
        <f>COUNTIF($I$7:$I$146,"A")</f>
        <v>69</v>
      </c>
      <c r="O150" s="100">
        <f ca="1">COUNTIFS($J$7:$J$146,"&lt;=21",$I$7:$I$146,"A")</f>
        <v>56</v>
      </c>
      <c r="P150" s="101">
        <f ca="1">COUNTIFS($J$7:$J$146,"&gt;21",$I$7:$I$146,"A")</f>
        <v>12</v>
      </c>
      <c r="Q150" s="107">
        <f ca="1">R150/$R$149</f>
        <v>0.42741935483870969</v>
      </c>
      <c r="R150" s="108">
        <f>COUNTIF($R$7:$R$146,"A")</f>
        <v>53</v>
      </c>
      <c r="S150" s="1"/>
      <c r="T150" s="1"/>
      <c r="U150" s="140"/>
      <c r="V150" s="1"/>
      <c r="X150" s="11"/>
      <c r="Y150" s="11"/>
      <c r="Z150" s="11"/>
      <c r="AA150" s="11"/>
      <c r="AB150" s="11"/>
      <c r="AC150" s="11"/>
      <c r="AD150" s="11"/>
      <c r="AG150" s="11"/>
      <c r="AH150" s="11"/>
      <c r="AI150" s="11"/>
    </row>
    <row r="151" spans="1:35">
      <c r="A151" s="128"/>
      <c r="B151" s="128"/>
      <c r="C151" s="167" t="s">
        <v>24</v>
      </c>
      <c r="D151" s="354" t="s">
        <v>25</v>
      </c>
      <c r="E151" s="354"/>
      <c r="F151" s="355"/>
      <c r="H151" s="6"/>
      <c r="I151" s="382" t="s">
        <v>67</v>
      </c>
      <c r="J151" s="383"/>
      <c r="K151" s="383"/>
      <c r="L151" s="384"/>
      <c r="M151" s="109">
        <f t="shared" ca="1" si="92"/>
        <v>9.7902097902097904E-2</v>
      </c>
      <c r="N151" s="110">
        <f>COUNTIF($I$7:$I$146,"B")</f>
        <v>14</v>
      </c>
      <c r="O151" s="98">
        <f ca="1">COUNTIFS($J$7:$J$146,"&lt;=21",$I$7:$I$146,"B")</f>
        <v>7</v>
      </c>
      <c r="P151" s="50">
        <f ca="1">COUNTIFS($J$7:$J$146,"&gt;21",$I$7:$I$146,"B")</f>
        <v>7</v>
      </c>
      <c r="Q151" s="109">
        <f t="shared" ref="Q151:Q153" ca="1" si="93">R151/$R$149</f>
        <v>7.2580645161290328E-2</v>
      </c>
      <c r="R151" s="110">
        <f>COUNTIF($R$7:$R$146,"B")</f>
        <v>9</v>
      </c>
      <c r="S151" s="1"/>
      <c r="T151" s="1"/>
      <c r="U151" s="140"/>
      <c r="V151" s="1"/>
      <c r="X151" s="11"/>
      <c r="Y151" s="11"/>
      <c r="Z151" s="11"/>
      <c r="AA151" s="11"/>
      <c r="AB151" s="11"/>
      <c r="AC151" s="11"/>
      <c r="AD151" s="11"/>
      <c r="AG151" s="11"/>
      <c r="AH151" s="11"/>
      <c r="AI151" s="11"/>
    </row>
    <row r="152" spans="1:35">
      <c r="A152" s="129"/>
      <c r="B152" s="129"/>
      <c r="C152" s="167" t="s">
        <v>26</v>
      </c>
      <c r="D152" s="354" t="s">
        <v>27</v>
      </c>
      <c r="E152" s="354"/>
      <c r="F152" s="355"/>
      <c r="G152" s="71"/>
      <c r="H152" s="6"/>
      <c r="I152" s="385" t="s">
        <v>68</v>
      </c>
      <c r="J152" s="386"/>
      <c r="K152" s="386"/>
      <c r="L152" s="387"/>
      <c r="M152" s="111">
        <f t="shared" ca="1" si="92"/>
        <v>0.23076923076923078</v>
      </c>
      <c r="N152" s="112">
        <f>COUNTIF($I$7:$I$146,"C")</f>
        <v>33</v>
      </c>
      <c r="O152" s="98">
        <f ca="1">COUNTIFS($J$7:$J$146,"&lt;=21",$I$7:$I$146,"C")</f>
        <v>19</v>
      </c>
      <c r="P152" s="50">
        <f ca="1">COUNTIFS($J$7:$J$146,"&gt;21",$I$7:$I$146,"C")</f>
        <v>14</v>
      </c>
      <c r="Q152" s="111">
        <f t="shared" ca="1" si="93"/>
        <v>0.17741935483870969</v>
      </c>
      <c r="R152" s="112">
        <f>COUNTIF($R$7:$R$146,"C")</f>
        <v>22</v>
      </c>
      <c r="S152" s="1"/>
      <c r="T152" s="1"/>
      <c r="U152" s="140"/>
      <c r="V152" s="1"/>
      <c r="X152" s="11"/>
      <c r="Y152" s="11"/>
      <c r="Z152" s="11"/>
      <c r="AA152" s="11"/>
      <c r="AB152" s="11"/>
      <c r="AC152" s="11"/>
      <c r="AD152" s="11"/>
      <c r="AG152" s="11"/>
      <c r="AH152" s="11"/>
      <c r="AI152" s="11"/>
    </row>
    <row r="153" spans="1:35">
      <c r="A153" s="129"/>
      <c r="B153" s="129"/>
      <c r="C153" s="168" t="s">
        <v>28</v>
      </c>
      <c r="D153" s="354" t="s">
        <v>29</v>
      </c>
      <c r="E153" s="354"/>
      <c r="F153" s="355"/>
      <c r="G153" s="72"/>
      <c r="I153" s="388" t="s">
        <v>70</v>
      </c>
      <c r="J153" s="389"/>
      <c r="K153" s="389"/>
      <c r="L153" s="390"/>
      <c r="M153" s="114">
        <f t="shared" ca="1" si="92"/>
        <v>8.3916083916083919E-2</v>
      </c>
      <c r="N153" s="115">
        <f ca="1">SUM(O153:P153)</f>
        <v>12</v>
      </c>
      <c r="O153" s="98">
        <f ca="1">COUNTIFS($J$7:$J$146,"&lt;=21",$V$7:$V$146,"",$L$7:$L$146,"&lt;&gt;X")</f>
        <v>10</v>
      </c>
      <c r="P153" s="50">
        <f ca="1">COUNTIFS($J$7:$J$146,"&gt;21",$V$7:$V$146,"",$L$7:$L$146,"&lt;&gt;X")</f>
        <v>2</v>
      </c>
      <c r="Q153" s="114">
        <f t="shared" ca="1" si="93"/>
        <v>0.32258064516129031</v>
      </c>
      <c r="R153" s="115">
        <f ca="1">COUNTIFS($J$7:$J$146,"&gt;=0",$Q$7:$Q$146,"",$L$7:$L$146,"&lt;&gt;X")</f>
        <v>40</v>
      </c>
      <c r="S153" s="1" t="s">
        <v>10</v>
      </c>
      <c r="T153" s="1"/>
      <c r="U153" s="140"/>
      <c r="V153" s="1"/>
      <c r="X153" s="11"/>
      <c r="Y153" s="11"/>
      <c r="Z153" s="11"/>
      <c r="AA153" s="11"/>
      <c r="AB153" s="11"/>
      <c r="AC153" s="11"/>
      <c r="AD153" s="11"/>
      <c r="AG153" s="11"/>
      <c r="AH153" s="11"/>
      <c r="AI153" s="11"/>
    </row>
    <row r="154" spans="1:35" ht="16.5" thickBot="1">
      <c r="A154" s="129"/>
      <c r="B154" s="129"/>
      <c r="C154" s="168" t="s">
        <v>30</v>
      </c>
      <c r="D154" s="354" t="s">
        <v>31</v>
      </c>
      <c r="E154" s="354"/>
      <c r="F154" s="355"/>
      <c r="H154" s="6"/>
      <c r="I154" s="391" t="s">
        <v>71</v>
      </c>
      <c r="J154" s="392"/>
      <c r="K154" s="392"/>
      <c r="L154" s="393"/>
      <c r="M154" s="113">
        <f t="shared" ca="1" si="92"/>
        <v>0.1048951048951049</v>
      </c>
      <c r="N154" s="97">
        <f>COUNTIFS($L$7:$L$146,"X")</f>
        <v>15</v>
      </c>
      <c r="O154" s="99"/>
      <c r="P154" s="51"/>
      <c r="Q154" s="221"/>
      <c r="R154" s="222"/>
    </row>
    <row r="155" spans="1:35">
      <c r="A155" s="128"/>
      <c r="B155" s="128"/>
      <c r="C155" s="168" t="s">
        <v>32</v>
      </c>
      <c r="D155" s="354" t="s">
        <v>33</v>
      </c>
      <c r="E155" s="354"/>
      <c r="F155" s="355"/>
      <c r="H155" s="1" t="s">
        <v>11</v>
      </c>
    </row>
    <row r="156" spans="1:35">
      <c r="C156" s="167" t="s">
        <v>34</v>
      </c>
      <c r="D156" s="354" t="s">
        <v>35</v>
      </c>
      <c r="E156" s="354"/>
      <c r="F156" s="35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94" t="s">
        <v>75</v>
      </c>
      <c r="D157" s="350" t="s">
        <v>76</v>
      </c>
      <c r="E157" s="350"/>
      <c r="F157" s="351"/>
      <c r="H157" s="13"/>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ht="16.5" thickBot="1">
      <c r="C158" s="395"/>
      <c r="D158" s="352"/>
      <c r="E158" s="352"/>
      <c r="F158" s="353"/>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378" t="s">
        <v>41</v>
      </c>
      <c r="D160" s="378"/>
      <c r="E160" s="378"/>
      <c r="F160" s="378"/>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396" t="s">
        <v>91</v>
      </c>
      <c r="E161" s="396"/>
      <c r="F161" s="396"/>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c r="C162" s="169" t="s">
        <v>8</v>
      </c>
      <c r="D162" s="396" t="s">
        <v>92</v>
      </c>
      <c r="E162" s="396"/>
      <c r="F162" s="396"/>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169" t="s">
        <v>8</v>
      </c>
      <c r="D163" s="396" t="s">
        <v>93</v>
      </c>
      <c r="E163" s="396"/>
      <c r="F163" s="396"/>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ht="16.5" thickBot="1">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ht="16.5" thickBot="1">
      <c r="C165" s="402" t="s">
        <v>96</v>
      </c>
      <c r="D165" s="403"/>
      <c r="E165" s="403"/>
      <c r="F165" s="404"/>
      <c r="H165" s="13"/>
      <c r="I165" s="141"/>
      <c r="J165" s="141"/>
      <c r="K165" s="13"/>
      <c r="L165" s="141"/>
      <c r="M165" s="6"/>
      <c r="N165" s="6"/>
      <c r="O165" s="6"/>
      <c r="P165" s="6"/>
      <c r="Q165" s="6"/>
      <c r="S165" s="6"/>
      <c r="T165" s="1"/>
      <c r="U165" s="140"/>
      <c r="V165" s="1"/>
      <c r="W165" s="140"/>
      <c r="X165" s="1"/>
      <c r="Y165" s="1"/>
      <c r="Z165" s="1"/>
      <c r="AA165" s="1"/>
      <c r="AB165" s="1"/>
      <c r="AC165" s="1"/>
      <c r="AD165" s="1"/>
      <c r="AG165" s="160"/>
      <c r="AH165" s="1"/>
      <c r="AI165" s="1"/>
    </row>
    <row r="166" spans="3:35">
      <c r="C166" s="212" t="s">
        <v>81</v>
      </c>
      <c r="D166" s="405" t="s">
        <v>97</v>
      </c>
      <c r="E166" s="405"/>
      <c r="F166" s="406"/>
      <c r="H166" s="13"/>
      <c r="I166" s="141"/>
      <c r="J166" s="141"/>
      <c r="K166" s="13"/>
      <c r="L166" s="141"/>
      <c r="M166" s="6"/>
      <c r="N166" s="6"/>
      <c r="O166" s="6"/>
      <c r="P166" s="6"/>
      <c r="Q166" s="6"/>
      <c r="S166" s="6"/>
      <c r="T166" s="1"/>
      <c r="U166" s="140"/>
      <c r="V166" s="1"/>
      <c r="W166" s="140"/>
      <c r="X166" s="1"/>
      <c r="Y166" s="1"/>
      <c r="Z166" s="1"/>
      <c r="AA166" s="1"/>
      <c r="AB166" s="1"/>
      <c r="AC166" s="1"/>
      <c r="AD166" s="1"/>
      <c r="AG166" s="160"/>
      <c r="AH166" s="1"/>
      <c r="AI166" s="1"/>
    </row>
    <row r="167" spans="3:35">
      <c r="C167" s="213" t="s">
        <v>82</v>
      </c>
      <c r="D167" s="397" t="s">
        <v>98</v>
      </c>
      <c r="E167" s="397"/>
      <c r="F167" s="398"/>
    </row>
    <row r="168" spans="3:35">
      <c r="C168" s="213" t="s">
        <v>83</v>
      </c>
      <c r="D168" s="397" t="s">
        <v>99</v>
      </c>
      <c r="E168" s="397"/>
      <c r="F168" s="398"/>
    </row>
    <row r="169" spans="3:35">
      <c r="C169" s="214" t="s">
        <v>84</v>
      </c>
      <c r="D169" s="397" t="s">
        <v>100</v>
      </c>
      <c r="E169" s="397"/>
      <c r="F169" s="398"/>
    </row>
    <row r="170" spans="3:35">
      <c r="C170" s="214" t="s">
        <v>85</v>
      </c>
      <c r="D170" s="397" t="s">
        <v>101</v>
      </c>
      <c r="E170" s="397"/>
      <c r="F170" s="398"/>
    </row>
    <row r="171" spans="3:35" ht="18.75">
      <c r="C171" s="214" t="s">
        <v>86</v>
      </c>
      <c r="D171" s="397" t="s">
        <v>102</v>
      </c>
      <c r="E171" s="397"/>
      <c r="F171" s="398"/>
    </row>
    <row r="172" spans="3:35" ht="18.75">
      <c r="C172" s="213" t="s">
        <v>87</v>
      </c>
      <c r="D172" s="397" t="s">
        <v>103</v>
      </c>
      <c r="E172" s="397"/>
      <c r="F172" s="398"/>
    </row>
    <row r="173" spans="3:35">
      <c r="C173" s="215" t="s">
        <v>88</v>
      </c>
      <c r="D173" s="399" t="s">
        <v>104</v>
      </c>
      <c r="E173" s="400"/>
      <c r="F173" s="401"/>
    </row>
    <row r="174" spans="3:35" ht="18.75">
      <c r="C174" s="215" t="s">
        <v>89</v>
      </c>
      <c r="D174" s="397" t="s">
        <v>105</v>
      </c>
      <c r="E174" s="397"/>
      <c r="F174" s="398"/>
    </row>
    <row r="175" spans="3:35">
      <c r="C175" s="213" t="s">
        <v>90</v>
      </c>
      <c r="D175" s="397" t="s">
        <v>106</v>
      </c>
      <c r="E175" s="397"/>
      <c r="F175" s="398"/>
    </row>
    <row r="176" spans="3:35" ht="16.5" thickBot="1">
      <c r="C176" s="216" t="s">
        <v>94</v>
      </c>
      <c r="D176" s="373" t="s">
        <v>107</v>
      </c>
      <c r="E176" s="374"/>
      <c r="F176" s="375"/>
    </row>
  </sheetData>
  <autoFilter ref="A6:AE146"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5:F175"/>
    <mergeCell ref="D162:F162"/>
    <mergeCell ref="D163:F163"/>
    <mergeCell ref="D170:F170"/>
    <mergeCell ref="D171:F171"/>
    <mergeCell ref="D172:F172"/>
    <mergeCell ref="D173:F173"/>
    <mergeCell ref="D174:F174"/>
    <mergeCell ref="C165:F165"/>
    <mergeCell ref="D166:F166"/>
    <mergeCell ref="D167:F167"/>
    <mergeCell ref="D168:F168"/>
    <mergeCell ref="D169:F169"/>
    <mergeCell ref="D176:F176"/>
    <mergeCell ref="D148:F148"/>
    <mergeCell ref="C160:F160"/>
    <mergeCell ref="O148:P148"/>
    <mergeCell ref="I148:N148"/>
    <mergeCell ref="I150:L150"/>
    <mergeCell ref="I151:L151"/>
    <mergeCell ref="I152:L152"/>
    <mergeCell ref="I153:L153"/>
    <mergeCell ref="I154:L154"/>
    <mergeCell ref="C157:C158"/>
    <mergeCell ref="D150:F150"/>
    <mergeCell ref="D151:F151"/>
    <mergeCell ref="D152:F152"/>
    <mergeCell ref="D153:F153"/>
    <mergeCell ref="D161:F161"/>
    <mergeCell ref="B4:B5"/>
    <mergeCell ref="D157:F158"/>
    <mergeCell ref="D149:F149"/>
    <mergeCell ref="I149:L149"/>
    <mergeCell ref="AA4:AD4"/>
    <mergeCell ref="Q148:R148"/>
    <mergeCell ref="D154:F154"/>
    <mergeCell ref="D155:F155"/>
    <mergeCell ref="D156:F156"/>
    <mergeCell ref="S4:U4"/>
    <mergeCell ref="L4:L5"/>
    <mergeCell ref="Q4:R4"/>
    <mergeCell ref="K4:K5"/>
    <mergeCell ref="Y4:Z4"/>
  </mergeCells>
  <phoneticPr fontId="5" type="noConversion"/>
  <conditionalFormatting sqref="A7:AE146 AG7:AI146">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61" r:id="rId237" xr:uid="{8E310CD5-A28F-4463-BCF0-54C44E66ED53}"/>
    <hyperlink ref="C162" r:id="rId238" xr:uid="{5182D641-FE70-4AC5-A684-B03DCC409CD2}"/>
    <hyperlink ref="C163"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 ref="O130" r:id="rId519" xr:uid="{B238C8EC-57F1-4DEE-9114-4662DB381D9A}"/>
    <hyperlink ref="O129" r:id="rId520" xr:uid="{80D9D51B-1237-4E12-AB3F-F656D3014EEB}"/>
    <hyperlink ref="O133" r:id="rId521" xr:uid="{43CB6808-2222-4383-9681-BB5FAE2F82F9}"/>
    <hyperlink ref="O134" r:id="rId522" xr:uid="{FB8F3DC6-9360-478A-8F8A-CD0DCC6A9F28}"/>
    <hyperlink ref="M143" r:id="rId523" xr:uid="{7E59F379-D76D-49DB-A8F2-3C502C3CE7B5}"/>
    <hyperlink ref="M144" r:id="rId524" xr:uid="{243D7241-F1AD-4087-AC40-28D742434DDF}"/>
  </hyperlinks>
  <pageMargins left="0.25" right="0.17" top="0.5" bottom="0.25" header="0.3" footer="0.3"/>
  <pageSetup paperSize="9" scale="28" orientation="landscape" horizontalDpi="300" verticalDpi="300" r:id="rId525"/>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2"/>
  <sheetViews>
    <sheetView zoomScale="85" zoomScaleNormal="85" zoomScaleSheetLayoutView="85" workbookViewId="0">
      <pane xSplit="5" ySplit="6" topLeftCell="F44" activePane="bottomRight" state="frozen"/>
      <selection pane="topRight" activeCell="D1" sqref="D1"/>
      <selection pane="bottomLeft" activeCell="A7" sqref="A7"/>
      <selection pane="bottomRight" activeCell="I49" sqref="I49"/>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46324</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9" si="0">A6+1</f>
        <v>1</v>
      </c>
      <c r="B7" s="33" t="str">
        <f t="shared" ref="B7:B33" si="1">MID(D7, FIND("-", D7) + 1, 4)</f>
        <v>5.10</v>
      </c>
      <c r="C7" s="164" t="s">
        <v>1120</v>
      </c>
      <c r="D7" s="25" t="s">
        <v>519</v>
      </c>
      <c r="E7" s="174">
        <f t="shared" ref="E7:E4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_xlfn._xlws.FILTER($AG$7:$AG$4878,$K$7:$K$4878&lt;&gt;"X"),
_xlfn._xlws.FILTER($D$7:$D$4878,$K$7:$K$4878&lt;&gt;"X"),
"",
0,
-1
)</f>
        <v>0</v>
      </c>
      <c r="AI7" s="240" t="str">
        <f>IF($AH7,IF(OR($Q7="B",$Q7="C"),"YES",IF($Q7="",IF(OR($H7="B",$H7="C"),"YES",""),"")),"")</f>
        <v/>
      </c>
    </row>
    <row r="8" spans="1:35" s="9" customFormat="1" ht="94.5">
      <c r="A8" s="33">
        <f t="shared" si="0"/>
        <v>2</v>
      </c>
      <c r="B8" s="33" t="str">
        <f t="shared" si="1"/>
        <v>5.10</v>
      </c>
      <c r="C8" s="164" t="s">
        <v>1121</v>
      </c>
      <c r="D8" s="25" t="s">
        <v>523</v>
      </c>
      <c r="E8" s="174">
        <f t="shared" si="2"/>
        <v>45562</v>
      </c>
      <c r="F8" s="31" t="s">
        <v>524</v>
      </c>
      <c r="G8" s="21" t="s">
        <v>525</v>
      </c>
      <c r="H8" s="138" t="s">
        <v>2</v>
      </c>
      <c r="I8" s="164">
        <f t="shared" si="3"/>
        <v>25</v>
      </c>
      <c r="J8" s="47">
        <f t="shared" ref="J8:J4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1" si="5">IF(AND($Q8="",$H8=""),"",IF(OR($Q8="B",$Q8="C"),IF($Y8&lt;&gt;"",$Y8+7,IF($X8&lt;&gt;"",$X8+8,"")),IF($Q8="",IF(OR($H8="B",$H8="C"),IF($V8&lt;&gt;"",$V8+7,IF($U8&lt;&gt;"",$U8+8,""))),"")))</f>
        <v>45681</v>
      </c>
      <c r="AA8" s="229">
        <v>45850</v>
      </c>
      <c r="AB8" s="229" t="str">
        <f t="shared" ref="AB8:AB49" si="6">IF(OR($Q8="B",$Q8="C"),IF($Z8="","",IF($AA8="",IF($Z8&gt;=$I$1,"In progress","Not submit yet"),IF($Z8&gt;=$AA8,"Timely Response","Late Resubmission"))),"")</f>
        <v>Late Resubmission</v>
      </c>
      <c r="AC8" s="183">
        <f t="shared" ref="AC8:AC33" si="7">IF(AB8="Late Resubmission",IF(AA8="","",AA8-Z8),IF(AB8="Not submit yet",IF(Z8="","",$I$1-Z8),""))</f>
        <v>169</v>
      </c>
      <c r="AD8" s="92"/>
      <c r="AG8" s="238" t="str">
        <f t="shared" ref="AG8:AG49" si="8">IF(AND(RIGHT($D8,1)&gt;="A",RIGHT($D8,1)&lt;="Z"),LEFT($D8,LEN($D8)-1),$D8)</f>
        <v>LTIA-5.10-VIETUR-80000-RFA-SDS-0122</v>
      </c>
      <c r="AH8" s="243" t="b" cm="1">
        <f t="array" ref="AH8">$D8=_xlfn.XLOOKUP(
AG8,
_xlfn._xlws.FILTER($AG$7:$AG$4878,$K$7:$K$4878&lt;&gt;"X"),
_xlfn._xlws.FILTER($D$7:$D$4878,$K$7:$K$4878&lt;&gt;"X"),
"",
0,
-1
)</f>
        <v>0</v>
      </c>
      <c r="AI8" s="75" t="str">
        <f t="shared" ref="AI8:AI38" si="9">IF(
AND(
$AH8,
OR($Q8="B",$Q8="C")
),
"YES",
""
)</f>
        <v/>
      </c>
    </row>
    <row r="9" spans="1:35" s="9" customFormat="1" ht="110.25">
      <c r="A9" s="33">
        <f t="shared" si="0"/>
        <v>3</v>
      </c>
      <c r="B9" s="33" t="str">
        <f t="shared" si="1"/>
        <v>5.10</v>
      </c>
      <c r="C9" s="164" t="s">
        <v>1122</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_xlfn._xlws.FILTER($AG$7:$AG$4878,$K$7:$K$4878&lt;&gt;"X"),
_xlfn._xlws.FILTER($D$7:$D$4878,$K$7:$K$4878&lt;&gt;"X"),
"",
0,
-1
)</f>
        <v>0</v>
      </c>
      <c r="AI9" s="75" t="str">
        <f t="shared" si="9"/>
        <v/>
      </c>
    </row>
    <row r="10" spans="1:35" s="9" customFormat="1" ht="94.5">
      <c r="A10" s="33">
        <f t="shared" si="0"/>
        <v>4</v>
      </c>
      <c r="B10" s="33" t="str">
        <f t="shared" si="1"/>
        <v>5.10</v>
      </c>
      <c r="C10" s="164" t="s">
        <v>1121</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_xlfn._xlws.FILTER($AG$7:$AG$4878,$K$7:$K$4878&lt;&gt;"X"),
_xlfn._xlws.FILTER($D$7:$D$4878,$K$7:$K$4878&lt;&gt;"X"),
"",
0,
-1
)</f>
        <v>0</v>
      </c>
      <c r="AI10" s="75" t="str">
        <f t="shared" si="9"/>
        <v/>
      </c>
    </row>
    <row r="11" spans="1:35" s="9" customFormat="1" ht="94.5">
      <c r="A11" s="33">
        <f t="shared" si="0"/>
        <v>5</v>
      </c>
      <c r="B11" s="33" t="str">
        <f t="shared" si="1"/>
        <v>5.10</v>
      </c>
      <c r="C11" s="164" t="s">
        <v>1121</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_xlfn._xlws.FILTER($AG$7:$AG$4878,$K$7:$K$4878&lt;&gt;"X"),
_xlfn._xlws.FILTER($D$7:$D$4878,$K$7:$K$4878&lt;&gt;"X"),
"",
0,
-1
)</f>
        <v>0</v>
      </c>
      <c r="AI11" s="75" t="str">
        <f t="shared" si="9"/>
        <v/>
      </c>
    </row>
    <row r="12" spans="1:35" s="58" customFormat="1" ht="78.75">
      <c r="A12" s="33">
        <f t="shared" si="0"/>
        <v>6</v>
      </c>
      <c r="B12" s="33" t="str">
        <f t="shared" si="1"/>
        <v>5.10</v>
      </c>
      <c r="C12" s="164" t="s">
        <v>1123</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561</v>
      </c>
      <c r="AD12" s="92"/>
      <c r="AG12" s="238" t="str">
        <f t="shared" si="8"/>
        <v>LTIA-5.10-VIETUR-80000-RFA-SDS-0214</v>
      </c>
      <c r="AH12" s="243" t="b" cm="1">
        <f t="array" ref="AH12">$D12=_xlfn.XLOOKUP(
AG12,
_xlfn._xlws.FILTER($AG$7:$AG$4878,$K$7:$K$4878&lt;&gt;"X"),
_xlfn._xlws.FILTER($D$7:$D$4878,$K$7:$K$4878&lt;&gt;"X"),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_xlfn._xlws.FILTER($AG$7:$AG$4878,$K$7:$K$4878&lt;&gt;"X"),
_xlfn._xlws.FILTER($D$7:$D$4878,$K$7:$K$4878&lt;&gt;"X"),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471</v>
      </c>
      <c r="AD14" s="92"/>
      <c r="AG14" s="238" t="str">
        <f t="shared" si="8"/>
        <v>LTIA-5.10-VIETUR-80000-RFA-SDS-0297</v>
      </c>
      <c r="AH14" s="243" t="b" cm="1">
        <f t="array" ref="AH14">$D14=_xlfn.XLOOKUP(
AG14,
_xlfn._xlws.FILTER($AG$7:$AG$4878,$K$7:$K$4878&lt;&gt;"X"),
_xlfn._xlws.FILTER($D$7:$D$4878,$K$7:$K$4878&lt;&gt;"X"),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_xlfn._xlws.FILTER($AG$7:$AG$4878,$K$7:$K$4878&lt;&gt;"X"),
_xlfn._xlws.FILTER($D$7:$D$4878,$K$7:$K$4878&lt;&gt;"X"),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_xlfn._xlws.FILTER($AG$7:$AG$4878,$K$7:$K$4878&lt;&gt;"X"),
_xlfn._xlws.FILTER($D$7:$D$4878,$K$7:$K$4878&lt;&gt;"X"),
"",
0,
-1
)</f>
        <v>1</v>
      </c>
      <c r="AI16" s="75" t="str">
        <f t="shared" si="9"/>
        <v>YES</v>
      </c>
    </row>
    <row r="17" spans="1:35" s="9" customFormat="1" ht="110.2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_xlfn._xlws.FILTER($AG$7:$AG$4878,$K$7:$K$4878&lt;&gt;"X"),
_xlfn._xlws.FILTER($D$7:$D$4878,$K$7:$K$4878&lt;&gt;"X"),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_xlfn._xlws.FILTER($AG$7:$AG$4878,$K$7:$K$4878&lt;&gt;"X"),
_xlfn._xlws.FILTER($D$7:$D$4878,$K$7:$K$4878&lt;&gt;"X"),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_xlfn._xlws.FILTER($AG$7:$AG$4878,$K$7:$K$4878&lt;&gt;"X"),
_xlfn._xlws.FILTER($D$7:$D$4878,$K$7:$K$4878&lt;&gt;"X"),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_xlfn._xlws.FILTER($AG$7:$AG$4878,$K$7:$K$4878&lt;&gt;"X"),
_xlfn._xlws.FILTER($D$7:$D$4878,$K$7:$K$4878&lt;&gt;"X"),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_xlfn._xlws.FILTER($AG$7:$AG$4878,$K$7:$K$4878&lt;&gt;"X"),
_xlfn._xlws.FILTER($D$7:$D$4878,$K$7:$K$4878&lt;&gt;"X"),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_xlfn._xlws.FILTER($AG$7:$AG$4878,$K$7:$K$4878&lt;&gt;"X"),
_xlfn._xlws.FILTER($D$7:$D$4878,$K$7:$K$4878&lt;&gt;"X"),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360</v>
      </c>
      <c r="AD23" s="92"/>
      <c r="AG23" s="238" t="str">
        <f t="shared" si="8"/>
        <v>LTIA-5.10-VIETUR-80000-RFA-SDS-0350</v>
      </c>
      <c r="AH23" s="243" t="b" cm="1">
        <f t="array" ref="AH23">$D23=_xlfn.XLOOKUP(
AG23,
_xlfn._xlws.FILTER($AG$7:$AG$4878,$K$7:$K$4878&lt;&gt;"X"),
_xlfn._xlws.FILTER($D$7:$D$4878,$K$7:$K$4878&lt;&gt;"X"),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_xlfn._xlws.FILTER($AG$7:$AG$4878,$K$7:$K$4878&lt;&gt;"X"),
_xlfn._xlws.FILTER($D$7:$D$4878,$K$7:$K$4878&lt;&gt;"X"),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_xlfn._xlws.FILTER($AG$7:$AG$4878,$K$7:$K$4878&lt;&gt;"X"),
_xlfn._xlws.FILTER($D$7:$D$4878,$K$7:$K$4878&lt;&gt;"X"),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_xlfn._xlws.FILTER($AG$7:$AG$4878,$K$7:$K$4878&lt;&gt;"X"),
_xlfn._xlws.FILTER($D$7:$D$4878,$K$7:$K$4878&lt;&gt;"X"),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_xlfn._xlws.FILTER($AG$7:$AG$4878,$K$7:$K$4878&lt;&gt;"X"),
_xlfn._xlws.FILTER($D$7:$D$4878,$K$7:$K$4878&lt;&gt;"X"),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_xlfn._xlws.FILTER($AG$7:$AG$4878,$K$7:$K$4878&lt;&gt;"X"),
_xlfn._xlws.FILTER($D$7:$D$4878,$K$7:$K$4878&lt;&gt;"X"),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_xlfn._xlws.FILTER($AG$7:$AG$4878,$K$7:$K$4878&lt;&gt;"X"),
_xlfn._xlws.FILTER($D$7:$D$4878,$K$7:$K$4878&lt;&gt;"X"),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318</v>
      </c>
      <c r="AD30" s="92" t="s">
        <v>589</v>
      </c>
      <c r="AG30" s="238" t="str">
        <f t="shared" si="8"/>
        <v>LTIA-5.10-VIETUR-80000-RFA-SDS-0160</v>
      </c>
      <c r="AH30" s="243" t="b" cm="1">
        <f t="array" ref="AH30">$D30=_xlfn.XLOOKUP(
AG30,
_xlfn._xlws.FILTER($AG$7:$AG$4878,$K$7:$K$4878&lt;&gt;"X"),
_xlfn._xlws.FILTER($D$7:$D$4878,$K$7:$K$4878&lt;&gt;"X"),
"",
0,
-1
)</f>
        <v>0</v>
      </c>
      <c r="AI30" s="75" t="str">
        <f t="shared" si="9"/>
        <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105</v>
      </c>
      <c r="AD31" s="92" t="s">
        <v>593</v>
      </c>
      <c r="AG31" s="238" t="str">
        <f t="shared" si="8"/>
        <v>LTIA-5.10-VIETUR-80000-RFA-SDS-0415</v>
      </c>
      <c r="AH31" s="243" t="b" cm="1">
        <f t="array" ref="AH31">$D31=_xlfn.XLOOKUP(
AG31,
_xlfn._xlws.FILTER($AG$7:$AG$4878,$K$7:$K$4878&lt;&gt;"X"),
_xlfn._xlws.FILTER($D$7:$D$4878,$K$7:$K$4878&lt;&gt;"X"),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_xlfn._xlws.FILTER($AG$7:$AG$4878,$K$7:$K$4878&lt;&gt;"X"),
_xlfn._xlws.FILTER($D$7:$D$4878,$K$7:$K$4878&lt;&gt;"X"),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_xlfn._xlws.FILTER($AG$7:$AG$4878,$K$7:$K$4878&lt;&gt;"X"),
_xlfn._xlws.FILTER($D$7:$D$4878,$K$7:$K$4878&lt;&gt;"X"),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_xlfn._xlws.FILTER($AG$7:$AG$4878,$K$7:$K$4878&lt;&gt;"X"),
_xlfn._xlws.FILTER($D$7:$D$4878,$K$7:$K$4878&lt;&gt;"X"),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_xlfn._xlws.FILTER($AG$7:$AG$4878,$K$7:$K$4878&lt;&gt;"X"),
_xlfn._xlws.FILTER($D$7:$D$4878,$K$7:$K$4878&lt;&gt;"X"),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_xlfn._xlws.FILTER($AG$7:$AG$4878,$K$7:$K$4878&lt;&gt;"X"),
_xlfn._xlws.FILTER($D$7:$D$4878,$K$7:$K$4878&lt;&gt;"X"),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_xlfn._xlws.FILTER($AG$7:$AG$4878,$K$7:$K$4878&lt;&gt;"X"),
_xlfn._xlws.FILTER($D$7:$D$4878,$K$7:$K$4878&lt;&gt;"X"),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_xlfn._xlws.FILTER($AG$7:$AG$4878,$K$7:$K$4878&lt;&gt;"X"),
_xlfn._xlws.FILTER($D$7:$D$4878,$K$7:$K$4878&lt;&gt;"X"),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_xlfn._xlws.FILTER($AG$7:$AG$4878,$K$7:$K$4878&lt;&gt;"X"),
_xlfn._xlws.FILTER($D$7:$D$4878,$K$7:$K$4878&lt;&gt;"X"),
"",
0,
-1
)</f>
        <v>1</v>
      </c>
      <c r="AI39" s="75" t="str">
        <f t="shared" ref="AI39:AI49"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t="s">
        <v>1</v>
      </c>
      <c r="I40" s="164">
        <f t="shared" ca="1" si="10"/>
        <v>15</v>
      </c>
      <c r="J40" s="47">
        <f t="shared" ca="1" si="4"/>
        <v>0</v>
      </c>
      <c r="K40" s="164"/>
      <c r="L40" s="54" t="s">
        <v>8</v>
      </c>
      <c r="M40" s="65"/>
      <c r="N40" s="40"/>
      <c r="O40" s="41"/>
      <c r="P40" s="40"/>
      <c r="Q40" s="155"/>
      <c r="R40" s="27">
        <v>46309</v>
      </c>
      <c r="S40" s="27">
        <v>46309</v>
      </c>
      <c r="T40" s="188">
        <v>46309</v>
      </c>
      <c r="U40" s="29"/>
      <c r="V40" s="188"/>
      <c r="W40" s="235" t="s">
        <v>255</v>
      </c>
      <c r="X40" s="230"/>
      <c r="Y40" s="227"/>
      <c r="Z40" s="29" t="str">
        <f t="shared" si="5"/>
        <v/>
      </c>
      <c r="AA40" s="229"/>
      <c r="AB40" s="229" t="str">
        <f t="shared" si="6"/>
        <v/>
      </c>
      <c r="AC40" s="183" t="str">
        <f t="shared" ref="AC40" si="23">IF(AB40="Late Resubmission",IF(AA40="","",AA40-Z40),IF(AB40="Not submit yet",IF(Z40="","",$I$1-Z40),""))</f>
        <v/>
      </c>
      <c r="AD40" s="92" t="s">
        <v>1135</v>
      </c>
      <c r="AG40" s="238" t="str">
        <f t="shared" si="8"/>
        <v>LTIA-5.10-VIETUR-80000-RFA-SDS-0493</v>
      </c>
      <c r="AH40" s="243" t="b" cm="1">
        <f t="array" ref="AH40">$D40=_xlfn.XLOOKUP(
AG40,
_xlfn._xlws.FILTER($AG$7:$AG$4878,$K$7:$K$4878&lt;&gt;"X"),
_xlfn._xlws.FILTER($D$7:$D$4878,$K$7:$K$4878&lt;&gt;"X"),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13</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_xlfn._xlws.FILTER($AG$7:$AG$4878,$K$7:$K$4878&lt;&gt;"X"),
_xlfn._xlws.FILTER($D$7:$D$4878,$K$7:$K$4878&lt;&gt;"X"),
"",
0,
-1
)</f>
        <v>1</v>
      </c>
      <c r="AI41" s="75" t="str">
        <f t="shared" si="21"/>
        <v/>
      </c>
    </row>
    <row r="42" spans="1:35" s="9" customFormat="1" ht="78.75">
      <c r="A42" s="33">
        <f t="shared" si="0"/>
        <v>36</v>
      </c>
      <c r="B42" s="33" t="str">
        <f t="shared" ref="B42" si="26">MID(D42, FIND("-", D42) + 1, 4)</f>
        <v>5.10</v>
      </c>
      <c r="C42" s="164" t="s">
        <v>1119</v>
      </c>
      <c r="D42" s="25" t="s">
        <v>1092</v>
      </c>
      <c r="E42" s="174">
        <f t="shared" si="2"/>
        <v>46338</v>
      </c>
      <c r="F42" s="31" t="s">
        <v>1093</v>
      </c>
      <c r="G42" s="21" t="s">
        <v>535</v>
      </c>
      <c r="H42" s="138"/>
      <c r="I42" s="164">
        <f t="shared" ca="1" si="10"/>
        <v>7</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_xlfn._xlws.FILTER($AG$7:$AG$4878,$K$7:$K$4878&lt;&gt;"X"),
_xlfn._xlws.FILTER($D$7:$D$4878,$K$7:$K$4878&lt;&gt;"X"),
"",
0,
-1
)</f>
        <v>1</v>
      </c>
      <c r="AI42" s="75" t="str">
        <f t="shared" si="21"/>
        <v/>
      </c>
    </row>
    <row r="43" spans="1:35" s="9" customFormat="1" ht="47.25">
      <c r="A43" s="33">
        <f t="shared" si="0"/>
        <v>37</v>
      </c>
      <c r="B43" s="33" t="str">
        <f t="shared" ref="B43" si="28">MID(D43, FIND("-", D43) + 1, 4)</f>
        <v>5.10</v>
      </c>
      <c r="C43" s="164" t="s">
        <v>1120</v>
      </c>
      <c r="D43" s="25" t="s">
        <v>1094</v>
      </c>
      <c r="E43" s="174">
        <f t="shared" si="2"/>
        <v>46337</v>
      </c>
      <c r="F43" s="31" t="s">
        <v>1095</v>
      </c>
      <c r="G43" s="21" t="s">
        <v>521</v>
      </c>
      <c r="H43" s="138"/>
      <c r="I43" s="164">
        <f t="shared" ca="1" si="10"/>
        <v>8</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_xlfn._xlws.FILTER($AG$7:$AG$4878,$K$7:$K$4878&lt;&gt;"X"),
_xlfn._xlws.FILTER($D$7:$D$4878,$K$7:$K$4878&lt;&gt;"X"),
"",
0,
-1
)</f>
        <v>1</v>
      </c>
      <c r="AI43" s="75" t="str">
        <f t="shared" si="21"/>
        <v/>
      </c>
    </row>
    <row r="44" spans="1:35" s="9" customFormat="1" ht="78.75">
      <c r="A44" s="33">
        <f t="shared" si="0"/>
        <v>38</v>
      </c>
      <c r="B44" s="33" t="str">
        <f t="shared" ref="B44" si="30">MID(D44, FIND("-", D44) + 1, 4)</f>
        <v>5.10</v>
      </c>
      <c r="C44" s="164" t="s">
        <v>1119</v>
      </c>
      <c r="D44" s="25" t="s">
        <v>1096</v>
      </c>
      <c r="E44" s="174">
        <f t="shared" si="2"/>
        <v>46337</v>
      </c>
      <c r="F44" s="31" t="s">
        <v>1097</v>
      </c>
      <c r="G44" s="21" t="s">
        <v>525</v>
      </c>
      <c r="H44" s="138"/>
      <c r="I44" s="164">
        <f t="shared" ca="1" si="10"/>
        <v>8</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_xlfn._xlws.FILTER($AG$7:$AG$4878,$K$7:$K$4878&lt;&gt;"X"),
_xlfn._xlws.FILTER($D$7:$D$4878,$K$7:$K$4878&lt;&gt;"X"),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8</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_xlfn._xlws.FILTER($AG$7:$AG$4878,$K$7:$K$4878&lt;&gt;"X"),
_xlfn._xlws.FILTER($D$7:$D$4878,$K$7:$K$4878&lt;&gt;"X"),
"",
0,
-1
)</f>
        <v>1</v>
      </c>
      <c r="AI45" s="75" t="str">
        <f t="shared" si="21"/>
        <v/>
      </c>
    </row>
    <row r="46" spans="1:35" s="9" customFormat="1" ht="63">
      <c r="A46" s="33">
        <f t="shared" si="0"/>
        <v>40</v>
      </c>
      <c r="B46" s="33" t="str">
        <f t="shared" ref="B46" si="34">MID(D46, FIND("-", D46) + 1, 4)</f>
        <v>5.10</v>
      </c>
      <c r="C46" s="164" t="s">
        <v>552</v>
      </c>
      <c r="D46" s="25" t="s">
        <v>1125</v>
      </c>
      <c r="E46" s="174">
        <f t="shared" si="2"/>
        <v>46343</v>
      </c>
      <c r="F46" s="31" t="s">
        <v>1126</v>
      </c>
      <c r="G46" s="21" t="s">
        <v>1127</v>
      </c>
      <c r="H46" s="138"/>
      <c r="I46" s="164">
        <f t="shared" ca="1" si="10"/>
        <v>2</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_xlfn._xlws.FILTER($AG$7:$AG$4878,$K$7:$K$4878&lt;&gt;"X"),
_xlfn._xlws.FILTER($D$7:$D$4878,$K$7:$K$4878&lt;&gt;"X"),
"",
0,
-1
)</f>
        <v>1</v>
      </c>
      <c r="AI46" s="75" t="str">
        <f t="shared" si="21"/>
        <v/>
      </c>
    </row>
    <row r="47" spans="1:35" s="9" customFormat="1" ht="47.25">
      <c r="A47" s="33">
        <f t="shared" si="0"/>
        <v>41</v>
      </c>
      <c r="B47" s="33" t="str">
        <f t="shared" ref="B47" si="36">MID(D47, FIND("-", D47) + 1, 4)</f>
        <v>5.10</v>
      </c>
      <c r="C47" s="164" t="s">
        <v>195</v>
      </c>
      <c r="D47" s="25" t="s">
        <v>1128</v>
      </c>
      <c r="E47" s="174">
        <f t="shared" si="2"/>
        <v>46343</v>
      </c>
      <c r="F47" s="31" t="s">
        <v>1129</v>
      </c>
      <c r="G47" s="21" t="s">
        <v>1130</v>
      </c>
      <c r="H47" s="138"/>
      <c r="I47" s="164">
        <f t="shared" ca="1" si="10"/>
        <v>2</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_xlfn._xlws.FILTER($AG$7:$AG$4878,$K$7:$K$4878&lt;&gt;"X"),
_xlfn._xlws.FILTER($D$7:$D$4878,$K$7:$K$4878&lt;&gt;"X"),
"",
0,
-1
)</f>
        <v>1</v>
      </c>
      <c r="AI47" s="75" t="str">
        <f t="shared" si="21"/>
        <v/>
      </c>
    </row>
    <row r="48" spans="1:35" s="9" customFormat="1" ht="94.5">
      <c r="A48" s="33">
        <f t="shared" si="0"/>
        <v>42</v>
      </c>
      <c r="B48" s="33" t="str">
        <f t="shared" ref="B48" si="38">MID(D48, FIND("-", D48) + 1, 4)</f>
        <v>5.10</v>
      </c>
      <c r="C48" s="164" t="s">
        <v>1133</v>
      </c>
      <c r="D48" s="25" t="s">
        <v>1131</v>
      </c>
      <c r="E48" s="174">
        <f t="shared" si="2"/>
        <v>46343</v>
      </c>
      <c r="F48" s="31" t="s">
        <v>1132</v>
      </c>
      <c r="G48" s="21" t="s">
        <v>528</v>
      </c>
      <c r="H48" s="138"/>
      <c r="I48" s="164">
        <f t="shared" ca="1" si="10"/>
        <v>2</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_xlfn._xlws.FILTER($AG$7:$AG$4878,$K$7:$K$4878&lt;&gt;"X"),
_xlfn._xlws.FILTER($D$7:$D$4878,$K$7:$K$4878&lt;&gt;"X"),
"",
0,
-1
)</f>
        <v>1</v>
      </c>
      <c r="AI48" s="75" t="str">
        <f t="shared" si="21"/>
        <v/>
      </c>
    </row>
    <row r="49" spans="1:35" s="9" customFormat="1" ht="78.75">
      <c r="A49" s="33">
        <f t="shared" si="0"/>
        <v>43</v>
      </c>
      <c r="B49" s="33" t="str">
        <f t="shared" ref="B49" si="40">MID(D49, FIND("-", D49) + 1, 4)</f>
        <v>5.10</v>
      </c>
      <c r="C49" s="164" t="s">
        <v>1119</v>
      </c>
      <c r="D49" s="25" t="s">
        <v>1142</v>
      </c>
      <c r="E49" s="174">
        <f t="shared" si="2"/>
        <v>46344</v>
      </c>
      <c r="F49" s="31" t="s">
        <v>1143</v>
      </c>
      <c r="G49" s="21" t="s">
        <v>532</v>
      </c>
      <c r="H49" s="138"/>
      <c r="I49" s="164">
        <f t="shared" ca="1" si="10"/>
        <v>1</v>
      </c>
      <c r="J49" s="47">
        <f t="shared" ca="1" si="4"/>
        <v>0</v>
      </c>
      <c r="K49" s="164"/>
      <c r="L49" s="54" t="s">
        <v>8</v>
      </c>
      <c r="M49" s="65"/>
      <c r="N49" s="40"/>
      <c r="O49" s="41"/>
      <c r="P49" s="40"/>
      <c r="Q49" s="155"/>
      <c r="R49" s="27">
        <v>46323</v>
      </c>
      <c r="S49" s="27">
        <v>46323</v>
      </c>
      <c r="T49" s="188">
        <v>46323</v>
      </c>
      <c r="U49" s="29"/>
      <c r="V49" s="188"/>
      <c r="W49" s="235"/>
      <c r="X49" s="230"/>
      <c r="Y49" s="227"/>
      <c r="Z49" s="29" t="str">
        <f t="shared" si="5"/>
        <v/>
      </c>
      <c r="AA49" s="229"/>
      <c r="AB49" s="229" t="str">
        <f t="shared" si="6"/>
        <v/>
      </c>
      <c r="AC49" s="183" t="str">
        <f t="shared" ref="AC49" si="41">IF(AB49="Late Resubmission",IF(AA49="","",AA49-Z49),IF(AB49="Not submit yet",IF(Z49="","",$I$1-Z49),""))</f>
        <v/>
      </c>
      <c r="AD49" s="92"/>
      <c r="AG49" s="238" t="str">
        <f t="shared" si="8"/>
        <v>LTIA-5.10-VIETUR-80000-RFA-SDS-0160</v>
      </c>
      <c r="AH49" s="243" t="b" cm="1">
        <f t="array" ref="AH49">$D49=_xlfn.XLOOKUP(
AG49,
_xlfn._xlws.FILTER($AG$7:$AG$4878,$K$7:$K$4878&lt;&gt;"X"),
_xlfn._xlws.FILTER($D$7:$D$4878,$K$7:$K$4878&lt;&gt;"X"),
"",
0,
-1
)</f>
        <v>1</v>
      </c>
      <c r="AI49" s="75" t="str">
        <f t="shared" si="21"/>
        <v/>
      </c>
    </row>
    <row r="50" spans="1:35" s="9" customFormat="1">
      <c r="A50" s="23"/>
      <c r="B50" s="33"/>
      <c r="C50" s="137"/>
      <c r="D50" s="25"/>
      <c r="E50" s="174"/>
      <c r="F50" s="31"/>
      <c r="G50" s="21"/>
      <c r="H50" s="138"/>
      <c r="I50" s="177"/>
      <c r="J50" s="47"/>
      <c r="K50" s="164"/>
      <c r="L50" s="52"/>
      <c r="M50" s="66"/>
      <c r="N50" s="40"/>
      <c r="O50" s="37"/>
      <c r="P50" s="17"/>
      <c r="Q50" s="183"/>
      <c r="R50" s="27"/>
      <c r="S50" s="27"/>
      <c r="T50" s="187"/>
      <c r="U50" s="29"/>
      <c r="V50" s="188"/>
      <c r="W50" s="227"/>
      <c r="X50" s="230"/>
      <c r="Y50" s="227"/>
      <c r="Z50" s="29" t="str">
        <f t="shared" si="5"/>
        <v/>
      </c>
      <c r="AA50" s="229"/>
      <c r="AB50" s="229"/>
      <c r="AC50" s="19"/>
      <c r="AD50" s="92"/>
      <c r="AG50" s="238"/>
      <c r="AH50" s="243"/>
      <c r="AI50" s="75"/>
    </row>
    <row r="51" spans="1:35" s="9" customFormat="1" ht="16.5" thickBot="1">
      <c r="A51" s="24"/>
      <c r="B51" s="329"/>
      <c r="C51" s="165"/>
      <c r="D51" s="45"/>
      <c r="E51" s="175"/>
      <c r="F51" s="32"/>
      <c r="G51" s="22"/>
      <c r="H51" s="139"/>
      <c r="I51" s="178"/>
      <c r="J51" s="132"/>
      <c r="K51" s="199"/>
      <c r="L51" s="53"/>
      <c r="M51" s="67"/>
      <c r="N51" s="18"/>
      <c r="O51" s="38"/>
      <c r="P51" s="18"/>
      <c r="Q51" s="184"/>
      <c r="R51" s="44"/>
      <c r="S51" s="44"/>
      <c r="T51" s="189"/>
      <c r="U51" s="43"/>
      <c r="V51" s="194"/>
      <c r="W51" s="228"/>
      <c r="X51" s="232"/>
      <c r="Y51" s="228"/>
      <c r="Z51" s="43" t="str">
        <f t="shared" si="5"/>
        <v/>
      </c>
      <c r="AA51" s="233"/>
      <c r="AB51" s="233"/>
      <c r="AC51" s="20"/>
      <c r="AD51" s="93"/>
      <c r="AG51" s="239"/>
      <c r="AH51" s="244"/>
      <c r="AI51" s="241"/>
    </row>
    <row r="52" spans="1:35" ht="16.5" thickBot="1"/>
    <row r="53" spans="1:35" ht="16.5" thickBot="1">
      <c r="C53" s="166" t="s">
        <v>20</v>
      </c>
      <c r="D53" s="376" t="s">
        <v>21</v>
      </c>
      <c r="E53" s="377"/>
      <c r="F53" s="46"/>
      <c r="G53" s="46"/>
      <c r="H53" s="356" t="s">
        <v>14</v>
      </c>
      <c r="I53" s="357"/>
      <c r="J53" s="357"/>
      <c r="K53" s="357"/>
      <c r="L53" s="357"/>
      <c r="M53" s="358"/>
      <c r="N53" s="362" t="s">
        <v>7</v>
      </c>
      <c r="O53" s="363"/>
      <c r="P53" s="362" t="s">
        <v>109</v>
      </c>
      <c r="Q53" s="363"/>
      <c r="R53" s="1"/>
      <c r="S53" s="1"/>
      <c r="T53" s="140"/>
      <c r="U53" s="1"/>
      <c r="W53" s="11"/>
      <c r="X53" s="11"/>
      <c r="Y53" s="11"/>
      <c r="Z53" s="11"/>
      <c r="AA53" s="11"/>
      <c r="AB53" s="11"/>
      <c r="AC53" s="11"/>
      <c r="AG53" s="11"/>
      <c r="AH53" s="11"/>
      <c r="AI53" s="11"/>
    </row>
    <row r="54" spans="1:35" ht="16.5" thickBot="1">
      <c r="C54" s="195" t="s">
        <v>109</v>
      </c>
      <c r="D54" s="420" t="s">
        <v>111</v>
      </c>
      <c r="E54" s="421"/>
      <c r="F54" s="46"/>
      <c r="H54" s="356" t="s">
        <v>18</v>
      </c>
      <c r="I54" s="357"/>
      <c r="J54" s="357"/>
      <c r="K54" s="358"/>
      <c r="L54" s="105">
        <f ca="1">M54/$M$54</f>
        <v>1</v>
      </c>
      <c r="M54" s="106">
        <f ca="1">SUM($M$55:$M$59)</f>
        <v>44</v>
      </c>
      <c r="N54" s="102" t="s">
        <v>15</v>
      </c>
      <c r="O54" s="103" t="s">
        <v>16</v>
      </c>
      <c r="P54" s="105">
        <f ca="1">Q54/$Q$54</f>
        <v>1</v>
      </c>
      <c r="Q54" s="220">
        <f ca="1">SUM(Q55:Q58)</f>
        <v>41</v>
      </c>
      <c r="R54" s="1"/>
      <c r="S54" s="1"/>
      <c r="T54" s="140"/>
      <c r="U54" s="1"/>
      <c r="W54" s="11"/>
      <c r="X54" s="11"/>
      <c r="Y54" s="11"/>
      <c r="Z54" s="11"/>
      <c r="AA54" s="11"/>
      <c r="AB54" s="11"/>
      <c r="AC54" s="11"/>
      <c r="AG54" s="11"/>
      <c r="AH54" s="11"/>
      <c r="AI54" s="11"/>
    </row>
    <row r="55" spans="1:35">
      <c r="C55" s="195" t="s">
        <v>36</v>
      </c>
      <c r="D55" s="418" t="s">
        <v>37</v>
      </c>
      <c r="E55" s="419"/>
      <c r="F55" s="69"/>
      <c r="G55" s="6"/>
      <c r="H55" s="379" t="s">
        <v>66</v>
      </c>
      <c r="I55" s="380"/>
      <c r="J55" s="380"/>
      <c r="K55" s="381"/>
      <c r="L55" s="107">
        <f ca="1">M55/$M$54</f>
        <v>6.8181818181818177E-2</v>
      </c>
      <c r="M55" s="108">
        <f>COUNTIF($H$7:$H$51,"A")</f>
        <v>3</v>
      </c>
      <c r="N55" s="100">
        <f ca="1">COUNTIFS($I$7:$I$51,"&lt;=21",$H$7:$H$51,"A")</f>
        <v>3</v>
      </c>
      <c r="O55" s="101">
        <f ca="1">COUNTIFS($I$7:$I$51,"&gt;21",$H$7:$H$51,"A")</f>
        <v>0</v>
      </c>
      <c r="P55" s="107">
        <f ca="1">Q55/$Q$54</f>
        <v>2.4390243902439025E-2</v>
      </c>
      <c r="Q55" s="108">
        <f>COUNTIF($Q$7:$Q$51,"A")</f>
        <v>1</v>
      </c>
      <c r="R55" s="1"/>
      <c r="S55" s="1"/>
      <c r="T55" s="140"/>
      <c r="U55" s="1"/>
      <c r="W55" s="11"/>
      <c r="X55" s="11"/>
      <c r="Y55" s="11"/>
      <c r="Z55" s="11"/>
      <c r="AA55" s="11"/>
      <c r="AB55" s="11"/>
      <c r="AC55" s="11"/>
      <c r="AG55" s="11"/>
      <c r="AH55" s="11"/>
      <c r="AI55" s="11"/>
    </row>
    <row r="56" spans="1:35">
      <c r="C56" s="394" t="s">
        <v>75</v>
      </c>
      <c r="D56" s="350" t="s">
        <v>76</v>
      </c>
      <c r="E56" s="351"/>
      <c r="F56" s="70"/>
      <c r="G56" s="6"/>
      <c r="H56" s="382" t="s">
        <v>67</v>
      </c>
      <c r="I56" s="383"/>
      <c r="J56" s="383"/>
      <c r="K56" s="384"/>
      <c r="L56" s="109">
        <f t="shared" ref="L56:L59" ca="1" si="42">M56/$M$54</f>
        <v>0.45454545454545453</v>
      </c>
      <c r="M56" s="110">
        <f>COUNTIF($H$7:$H$51,"B")</f>
        <v>20</v>
      </c>
      <c r="N56" s="98">
        <f ca="1">COUNTIFS($I$7:$I$51,"&lt;=21",$H$7:$H$51,"B")</f>
        <v>8</v>
      </c>
      <c r="O56" s="50">
        <f ca="1">COUNTIFS($I$7:$I$51,"&gt;21",$H$7:$H$51,"B")</f>
        <v>12</v>
      </c>
      <c r="P56" s="109">
        <f t="shared" ref="P56:P58" ca="1" si="43">Q56/$Q$54</f>
        <v>0.48780487804878048</v>
      </c>
      <c r="Q56" s="110">
        <f>COUNTIF($Q$7:$Q$51,"B")</f>
        <v>20</v>
      </c>
      <c r="R56" s="1"/>
      <c r="S56" s="1"/>
      <c r="T56" s="140"/>
      <c r="U56" s="1"/>
      <c r="W56" s="11"/>
      <c r="X56" s="11"/>
      <c r="Y56" s="11"/>
      <c r="Z56" s="11"/>
      <c r="AA56" s="11"/>
      <c r="AB56" s="11"/>
      <c r="AC56" s="11"/>
      <c r="AG56" s="11"/>
      <c r="AH56" s="11"/>
      <c r="AI56" s="11"/>
    </row>
    <row r="57" spans="1:35" ht="16.5" thickBot="1">
      <c r="C57" s="395"/>
      <c r="D57" s="352"/>
      <c r="E57" s="353"/>
      <c r="F57" s="71"/>
      <c r="G57" s="6"/>
      <c r="H57" s="385" t="s">
        <v>68</v>
      </c>
      <c r="I57" s="386"/>
      <c r="J57" s="386"/>
      <c r="K57" s="387"/>
      <c r="L57" s="111">
        <f t="shared" ca="1" si="42"/>
        <v>0.20454545454545456</v>
      </c>
      <c r="M57" s="112">
        <f>COUNTIF($H$7:$H$51,"C")</f>
        <v>9</v>
      </c>
      <c r="N57" s="98">
        <f ca="1">COUNTIFS($I$7:$I$51,"&lt;=21",$H$7:$H$51,"C")</f>
        <v>5</v>
      </c>
      <c r="O57" s="50">
        <f ca="1">COUNTIFS($I$7:$I$51,"&gt;21",$H$7:$H$51,"C")</f>
        <v>4</v>
      </c>
      <c r="P57" s="111">
        <f t="shared" ca="1" si="43"/>
        <v>0.12195121951219512</v>
      </c>
      <c r="Q57" s="112">
        <f>COUNTIF($Q$7:$Q$51,"C")</f>
        <v>5</v>
      </c>
      <c r="R57" s="1"/>
      <c r="S57" s="1"/>
      <c r="T57" s="140"/>
      <c r="U57" s="1"/>
      <c r="W57" s="11"/>
      <c r="X57" s="11"/>
      <c r="Y57" s="11"/>
      <c r="Z57" s="11"/>
      <c r="AA57" s="11"/>
      <c r="AB57" s="11"/>
      <c r="AC57" s="11"/>
      <c r="AG57" s="11"/>
      <c r="AH57" s="11"/>
      <c r="AI57" s="11"/>
    </row>
    <row r="58" spans="1:35">
      <c r="F58" s="72"/>
      <c r="G58" s="6"/>
      <c r="H58" s="388" t="s">
        <v>70</v>
      </c>
      <c r="I58" s="389"/>
      <c r="J58" s="389"/>
      <c r="K58" s="390"/>
      <c r="L58" s="114">
        <f t="shared" ca="1" si="42"/>
        <v>0.22727272727272727</v>
      </c>
      <c r="M58" s="115">
        <f ca="1">SUM(N58:O58)</f>
        <v>10</v>
      </c>
      <c r="N58" s="98">
        <f ca="1">COUNTIFS($I$7:$I$51,"&lt;=21",$U$7:$U$51,"",$K$7:$K$51,"&lt;&gt;X")</f>
        <v>10</v>
      </c>
      <c r="O58" s="50">
        <f ca="1">COUNTIFS($I$7:$I$51,"&gt;21",$U$7:$U$51,"",$K$7:$K$51,"&lt;&gt;X")</f>
        <v>0</v>
      </c>
      <c r="P58" s="114">
        <f t="shared" ca="1" si="43"/>
        <v>0.36585365853658536</v>
      </c>
      <c r="Q58" s="115">
        <f ca="1">COUNTIFS($I$7:$I$51,"&gt;=0",$P$7:$P$51,"",$K$7:$K$51,"&lt;&gt;X")</f>
        <v>15</v>
      </c>
      <c r="R58" s="1" t="s">
        <v>10</v>
      </c>
      <c r="S58" s="1"/>
      <c r="T58" s="140"/>
      <c r="U58" s="1"/>
      <c r="W58" s="11"/>
      <c r="X58" s="11"/>
      <c r="Y58" s="11"/>
      <c r="Z58" s="11"/>
      <c r="AA58" s="11"/>
      <c r="AB58" s="11"/>
      <c r="AC58" s="11"/>
      <c r="AG58" s="11"/>
      <c r="AH58" s="11"/>
      <c r="AI58" s="11"/>
    </row>
    <row r="59" spans="1:35" ht="16.5" thickBot="1">
      <c r="C59" s="378" t="s">
        <v>41</v>
      </c>
      <c r="D59" s="378"/>
      <c r="E59" s="378"/>
      <c r="H59" s="391" t="s">
        <v>71</v>
      </c>
      <c r="I59" s="392"/>
      <c r="J59" s="392"/>
      <c r="K59" s="393"/>
      <c r="L59" s="113">
        <f t="shared" ca="1" si="42"/>
        <v>4.5454545454545456E-2</v>
      </c>
      <c r="M59" s="97">
        <f>COUNTIFS($K$7:$K$51,"X")</f>
        <v>2</v>
      </c>
      <c r="N59" s="99"/>
      <c r="O59" s="51"/>
      <c r="P59" s="221"/>
      <c r="Q59" s="222"/>
    </row>
    <row r="60" spans="1:35">
      <c r="C60" s="169" t="s">
        <v>8</v>
      </c>
      <c r="D60" s="1" t="s">
        <v>42</v>
      </c>
    </row>
    <row r="61" spans="1:35">
      <c r="C61" s="169" t="s">
        <v>8</v>
      </c>
      <c r="D61" s="127" t="s">
        <v>43</v>
      </c>
    </row>
    <row r="62" spans="1:35">
      <c r="C62" s="169" t="s">
        <v>8</v>
      </c>
      <c r="D62" s="1" t="s">
        <v>44</v>
      </c>
    </row>
  </sheetData>
  <autoFilter ref="A6:AD51" xr:uid="{4D8E8261-1CEF-42DB-8488-C430D415EC88}">
    <sortState xmlns:xlrd2="http://schemas.microsoft.com/office/spreadsheetml/2017/richdata2" ref="A7:AD33">
      <sortCondition ref="S6:S33"/>
    </sortState>
  </autoFilter>
  <mergeCells count="37">
    <mergeCell ref="AG5:AG6"/>
    <mergeCell ref="AH5:AH6"/>
    <mergeCell ref="AI5:AI6"/>
    <mergeCell ref="H59:K59"/>
    <mergeCell ref="H54:K54"/>
    <mergeCell ref="N53:O53"/>
    <mergeCell ref="AD4:AD5"/>
    <mergeCell ref="H4:H5"/>
    <mergeCell ref="I4:I5"/>
    <mergeCell ref="L4:M4"/>
    <mergeCell ref="N4:O4"/>
    <mergeCell ref="R4:T4"/>
    <mergeCell ref="U4:W4"/>
    <mergeCell ref="K4:K5"/>
    <mergeCell ref="P4:Q4"/>
    <mergeCell ref="J4:J5"/>
    <mergeCell ref="D55:E55"/>
    <mergeCell ref="C59:E59"/>
    <mergeCell ref="H55:K55"/>
    <mergeCell ref="H56:K56"/>
    <mergeCell ref="H53:M53"/>
    <mergeCell ref="H57:K57"/>
    <mergeCell ref="H58:K58"/>
    <mergeCell ref="C56:C57"/>
    <mergeCell ref="D56:E57"/>
    <mergeCell ref="D54:E54"/>
    <mergeCell ref="P53:Q53"/>
    <mergeCell ref="X4:Y4"/>
    <mergeCell ref="Z4:AC4"/>
    <mergeCell ref="A4:A5"/>
    <mergeCell ref="D4:D5"/>
    <mergeCell ref="E4:E5"/>
    <mergeCell ref="F4:F5"/>
    <mergeCell ref="G4:G5"/>
    <mergeCell ref="C4:C5"/>
    <mergeCell ref="D53:E53"/>
    <mergeCell ref="B4:B5"/>
  </mergeCells>
  <phoneticPr fontId="5" type="noConversion"/>
  <conditionalFormatting sqref="A7:AD51 AG7:AI5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60" r:id="rId103" xr:uid="{BDBBB1AA-41DD-4769-B198-E0D4B6B569E2}"/>
    <hyperlink ref="C61" r:id="rId104" xr:uid="{174B2EE8-A853-4328-A727-C5D3FC38F2B6}"/>
    <hyperlink ref="C6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 ref="L49" r:id="rId155" xr:uid="{474072A9-893A-4058-A6C3-91D58FAD12C2}"/>
  </hyperlinks>
  <pageMargins left="0.25" right="0.17" top="0.5" bottom="0.25" header="0.3" footer="0.3"/>
  <pageSetup paperSize="9" scale="29" orientation="landscape" horizontalDpi="300" verticalDpi="300" r:id="rId15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sheetPr filterMode="1"/>
  <dimension ref="A1:Z145"/>
  <sheetViews>
    <sheetView tabSelected="1" zoomScale="85" zoomScaleNormal="85" zoomScaleSheetLayoutView="85" workbookViewId="0">
      <pane xSplit="5" ySplit="6" topLeftCell="F121" activePane="bottomRight" state="frozen"/>
      <selection pane="topRight" activeCell="D1" sqref="D1"/>
      <selection pane="bottomLeft" activeCell="A7" sqref="A7"/>
      <selection pane="bottomRight" activeCell="G131" sqref="G131"/>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46324</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hidden="1">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hidden="1">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hidden="1">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hidden="1">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hidden="1">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hidden="1">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hidden="1">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hidden="1">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hidden="1">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hidden="1">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hidden="1">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hidden="1">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hidden="1">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hidden="1">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hidden="1">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hidden="1">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hidden="1">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hidden="1">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hidden="1">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hidden="1">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hidden="1">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hidden="1">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hidden="1">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hidden="1">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hidden="1">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hidden="1">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hidden="1">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hidden="1">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hidden="1">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hidden="1">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hidden="1">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hidden="1">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hidden="1">
      <c r="A39" s="33">
        <f t="shared" si="0"/>
        <v>33</v>
      </c>
      <c r="B39" s="33" t="str">
        <f t="shared" si="3"/>
        <v>5.10</v>
      </c>
      <c r="C39" s="164" t="s">
        <v>853</v>
      </c>
      <c r="D39" s="25" t="s">
        <v>349</v>
      </c>
      <c r="E39" s="174">
        <f t="shared" si="8"/>
        <v>45832</v>
      </c>
      <c r="F39" s="31" t="s">
        <v>350</v>
      </c>
      <c r="G39" s="21" t="s">
        <v>351</v>
      </c>
      <c r="H39" s="138"/>
      <c r="I39" s="164">
        <f t="shared" ca="1" si="9"/>
        <v>513</v>
      </c>
      <c r="J39" s="47">
        <f t="shared" ca="1" si="10"/>
        <v>492</v>
      </c>
      <c r="K39" s="164"/>
      <c r="L39" s="40"/>
      <c r="M39" s="41"/>
      <c r="N39" s="40"/>
      <c r="O39" s="41"/>
      <c r="P39" s="40"/>
      <c r="Q39" s="154"/>
      <c r="R39" s="27">
        <v>45810</v>
      </c>
      <c r="S39" s="27">
        <v>45810</v>
      </c>
      <c r="T39" s="188">
        <v>45811</v>
      </c>
      <c r="U39" s="29"/>
      <c r="V39" s="188"/>
      <c r="W39" s="235"/>
      <c r="X39" s="230"/>
      <c r="Y39" s="19"/>
      <c r="Z39" s="92"/>
    </row>
    <row r="40" spans="1:26" s="9" customFormat="1" ht="47.25" hidden="1">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hidden="1">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hidden="1">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hidden="1">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hidden="1">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hidden="1">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hidden="1">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hidden="1">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hidden="1">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hidden="1">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hidden="1">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hidden="1">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hidden="1">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hidden="1">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hidden="1">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hidden="1">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hidden="1">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hidden="1">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hidden="1">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hidden="1">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hidden="1">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hidden="1">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hidden="1">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hidden="1">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hidden="1">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hidden="1">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hidden="1">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hidden="1">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hidden="1">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hidden="1">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hidden="1">
      <c r="A70" s="33">
        <f t="shared" si="0"/>
        <v>64</v>
      </c>
      <c r="B70" s="33" t="str">
        <f t="shared" si="3"/>
        <v>5.10</v>
      </c>
      <c r="C70" s="137" t="s">
        <v>131</v>
      </c>
      <c r="D70" s="25" t="s">
        <v>504</v>
      </c>
      <c r="E70" s="174"/>
      <c r="F70" s="31" t="s">
        <v>502</v>
      </c>
      <c r="G70" s="21" t="s">
        <v>503</v>
      </c>
      <c r="H70" s="138" t="s">
        <v>6</v>
      </c>
      <c r="I70" s="164">
        <f t="shared" ref="I70:I78" ca="1" si="14">IF(ISBLANK($V70),_xlfn.DAYS($I$1,$T70),_xlfn.DAYS($V70,$T70))</f>
        <v>289</v>
      </c>
      <c r="J70" s="47">
        <f t="shared" ref="J70:J78" ca="1" si="15">IF(($I70-21)&gt;0,$I70-21,0)</f>
        <v>268</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hidden="1">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hidden="1">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hidden="1">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128</v>
      </c>
      <c r="J97" s="47">
        <f t="shared" ca="1" si="25"/>
        <v>107</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139</v>
      </c>
      <c r="J112" s="47">
        <f t="shared" ca="1" si="25"/>
        <v>118</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79</v>
      </c>
      <c r="J113" s="47">
        <f t="shared" ca="1" si="25"/>
        <v>58</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79</v>
      </c>
      <c r="J115" s="47">
        <f t="shared" ca="1" si="25"/>
        <v>58</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hidden="1">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hidden="1">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hidden="1">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hidden="1">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hidden="1">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hidden="1">
      <c r="A129" s="33">
        <f t="shared" si="29"/>
        <v>123</v>
      </c>
      <c r="B129" s="33" t="str">
        <f t="shared" ref="B129" si="60">MID(D129, FIND("-", D129) + 1, 4)</f>
        <v>5.10</v>
      </c>
      <c r="C129" s="164" t="s">
        <v>195</v>
      </c>
      <c r="D129" s="25" t="s">
        <v>1081</v>
      </c>
      <c r="E129" s="174">
        <f t="shared" si="23"/>
        <v>46332</v>
      </c>
      <c r="F129" s="31" t="s">
        <v>1082</v>
      </c>
      <c r="G129" s="21" t="s">
        <v>1083</v>
      </c>
      <c r="H129" s="138" t="s">
        <v>6</v>
      </c>
      <c r="I129" s="164">
        <f t="shared" ca="1" si="24"/>
        <v>13</v>
      </c>
      <c r="J129" s="47">
        <f t="shared" ca="1" si="25"/>
        <v>0</v>
      </c>
      <c r="K129" s="164"/>
      <c r="L129" s="40" t="s">
        <v>8</v>
      </c>
      <c r="M129" s="41"/>
      <c r="N129" s="40"/>
      <c r="O129" s="41"/>
      <c r="P129" s="40"/>
      <c r="Q129" s="154"/>
      <c r="R129" s="27">
        <v>46311</v>
      </c>
      <c r="S129" s="27">
        <v>46311</v>
      </c>
      <c r="T129" s="188">
        <v>46311</v>
      </c>
      <c r="U129" s="29"/>
      <c r="V129" s="211"/>
      <c r="W129" s="235" t="s">
        <v>255</v>
      </c>
      <c r="X129" s="230"/>
      <c r="Y129" s="19"/>
      <c r="Z129" s="92" t="s">
        <v>1136</v>
      </c>
    </row>
    <row r="130" spans="1:26" s="9" customFormat="1" ht="63" hidden="1">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6</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28" t="s">
        <v>39</v>
      </c>
      <c r="E135" s="429"/>
      <c r="F135" s="46"/>
      <c r="G135" s="68"/>
      <c r="H135" s="356" t="s">
        <v>14</v>
      </c>
      <c r="I135" s="357"/>
      <c r="J135" s="357"/>
      <c r="K135" s="357"/>
      <c r="L135" s="357"/>
      <c r="M135" s="358"/>
      <c r="N135" s="362" t="s">
        <v>7</v>
      </c>
      <c r="O135" s="363"/>
      <c r="P135" s="362" t="s">
        <v>110</v>
      </c>
      <c r="Q135" s="363"/>
      <c r="R135" s="1"/>
      <c r="S135" s="1"/>
      <c r="T135" s="140"/>
      <c r="U135" s="1"/>
      <c r="W135" s="11"/>
      <c r="X135" s="11"/>
      <c r="Y135" s="11"/>
    </row>
    <row r="136" spans="1:26" ht="16.5" customHeight="1" thickBot="1">
      <c r="C136" s="208" t="s">
        <v>74</v>
      </c>
      <c r="D136" s="435" t="s">
        <v>77</v>
      </c>
      <c r="E136" s="436"/>
      <c r="F136" s="46"/>
      <c r="G136" s="46"/>
      <c r="H136" s="430" t="s">
        <v>17</v>
      </c>
      <c r="I136" s="431"/>
      <c r="J136" s="130"/>
      <c r="K136" s="210"/>
      <c r="L136" s="117">
        <f ca="1">M136/$M$136</f>
        <v>1</v>
      </c>
      <c r="M136" s="104">
        <f ca="1">SUM($M$137:$M$139)</f>
        <v>130</v>
      </c>
      <c r="N136" s="118" t="s">
        <v>15</v>
      </c>
      <c r="O136" s="119" t="s">
        <v>16</v>
      </c>
      <c r="P136" s="117">
        <f ca="1">Q136/$Q$136</f>
        <v>1</v>
      </c>
      <c r="Q136" s="104">
        <f ca="1">SUM(Q137:Q138)</f>
        <v>111</v>
      </c>
      <c r="R136" s="1"/>
      <c r="S136" s="1"/>
      <c r="T136" s="140"/>
      <c r="U136" s="1"/>
      <c r="W136" s="11"/>
      <c r="X136" s="11"/>
      <c r="Y136" s="11"/>
    </row>
    <row r="137" spans="1:26">
      <c r="C137" s="394" t="s">
        <v>6</v>
      </c>
      <c r="D137" s="435" t="s">
        <v>40</v>
      </c>
      <c r="E137" s="436"/>
      <c r="F137" s="69"/>
      <c r="G137" s="6"/>
      <c r="H137" s="432" t="s">
        <v>69</v>
      </c>
      <c r="I137" s="433"/>
      <c r="J137" s="433"/>
      <c r="K137" s="434"/>
      <c r="L137" s="122">
        <f t="shared" ref="L137:L139" ca="1" si="63">M137/$M$136</f>
        <v>0.83846153846153848</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94"/>
      <c r="D138" s="435"/>
      <c r="E138" s="436"/>
      <c r="F138" s="72"/>
      <c r="G138" s="6"/>
      <c r="H138" s="388" t="s">
        <v>70</v>
      </c>
      <c r="I138" s="389"/>
      <c r="J138" s="389"/>
      <c r="K138" s="390"/>
      <c r="L138" s="124">
        <f t="shared" ca="1" si="63"/>
        <v>5.3846153846153849E-2</v>
      </c>
      <c r="M138" s="125">
        <f ca="1">SUM(N138:O138)</f>
        <v>7</v>
      </c>
      <c r="N138" s="98">
        <f ca="1">COUNTIFS($I$7:$I$133,"&lt;=21",$U$7:$U$133,"",$K$7:$K$133,"&lt;&gt;X")</f>
        <v>2</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94" t="s">
        <v>75</v>
      </c>
      <c r="D139" s="350" t="s">
        <v>76</v>
      </c>
      <c r="E139" s="351"/>
      <c r="H139" s="391" t="s">
        <v>71</v>
      </c>
      <c r="I139" s="392"/>
      <c r="J139" s="392"/>
      <c r="K139" s="393"/>
      <c r="L139" s="126">
        <f t="shared" ca="1" si="63"/>
        <v>0.1076923076923077</v>
      </c>
      <c r="M139" s="116">
        <f>COUNTIFS($K$7:$K$133,"X")</f>
        <v>14</v>
      </c>
      <c r="N139" s="99"/>
      <c r="O139" s="51"/>
      <c r="P139" s="223"/>
      <c r="Q139" s="224"/>
    </row>
    <row r="140" spans="1:26" ht="16.5" thickBot="1">
      <c r="C140" s="395"/>
      <c r="D140" s="352"/>
      <c r="E140" s="353"/>
    </row>
    <row r="142" spans="1:26">
      <c r="C142" s="378" t="s">
        <v>41</v>
      </c>
      <c r="D142" s="378"/>
      <c r="E142" s="378"/>
    </row>
    <row r="143" spans="1:26">
      <c r="C143" s="169" t="s">
        <v>8</v>
      </c>
      <c r="D143" s="1" t="s">
        <v>42</v>
      </c>
    </row>
    <row r="144" spans="1:26">
      <c r="C144" s="169" t="s">
        <v>8</v>
      </c>
      <c r="D144" s="127" t="s">
        <v>43</v>
      </c>
    </row>
    <row r="145" spans="3:4">
      <c r="C145" s="169" t="s">
        <v>8</v>
      </c>
      <c r="D145" s="1" t="s">
        <v>44</v>
      </c>
    </row>
  </sheetData>
  <autoFilter ref="A6:Z131" xr:uid="{C184EF3E-84BF-4DCF-951B-B90EB4B9D23F}">
    <filterColumn colId="1">
      <filters>
        <filter val="5.11"/>
      </filters>
    </filterColumn>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6:I136"/>
    <mergeCell ref="C142:E142"/>
    <mergeCell ref="H137:K137"/>
    <mergeCell ref="H138:K138"/>
    <mergeCell ref="H139:K139"/>
    <mergeCell ref="D136:E136"/>
    <mergeCell ref="C137:C138"/>
    <mergeCell ref="D137:E138"/>
    <mergeCell ref="C139:C140"/>
    <mergeCell ref="D139:E140"/>
    <mergeCell ref="B4:B5"/>
    <mergeCell ref="P135:Q135"/>
    <mergeCell ref="J4:J5"/>
    <mergeCell ref="D135:E135"/>
    <mergeCell ref="H135:M135"/>
    <mergeCell ref="N135:O135"/>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s>
  <pageMargins left="0.25" right="0.17" top="0.5" bottom="0.25" header="0.3" footer="0.3"/>
  <pageSetup paperSize="9" scale="28" orientation="landscape" horizontalDpi="300" verticalDpi="300" r:id="rId48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8"/>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8">IF(_xlfn.ANCHORARRAY(D7)="","",_xlfn.SEQUENCE(ROWS(_xlfn.ANCHORARRAY(D7))))</f>
        <v>1</v>
      </c>
      <c r="B7" s="302" t="str" cm="1">
        <f t="array" ref="B7:B28">_xlfn.LET(
_xlpm.x,_xlfn.XLOOKUP(_xlfn.ANCHORARRAY(D7),RFA!$E:$E,RFA!$C:$C,""),
IF(_xlpm.x=0,"",_xlpm.x)
)</f>
        <v>FAS</v>
      </c>
      <c r="C7" s="13" t="str" cm="1">
        <f t="array" ref="C7:C28">_xlfn.LET(
_xlpm.x,_xlfn.XLOOKUP(_xlfn.ANCHORARRAY(D7),RFA!$E:$E,RFA!$D:$D,""),
IF(_xlpm.x=0,"",_xlpm.x)
)</f>
        <v>MAS</v>
      </c>
      <c r="D7" s="282" t="str" cm="1">
        <f t="array" ref="D7:D28">_xlfn._xlws.FILTER(RFA!$E$5:$E$4581, RFA!$AI$5:$AI$4581="YES","")</f>
        <v>LTIA-5.10-VIETUR-70000-RFA-MAS-0088A</v>
      </c>
      <c r="E7" s="303" t="str" cm="1">
        <f t="array" ref="E7:E28">_xlfn.LET(
_xlpm.x,_xlfn.XLOOKUP(_xlfn.ANCHORARRAY(D7),RFA!$E:$E,RFA!$G:$G,""),
IF(_xlpm.x=0,"",_xlpm.x)
)</f>
        <v>Request for approval material cable fire resistant shield for fire alarm system (Belden)</v>
      </c>
      <c r="F7" s="303" t="str" cm="1">
        <f t="array" ref="F7:F28">_xlfn.LET(
_xlpm.x,_xlfn.XLOOKUP(_xlfn.ANCHORARRAY(D7),RFA!$E:$E,RFA!$H:$H,""),
IF(_xlpm.x=0,"",_xlpm.x)
)</f>
        <v>Đề nghị phê duyệt vật liệu cáp chống cháy cho hệ thống báo cháy (Belden)</v>
      </c>
      <c r="G7" s="270" cm="1">
        <f t="array" ref="G7:G28">_xlfn.LET(
_xlpm.x,_xlfn.XLOOKUP(_xlfn.ANCHORARRAY(D7),RFA!$E:$E,RFA!$S:$S,""),
IF(_xlpm.x=0,"",_xlpm.x)
)</f>
        <v>45426</v>
      </c>
      <c r="H7" s="270" cm="1">
        <f t="array" ref="H7:H28">_xlfn.LET(
_xlpm.x,_xlfn.XLOOKUP(_xlfn.ANCHORARRAY(D7),RFA!$E:$E,RFA!$T:$T,""),
IF(_xlpm.x=0,"",_xlpm.x)
)</f>
        <v>45426</v>
      </c>
      <c r="I7" s="264" cm="1">
        <f t="array" ref="I7:I28">_xlfn.LET(
_xlpm.x,_xlfn.XLOOKUP(_xlfn.ANCHORARRAY(D7),RFA!$E:$E,RFA!$U:$U,""),
IF(_xlpm.x=0,"",_xlpm.x)
)</f>
        <v>45426</v>
      </c>
      <c r="J7" s="264" t="str" cm="1">
        <f t="array" ref="J7:J28">_xlfn.LET(
_xlpm.x,_xlfn.XLOOKUP(_xlfn.ANCHORARRAY(D7),RFA!$E:$E,RFA!$I:$I,""),
IF(_xlpm.x=0,"",_xlpm.x)
)</f>
        <v>C</v>
      </c>
      <c r="K7" s="270" cm="1">
        <f t="array" ref="K7:K28">_xlfn.LET(
_xlpm.x,_xlfn.XLOOKUP(_xlfn.ANCHORARRAY(D7),RFA!$E:$E,RFA!$V:$V,""),
IF(_xlpm.x=0,"",_xlpm.x)
)</f>
        <v>45454</v>
      </c>
      <c r="L7" s="264" cm="1">
        <f t="array" ref="L7:L28">_xlfn.LET(
_xlpm.x,_xlfn.XLOOKUP(_xlfn.ANCHORARRAY(D7),RFA!$E:$E,RFA!$W:$W,""),
IF(_xlpm.x=0,"",_xlpm.x)
)</f>
        <v>45455</v>
      </c>
      <c r="M7" s="264" t="str" cm="1">
        <f t="array" ref="M7:M28">_xlfn.LET(
_xlpm.x,_xlfn.XLOOKUP(_xlfn.ANCHORARRAY(D7),RFA!$E:$E,RFA!$R:$R,""),
IF(_xlpm.x=0,"",_xlpm.x)
)</f>
        <v>C</v>
      </c>
      <c r="N7" s="270" cm="1">
        <f t="array" ref="N7:N28">_xlfn.LET(
_xlpm.x,_xlfn.XLOOKUP(_xlfn.ANCHORARRAY(D7),RFA!$E:$E,RFA!$Y:$Y,""),
IF(_xlpm.x=0,"",_xlpm.x)
)</f>
        <v>45456</v>
      </c>
      <c r="O7" s="264" cm="1">
        <f t="array" ref="O7:O28">_xlfn.LET(
_xlpm.x,_xlfn.XLOOKUP(_xlfn.ANCHORARRAY(D7),RFA!$E:$E,RFA!$Z:$Z,""),
IF(_xlpm.x=0,"",_xlpm.x)
)</f>
        <v>45456</v>
      </c>
      <c r="P7" s="264" cm="1">
        <f t="array" ref="P7:P28">_xlfn.LET(
_xlpm.x,_xlfn.XLOOKUP(_xlfn.ANCHORARRAY(D7),RFA!$E:$E,RFA!$AA:$AA,""),
IF(_xlpm.x=0,"",_xlpm.x)
)</f>
        <v>45463</v>
      </c>
      <c r="Q7" s="270" t="str" cm="1">
        <f t="array" ref="Q7:Q28">_xlfn.LET(
_xlpm.x,_xlfn.XLOOKUP(_xlfn.ANCHORARRAY(D7),RFA!$E:$E,RFA!$AB:$AB,""),
IF(_xlpm.x=0,"",_xlpm.x)
)</f>
        <v/>
      </c>
      <c r="R7" s="13" t="str" cm="1">
        <f t="array" ref="R7:R28">_xlfn.LET(
_xlpm.x,_xlfn.XLOOKUP(_xlfn.ANCHORARRAY(D7),RFA!$E:$E,RFA!$AC:$AC,""),
IF(_xlpm.x=0,"",_xlpm.x)
)</f>
        <v>Not submit yet</v>
      </c>
      <c r="S7" s="279" cm="1">
        <f t="array" ref="S7:S28">_xlfn.LET(
_xlpm.x,_xlfn.XLOOKUP(_xlfn.ANCHORARRAY(D7),RFA!$E:$E,RFA!$AD:$AD,""),
IF(_xlpm.x=0,"",_xlpm.x)
)</f>
        <v>860</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825</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523</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404</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344</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321</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316</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153</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105">
      <c r="A22" s="13">
        <v>16</v>
      </c>
      <c r="B22" s="302" t="str">
        <v>FAS</v>
      </c>
      <c r="C22" s="13" t="str">
        <v>OTH</v>
      </c>
      <c r="D22" s="282" t="str">
        <v>LTIA-5.10-VIETUR-70000-RFA-OTH-0733A</v>
      </c>
      <c r="E22" s="303" t="str">
        <v>Request for approval Pre-completion inspection, testing, and commissioning: + Section 70000 – ICT works/ Subsection 72000 – Extra-low Voltage System (ELV) and Communication/ Division 72160 – Fire Alarm System (FAS)</v>
      </c>
      <c r="F22" s="303" t="str">
        <v>Đề nghị phê duyệt Kiểm tra trước khi hoàn thành, thử nghiệm và vận hành: + Phần 70000 – Công tác ICT/ Mục 72000 – Hệ thống điện nhẹ (ELV) &amp; Truyền thông/ Tiểu mục 72160 – Hệ thống báo cháy (FAS)</v>
      </c>
      <c r="G22" s="270">
        <v>46289</v>
      </c>
      <c r="H22" s="270">
        <v>46289</v>
      </c>
      <c r="I22" s="264">
        <v>46289</v>
      </c>
      <c r="J22" s="264" t="str">
        <v>C</v>
      </c>
      <c r="K22" s="270">
        <v>46297</v>
      </c>
      <c r="L22" s="264">
        <v>46300</v>
      </c>
      <c r="M22" s="264" t="str">
        <v/>
      </c>
      <c r="N22" s="270" t="str">
        <v/>
      </c>
      <c r="O22" s="264" t="str">
        <v/>
      </c>
      <c r="P22" s="264">
        <v>46307</v>
      </c>
      <c r="Q22" s="270" t="str">
        <v/>
      </c>
      <c r="R22" s="13" t="str">
        <v/>
      </c>
      <c r="S22" s="279" t="str">
        <v/>
      </c>
    </row>
    <row r="23" spans="1:19" ht="30">
      <c r="A23" s="13">
        <v>17</v>
      </c>
      <c r="B23" s="302" t="str">
        <v>PMR</v>
      </c>
      <c r="C23" s="13" t="str">
        <v>MSS</v>
      </c>
      <c r="D23" s="282" t="str">
        <v>LTIA-5.11- LTICT- 72100-RFA-MSS-0002</v>
      </c>
      <c r="E23" s="303" t="str">
        <v>Request for Approval of the Method Statement for the PMR Radio System</v>
      </c>
      <c r="F23" s="303" t="str">
        <v>Yêu cầu phê duyệt Biện pháp thi công cho hệ thống Bộ đàm (PMR)</v>
      </c>
      <c r="G23" s="270">
        <v>46298</v>
      </c>
      <c r="H23" s="270">
        <v>46298</v>
      </c>
      <c r="I23" s="264">
        <v>46302</v>
      </c>
      <c r="J23" s="264" t="str">
        <v>C</v>
      </c>
      <c r="K23" s="270">
        <v>46314</v>
      </c>
      <c r="L23" s="264">
        <v>46322</v>
      </c>
      <c r="M23" s="264" t="str">
        <v/>
      </c>
      <c r="N23" s="270" t="str">
        <v/>
      </c>
      <c r="O23" s="264" t="str">
        <v/>
      </c>
      <c r="P23" s="264">
        <v>46329</v>
      </c>
      <c r="Q23" s="270" t="str">
        <v/>
      </c>
      <c r="R23" s="13" t="str">
        <v/>
      </c>
      <c r="S23" s="279" t="str">
        <v/>
      </c>
    </row>
    <row r="24" spans="1:19" ht="45">
      <c r="A24" s="13">
        <v>18</v>
      </c>
      <c r="B24" s="302" t="str">
        <v>SCS</v>
      </c>
      <c r="C24" s="13" t="str">
        <v>MSS</v>
      </c>
      <c r="D24" s="282" t="str">
        <v>LTIA-5.11-LTICT- 72010 -RFA-MSS-0003</v>
      </c>
      <c r="E24" s="303" t="str">
        <v>Request for Approval of the Method Statement for the Structured Cable System</v>
      </c>
      <c r="F24" s="303" t="str">
        <v>Yêu cầu phê duyệt Biện pháp thi công cho hệ thống Cáp cấu trúc (SCS)</v>
      </c>
      <c r="G24" s="270">
        <v>46300</v>
      </c>
      <c r="H24" s="270">
        <v>46300</v>
      </c>
      <c r="I24" s="264">
        <v>46302</v>
      </c>
      <c r="J24" s="264" t="str">
        <v>C</v>
      </c>
      <c r="K24" s="270">
        <v>46314</v>
      </c>
      <c r="L24" s="264">
        <v>46322</v>
      </c>
      <c r="M24" s="264" t="str">
        <v/>
      </c>
      <c r="N24" s="270" t="str">
        <v/>
      </c>
      <c r="O24" s="264" t="str">
        <v/>
      </c>
      <c r="P24" s="264">
        <v>46329</v>
      </c>
      <c r="Q24" s="270" t="str">
        <v/>
      </c>
      <c r="R24" s="13" t="str">
        <v/>
      </c>
      <c r="S24" s="279" t="str">
        <v/>
      </c>
    </row>
    <row r="25" spans="1:19" ht="30">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v>46314</v>
      </c>
      <c r="L25" s="264">
        <v>46317</v>
      </c>
      <c r="M25" s="264" t="str">
        <v/>
      </c>
      <c r="N25" s="270" t="str">
        <v/>
      </c>
      <c r="O25" s="264" t="str">
        <v/>
      </c>
      <c r="P25" s="264">
        <v>46324</v>
      </c>
      <c r="Q25" s="270" t="str">
        <v/>
      </c>
      <c r="R25" s="13" t="str">
        <v/>
      </c>
      <c r="S25" s="279" t="str">
        <v/>
      </c>
    </row>
    <row r="26" spans="1:19" ht="45">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46302</v>
      </c>
      <c r="J26" s="264" t="str">
        <v>C</v>
      </c>
      <c r="K26" s="270">
        <v>46314</v>
      </c>
      <c r="L26" s="264">
        <v>46317</v>
      </c>
      <c r="M26" s="264" t="str">
        <v/>
      </c>
      <c r="N26" s="270" t="str">
        <v/>
      </c>
      <c r="O26" s="264" t="str">
        <v/>
      </c>
      <c r="P26" s="264">
        <v>46324</v>
      </c>
      <c r="Q26" s="270" t="str">
        <v/>
      </c>
      <c r="R26" s="13" t="str">
        <v/>
      </c>
      <c r="S26" s="279" t="str">
        <v/>
      </c>
    </row>
    <row r="27" spans="1:19" ht="45">
      <c r="A27" s="13">
        <v>21</v>
      </c>
      <c r="B27" s="302" t="str">
        <v>Smart Parking</v>
      </c>
      <c r="C27" s="13" t="str">
        <v>MSS</v>
      </c>
      <c r="D27" s="282" t="str">
        <v>LTIA-5.11-LTICT- 72190 -RFA-MSS-0005</v>
      </c>
      <c r="E27" s="303" t="str">
        <v>Request for Approval of the Method Statement for the Smart Parking System</v>
      </c>
      <c r="F27" s="303" t="str">
        <v>Yêu cầu phê duyệt Biện pháp thi công cho hệ thống Bãi đỗ xe thông minh</v>
      </c>
      <c r="G27" s="270">
        <v>46301</v>
      </c>
      <c r="H27" s="270">
        <v>46301</v>
      </c>
      <c r="I27" s="264">
        <v>46301</v>
      </c>
      <c r="J27" s="264" t="str">
        <v>C</v>
      </c>
      <c r="K27" s="270">
        <v>46314</v>
      </c>
      <c r="L27" s="264">
        <v>46322</v>
      </c>
      <c r="M27" s="264" t="str">
        <v/>
      </c>
      <c r="N27" s="270" t="str">
        <v/>
      </c>
      <c r="O27" s="264" t="str">
        <v/>
      </c>
      <c r="P27" s="264">
        <v>46329</v>
      </c>
      <c r="Q27" s="270" t="str">
        <v/>
      </c>
      <c r="R27" s="13" t="str">
        <v/>
      </c>
      <c r="S27" s="279" t="str">
        <v/>
      </c>
    </row>
    <row r="28" spans="1:19" ht="45">
      <c r="A28" s="13">
        <v>22</v>
      </c>
      <c r="B28" s="302" t="str">
        <v>TOLL</v>
      </c>
      <c r="C28" s="13" t="str">
        <v>MSS</v>
      </c>
      <c r="D28" s="282" t="str">
        <v>LTIA-5.11-LTICT- 71110 -RFA-MSS-0006</v>
      </c>
      <c r="E28" s="303" t="str">
        <v>Request for Approval of the Method Statement for the Toll Collection System</v>
      </c>
      <c r="F28" s="303" t="str">
        <v>Yêu cầu phê duyệt Biện pháp thi công cho hệ thống Thu phí</v>
      </c>
      <c r="G28" s="270">
        <v>46301</v>
      </c>
      <c r="H28" s="270">
        <v>46301</v>
      </c>
      <c r="I28" s="264">
        <v>46301</v>
      </c>
      <c r="J28" s="264" t="str">
        <v>C</v>
      </c>
      <c r="K28" s="270">
        <v>46314</v>
      </c>
      <c r="L28" s="264">
        <v>46322</v>
      </c>
      <c r="M28" s="264" t="str">
        <v/>
      </c>
      <c r="N28" s="270" t="str">
        <v/>
      </c>
      <c r="O28" s="264" t="str">
        <v/>
      </c>
      <c r="P28" s="264">
        <v>46329</v>
      </c>
      <c r="Q28" s="270" t="str">
        <v/>
      </c>
      <c r="R28" s="13" t="str">
        <v/>
      </c>
      <c r="S28"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4"/>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3">IF(_xlfn.ANCHORARRAY(C7)="","",_xlfn.SEQUENCE(ROWS(_xlfn.ANCHORARRAY(C7))))</f>
        <v>1</v>
      </c>
      <c r="B7" s="302" t="str" cm="1">
        <f t="array" ref="B7:B13">_xlfn.LET(_xlpm.x,_xlfn.XLOOKUP(_xlfn.ANCHORARRAY(C7),'RFA-SDS'!$D:$D,'RFA-SDS'!$C:$C,""),IF(_xlpm.x=0,"",_xlpm.x))</f>
        <v>FAS
SCN
ACS
DCH
PAS</v>
      </c>
      <c r="C7" s="282" t="str" cm="1">
        <f t="array" ref="C7:C13">_xlfn._xlws.FILTER('RFA-SDS'!$D$5:$D$4878,'RFA-SDS'!$AI$5:$AI$4878="YES","")</f>
        <v>LTIA-5.10-VIETUR-80000-RFA-SDS-0214</v>
      </c>
      <c r="D7" s="303" t="str" cm="1">
        <f t="array" ref="D7:D13">_xlfn.LET(_xlpm.x,_xlfn.XLOOKUP(_xlfn.ANCHORARRAY(C7),'RFA-SDS'!$D:$D,'RFA-SDS'!$F:$F,""),IF(_xlpm.x=0,"",_xlpm.x))</f>
        <v xml:space="preserve">Construction design drawing of  ICT system – part.1: ICT systems for FLB </v>
      </c>
      <c r="E7" s="303" t="str" cm="1">
        <f t="array" ref="E7:E13">_xlfn.LET(_xlpm.x,_xlfn.XLOOKUP(_xlfn.ANCHORARRAY(C7),'RFA-SDS'!$D:$D,'RFA-SDS'!$G:$G,""),IF(_xlpm.x=0,"",_xlpm.x))</f>
        <v>Bản vẽ TKTC cho hệ thống ICT – phần 1 – Hệ thống ICT cho FLB</v>
      </c>
      <c r="F7" s="270" cm="1">
        <f t="array" ref="F7:F13">_xlfn.LET(_xlpm.x,_xlfn.XLOOKUP(_xlfn.ANCHORARRAY(C7),'RFA-SDS'!$D:$D,'RFA-SDS'!$R:$R,""),IF(_xlpm.x=0,"",_xlpm.x))</f>
        <v>45673</v>
      </c>
      <c r="G7" s="270" cm="1">
        <f t="array" ref="G7:G13">_xlfn.LET(_xlpm.x,_xlfn.XLOOKUP(_xlfn.ANCHORARRAY(C7),'RFA-SDS'!$D:$D,'RFA-SDS'!$S:$S,""),IF(_xlpm.x=0,"",_xlpm.x))</f>
        <v>45673</v>
      </c>
      <c r="H7" s="264" cm="1">
        <f t="array" ref="H7:H13">_xlfn.LET(_xlpm.x,_xlfn.XLOOKUP(_xlfn.ANCHORARRAY(C7),'RFA-SDS'!$D:$D,'RFA-SDS'!$T:$T,""),IF(_xlpm.x=0,"",_xlpm.x))</f>
        <v>45699</v>
      </c>
      <c r="I7" s="264" t="str" cm="1">
        <f t="array" ref="I7:I13">_xlfn.LET(_xlpm.x,_xlfn.XLOOKUP(_xlfn.ANCHORARRAY(C7),'RFA-SDS'!$D:$D,'RFA-SDS'!$H:$H,""),IF(_xlpm.x=0,"",_xlpm.x))</f>
        <v>B</v>
      </c>
      <c r="J7" s="270" cm="1">
        <f t="array" ref="J7:J13">_xlfn.LET(_xlpm.x,_xlfn.XLOOKUP(_xlfn.ANCHORARRAY(C7),'RFA-SDS'!$D:$D,'RFA-SDS'!$U:$U,""),IF(_xlpm.x=0,"",_xlpm.x))</f>
        <v>45716</v>
      </c>
      <c r="K7" s="264" cm="1">
        <f t="array" ref="K7:K13">_xlfn.LET(_xlpm.x,_xlfn.XLOOKUP(_xlfn.ANCHORARRAY(C7),'RFA-SDS'!$D:$D,'RFA-SDS'!$V:$V,""),IF(_xlpm.x=0,"",_xlpm.x))</f>
        <v>45741</v>
      </c>
      <c r="L7" s="264" t="str" cm="1">
        <f t="array" ref="L7:L13">_xlfn.LET(_xlpm.x,_xlfn.XLOOKUP(_xlfn.ANCHORARRAY(C7),'RFA-SDS'!$D:$D,'RFA-SDS'!$Q:$Q,""),IF(_xlpm.x=0,"",_xlpm.x))</f>
        <v>B</v>
      </c>
      <c r="M7" s="270" cm="1">
        <f t="array" ref="M7:M13">_xlfn.LET(_xlpm.x,_xlfn.XLOOKUP(_xlfn.ANCHORARRAY(C7),'RFA-SDS'!$D:$D,'RFA-SDS'!$X:$X,""),IF(_xlpm.x=0,"",_xlpm.x))</f>
        <v>45756</v>
      </c>
      <c r="N7" s="264" cm="1">
        <f t="array" ref="N7:N13">_xlfn.LET(_xlpm.x,_xlfn.XLOOKUP(_xlfn.ANCHORARRAY(C7),'RFA-SDS'!$D:$D,'RFA-SDS'!$Y:$Y,""),IF(_xlpm.x=0,"",_xlpm.x))</f>
        <v>45756</v>
      </c>
      <c r="O7" s="264" cm="1">
        <f t="array" ref="O7:O13">_xlfn.LET(_xlpm.x,_xlfn.XLOOKUP(_xlfn.ANCHORARRAY(C7),'RFA-SDS'!$D:$D,'RFA-SDS'!$Z:$Z,""),IF(_xlpm.x=0,"",_xlpm.x))</f>
        <v>45763</v>
      </c>
      <c r="P7" s="270" t="str" cm="1">
        <f t="array" ref="P7:P13">_xlfn.LET(_xlpm.x,_xlfn.XLOOKUP(_xlfn.ANCHORARRAY(C7),'RFA-SDS'!$D:$D,'RFA-SDS'!$AA:$AA,""),IF(_xlpm.x=0,"",_xlpm.x))</f>
        <v/>
      </c>
      <c r="Q7" s="13" t="str" cm="1">
        <f t="array" ref="Q7:Q13">_xlfn.LET(_xlpm.x,_xlfn.XLOOKUP(_xlfn.ANCHORARRAY(C7),'RFA-SDS'!$D:$D,'RFA-SDS'!$AB:$AB,""),IF(_xlpm.x=0,"",_xlpm.x))</f>
        <v>Not submit yet</v>
      </c>
      <c r="R7" s="279" cm="1">
        <f t="array" ref="R7:R13">_xlfn.LET(_xlpm.x,_xlfn.XLOOKUP(_xlfn.ANCHORARRAY(C7),'RFA-SDS'!$D:$D,'RFA-SDS'!$AC:$AC,""),IF(_xlpm.x=0,"",_xlpm.x))</f>
        <v>561</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471</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360</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45">
      <c r="A12" s="13">
        <v>6</v>
      </c>
      <c r="B12" s="302" t="str">
        <v>SCS</v>
      </c>
      <c r="C12" s="282" t="str">
        <v>LTIA-5.10-VIETUR-80000-RFA-SDS-0415</v>
      </c>
      <c r="D12" s="303" t="str">
        <v>Construction design drawing of  ICT system – part.1: ICT systems for Power and Loop Cable Layout on Cable Tray</v>
      </c>
      <c r="E12" s="303" t="str">
        <v>Bản vẽ TKTC cho hệ thống ICT – phần 1 – Hệ thống ICT cho Bản Vẽ Dây Nguồn Và Dây Tín Hiệu Loop Trên Máng Cáp</v>
      </c>
      <c r="F12" s="270">
        <v>46014</v>
      </c>
      <c r="G12" s="270">
        <v>46014</v>
      </c>
      <c r="H12" s="264">
        <v>46141</v>
      </c>
      <c r="I12" s="264" t="str">
        <v>C</v>
      </c>
      <c r="J12" s="270">
        <v>46150</v>
      </c>
      <c r="K12" s="264">
        <v>46191</v>
      </c>
      <c r="L12" s="264" t="str">
        <v>C</v>
      </c>
      <c r="M12" s="270">
        <v>46206</v>
      </c>
      <c r="N12" s="264">
        <v>46212</v>
      </c>
      <c r="O12" s="264">
        <v>46219</v>
      </c>
      <c r="P12" s="270" t="str">
        <v/>
      </c>
      <c r="Q12" s="13" t="str">
        <v>Not submit yet</v>
      </c>
      <c r="R12" s="279">
        <v>105</v>
      </c>
    </row>
    <row r="13" spans="1:18" ht="60">
      <c r="A13" s="13">
        <v>7</v>
      </c>
      <c r="B13" s="302" t="str">
        <v>PMR</v>
      </c>
      <c r="C13" s="282" t="str">
        <v>LTIA-5.11-LTICT-72100-RFA-SDS-0001</v>
      </c>
      <c r="D13" s="303" t="str">
        <v>Request for Approval of Construction Drawings for the PMR System</v>
      </c>
      <c r="E13" s="303" t="str">
        <v>Đề nghị phê duyệt bản vẽ thi công cho hệ thống bộ đàm (PMR)</v>
      </c>
      <c r="F13" s="270">
        <v>46283</v>
      </c>
      <c r="G13" s="270">
        <v>46283</v>
      </c>
      <c r="H13" s="264">
        <v>46283</v>
      </c>
      <c r="I13" s="264" t="str">
        <v>C</v>
      </c>
      <c r="J13" s="270">
        <v>46304</v>
      </c>
      <c r="K13" s="264">
        <v>46304</v>
      </c>
      <c r="L13" s="264" t="str">
        <v>C</v>
      </c>
      <c r="M13" s="270">
        <v>46317</v>
      </c>
      <c r="N13" s="264" t="str">
        <v/>
      </c>
      <c r="O13" s="264">
        <v>46325</v>
      </c>
      <c r="P13" s="270" t="str">
        <v/>
      </c>
      <c r="Q13" s="13" t="str">
        <v>In progress</v>
      </c>
      <c r="R13" s="279" t="str">
        <v/>
      </c>
    </row>
    <row r="14" spans="1:18" ht="30"/>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860</v>
      </c>
      <c r="B3" s="319">
        <f>AVERAGEIF('Need ReSub (RFA)'!S7:S76,"&lt;&gt;0")</f>
        <v>468.25</v>
      </c>
      <c r="C3" s="319">
        <f>MAX(_xlfn.ANCHORARRAY('Need ReSub (RFA-SDS)'!R7))</f>
        <v>561</v>
      </c>
      <c r="D3" s="319">
        <f>AVERAGEIF(_xlfn.ANCHORARRAY('Need ReSub (RFA-SDS)'!R7),"&lt;&gt;0")</f>
        <v>330</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468 days, with a maximum of 860 days, indicating that delays in the RFA approval process are contributing to delays in construction work.
Furthermore, the RFA (SDS) is as follows:
Avarage :  330 days
Maimum :  561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2026-10-29T02:14:09Z</dcterms:modified>
</cp:coreProperties>
</file>