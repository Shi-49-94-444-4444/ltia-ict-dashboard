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01F0DF36-5C6D-488E-8CE1-E9A935FF3051}"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RFA!$A$6:$AE$142</definedName>
    <definedName name="_xlnm._FilterDatabase" localSheetId="1" hidden="1">'RFA-SDS'!$A$6:$AD$34</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RFA!$A$1:$AE$142,RFA!$I$144:$R$150,RFA!$C$144:$F$154,RFA!$C$156:$F$159,RFA!$C$161:$F$172</definedName>
    <definedName name="_xlnm.Print_Area" localSheetId="1">'RFA-SDS'!$A$1:$AD$42,'RFA-SDS'!$H$44:$Q$50,'RFA-SDS'!$C$44:$E$48,'RFA-SDS'!$C$50:$E$53</definedName>
    <definedName name="_xlnm.Print_Area" localSheetId="2">RFI!$A$1:$Z$130,RFI!$H$132:$Q$136,RFI!$C$132:$E$137,RFI!$C$139:$E$142</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140" i="1" l="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1" i="1"/>
  <c r="AA141" i="1"/>
  <c r="AG126" i="1"/>
  <c r="AC126" i="1"/>
  <c r="AD126" i="1" s="1"/>
  <c r="AA126" i="1"/>
  <c r="F126" i="1"/>
  <c r="B126" i="1"/>
  <c r="AG125" i="1"/>
  <c r="AC125" i="1"/>
  <c r="AD125" i="1" s="1"/>
  <c r="AA125" i="1"/>
  <c r="F125" i="1"/>
  <c r="B125" i="1"/>
  <c r="AI142" i="1"/>
  <c r="Z42" i="4"/>
  <c r="Z41"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2"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H40" i="4" s="1" a="1"/>
  <c r="AH40" i="4" s="1"/>
  <c r="AI40"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0" i="1" s="1" a="1"/>
  <c r="AH140" i="1" s="1"/>
  <c r="AI140"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8" i="1" l="1" a="1"/>
  <c r="AH138" i="1" s="1"/>
  <c r="AI138" i="1" s="1"/>
  <c r="AH139" i="1" a="1"/>
  <c r="AH139" i="1" s="1"/>
  <c r="AI139" i="1" s="1"/>
  <c r="AH136" i="1" a="1"/>
  <c r="AH136" i="1" s="1"/>
  <c r="AI136" i="1" s="1"/>
  <c r="AH137" i="1" a="1"/>
  <c r="AH137" i="1" s="1"/>
  <c r="AI137" i="1" s="1"/>
  <c r="AH134" i="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4" i="5"/>
  <c r="Q48" i="4"/>
  <c r="Q47" i="4"/>
  <c r="Q46" i="4"/>
  <c r="R148" i="1"/>
  <c r="R147" i="1"/>
  <c r="R146"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6" i="5"/>
  <c r="M50" i="4"/>
  <c r="N150" i="1"/>
  <c r="E43" i="5"/>
  <c r="E42" i="5"/>
  <c r="E41" i="5"/>
  <c r="E40" i="5"/>
  <c r="E39" i="5"/>
  <c r="E38" i="5"/>
  <c r="E36" i="5"/>
  <c r="E35" i="5"/>
  <c r="E34" i="5"/>
  <c r="M134"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28" i="5" s="1"/>
  <c r="J128" i="5" s="1"/>
  <c r="I14" i="4"/>
  <c r="J14" i="4" s="1"/>
  <c r="M48" i="4"/>
  <c r="M47" i="4"/>
  <c r="M46"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0" i="4" s="1"/>
  <c r="J40" i="4" s="1"/>
  <c r="N148" i="1"/>
  <c r="N147" i="1"/>
  <c r="N146"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39" i="1" l="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C7" i="4"/>
  <c r="R7" i="7" s="1" a="1"/>
  <c r="Q7" i="7" a="1"/>
  <c r="Q7" i="7" s="1"/>
  <c r="AD7" i="1"/>
  <c r="R7" i="6" a="1"/>
  <c r="R7" i="6" s="1"/>
  <c r="Q49" i="4"/>
  <c r="R149" i="1"/>
  <c r="P146" i="1"/>
  <c r="O149" i="1"/>
  <c r="N48" i="4"/>
  <c r="O46" i="4"/>
  <c r="O48" i="4"/>
  <c r="P149" i="1"/>
  <c r="O148" i="1"/>
  <c r="P148" i="1"/>
  <c r="P147" i="1"/>
  <c r="O147" i="1"/>
  <c r="O47" i="4"/>
  <c r="O49" i="4"/>
  <c r="N47" i="4"/>
  <c r="N46" i="4"/>
  <c r="O146" i="1"/>
  <c r="N49" i="4"/>
  <c r="R7" i="7" l="1"/>
  <c r="D3" i="9" s="1"/>
  <c r="S7" i="6" a="1"/>
  <c r="Q45" i="4"/>
  <c r="R145" i="1"/>
  <c r="N149" i="1"/>
  <c r="N145" i="1" s="1"/>
  <c r="M49" i="4"/>
  <c r="M45" i="4" s="1"/>
  <c r="L49" i="4" s="1"/>
  <c r="C3" i="9" l="1"/>
  <c r="S7" i="6"/>
  <c r="P45" i="4"/>
  <c r="P47" i="4"/>
  <c r="P48" i="4"/>
  <c r="P46" i="4"/>
  <c r="P49" i="4"/>
  <c r="Q145" i="1"/>
  <c r="Q147" i="1"/>
  <c r="Q148" i="1"/>
  <c r="Q146" i="1"/>
  <c r="Q149" i="1"/>
  <c r="M148" i="1"/>
  <c r="M150" i="1"/>
  <c r="M145" i="1"/>
  <c r="M146" i="1"/>
  <c r="M147" i="1"/>
  <c r="M149" i="1"/>
  <c r="L47" i="4"/>
  <c r="L46" i="4"/>
  <c r="L48" i="4"/>
  <c r="L45" i="4"/>
  <c r="L50" i="4"/>
  <c r="B3" i="9" l="1"/>
  <c r="A3" i="9"/>
  <c r="N135" i="5"/>
  <c r="Q135" i="5"/>
  <c r="Q133" i="5" s="1"/>
  <c r="O135" i="5"/>
  <c r="O134" i="5"/>
  <c r="N134" i="5"/>
  <c r="J7" i="5"/>
  <c r="A5" i="9" l="1"/>
  <c r="M135" i="5"/>
  <c r="M133" i="5" s="1"/>
  <c r="L135" i="5" s="1"/>
  <c r="P134" i="5"/>
  <c r="P133" i="5"/>
  <c r="P135" i="5"/>
  <c r="L136" i="5" l="1"/>
  <c r="L134" i="5"/>
  <c r="L133"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<sst xmlns="http://schemas.openxmlformats.org/spreadsheetml/2006/main" count="3475" uniqueCount="1091">
  <si>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</si>
  <si>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</si>
  <si>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</si>
  <si>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</si>
  <si>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</si>
  <si>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</si>
  <si>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</si>
  <si>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</si>
  <si>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</si>
  <si>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</si>
  <si>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</si>
  <si>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</si>
  <si>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</si>
  <si>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</si>
  <si>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</si>
  <si>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</si>
  <si>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</si>
  <si>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</si>
  <si>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</si>
  <si>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</si>
  <si>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</si>
  <si>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</si>
  <si>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</si>
  <si>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</si>
  <si>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</si>
  <si>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</si>
  <si>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</si>
  <si>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</si>
  <si>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</si>
  <si>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</si>
  <si>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</si>
  <si>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</si>
  <si>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</si>
  <si>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</si>
  <si>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</si>
  <si>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</si>
  <si>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</si>
  <si>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</si>
  <si>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</si>
  <si>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</si>
  <si>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</si>
  <si>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</si>
  <si>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</si>
  <si>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</si>
  <si>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</si>
  <si>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</si>
  <si>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</si>
  <si>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</si>
  <si>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</si>
  <si>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</si>
  <si>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</si>
  <si>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</si>
  <si>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</si>
  <si>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</si>
  <si>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</si>
  <si>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</si>
  <si>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</si>
  <si>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</si>
  <si>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</si>
  <si>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</si>
  <si>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</si>
  <si>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</si>
  <si>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</si>
  <si>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</si>
  <si>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</si>
  <si>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</si>
  <si>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</si>
  <si>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</si>
  <si>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</si>
  <si>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</si>
  <si>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</si>
  <si>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</si>
  <si>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</si>
  <si>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</si>
  <si>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</si>
  <si>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</si>
  <si>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</si>
  <si>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</si>
  <si>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</si>
  <si>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</si>
  <si>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</si>
  <si>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</si>
  <si>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</si>
  <si>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</si>
  <si>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</si>
  <si>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</si>
  <si>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</si>
  <si>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</si>
  <si>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</si>
  <si>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</si>
  <si>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</si>
  <si>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</si>
  <si>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</si>
  <si>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</si>
  <si>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</si>
  <si>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</si>
  <si>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</si>
  <si>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</si>
  <si>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</si>
  <si>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</si>
  <si>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</si>
  <si>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</si>
  <si>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</si>
  <si>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</si>
  <si>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</si>
  <si>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</si>
  <si>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</si>
  <si>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</si>
  <si>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</si>
  <si>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</si>
  <si>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</si>
  <si>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</si>
  <si>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</si>
  <si>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</si>
  <si>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</si>
  <si>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</si>
  <si>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</si>
  <si>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</si>
  <si>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</si>
  <si>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</si>
  <si>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</si>
  <si>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</si>
  <si>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</si>
  <si>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</si>
  <si>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</si>
  <si>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</si>
  <si>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</si>
  <si>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</si>
  <si>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</si>
  <si>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</si>
  <si>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</si>
  <si>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</si>
  <si>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</si>
  <si>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</si>
  <si>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</si>
  <si>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</si>
  <si>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</si>
  <si>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</si>
  <si>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</si>
  <si>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</si>
  <si>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</si>
  <si>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</si>
  <si>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</si>
  <si>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</si>
  <si>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</si>
  <si>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</si>
  <si>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</si>
  <si>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</si>
  <si>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</si>
  <si>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</si>
  <si>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</si>
  <si>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</si>
  <si>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</si>
  <si>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</si>
  <si>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</si>
  <si>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</si>
  <si>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</si>
  <si>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</si>
  <si>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</si>
  <si>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</si>
  <si>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</si>
  <si>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</si>
  <si>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</si>
  <si>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</si>
  <si>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</si>
  <si>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</si>
  <si>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</si>
  <si>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</si>
  <si>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</si>
  <si>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</si>
  <si>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</si>
  <si>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</si>
  <si>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</si>
  <si>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</si>
  <si>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</si>
  <si>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</si>
  <si>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</si>
  <si>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</si>
  <si>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</si>
  <si>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</si>
  <si>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</si>
  <si>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</si>
  <si>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</si>
  <si>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</si>
  <si>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</si>
  <si>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</si>
  <si>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</si>
  <si>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</si>
  <si>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</si>
  <si>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</si>
  <si>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</si>
  <si>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</si>
  <si>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</si>
  <si>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</si>
  <si>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</si>
  <si>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</si>
  <si>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</si>
  <si>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</si>
  <si>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</si>
  <si>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</si>
  <si>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</si>
  <si>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</si>
  <si>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</si>
  <si>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</si>
  <si>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</si>
  <si>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</si>
  <si>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</si>
  <si>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</si>
  <si>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</si>
  <si>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</si>
  <si>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</si>
  <si>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</si>
  <si>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</si>
  <si>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</si>
  <si>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</si>
  <si>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</si>
  <si>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</si>
  <si>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</si>
  <si>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</si>
  <si>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</si>
  <si>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</si>
  <si>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</si>
  <si>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</si>
  <si>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</si>
  <si>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</si>
  <si>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</si>
  <si>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</si>
  <si>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</si>
  <si>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</si>
  <si>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</si>
  <si>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</si>
  <si>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</si>
  <si>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</si>
  <si>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</si>
  <si>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</si>
  <si>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</si>
  <si>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</si>
  <si>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</si>
  <si>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</si>
  <si>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</si>
  <si>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</si>
  <si>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</si>
  <si>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</si>
  <si>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</si>
  <si>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</si>
  <si>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</si>
  <si>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</si>
  <si>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</si>
  <si>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</si>
  <si>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</si>
  <si>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</si>
  <si>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</si>
  <si>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</si>
  <si>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</si>
  <si>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</si>
  <si>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</si>
  <si>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</si>
  <si>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</si>
  <si>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</si>
  <si>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</si>
  <si>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</si>
  <si>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</si>
  <si>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</si>
  <si>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</si>
  <si>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</si>
  <si>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</si>
  <si>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</si>
  <si>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</si>
  <si>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</si>
  <si>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</si>
  <si>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</si>
  <si>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</si>
  <si>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</si>
  <si>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</si>
  <si>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</si>
  <si>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</si>
  <si>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</si>
  <si>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</si>
  <si>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</si>
  <si>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</si>
  <si>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</si>
  <si>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</si>
  <si>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</si>
  <si>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</si>
  <si>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</si>
  <si>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</si>
  <si>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</si>
  <si>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</si>
  <si>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</si>
  <si>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</si>
  <si>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</si>
  <si>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</si>
  <si>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</si>
  <si>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</si>
  <si>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</si>
  <si>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</si>
  <si>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</si>
  <si>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</si>
  <si>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</si>
  <si>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</si>
  <si>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</si>
  <si>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</si>
  <si>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</si>
  <si>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</si>
  <si>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</si>
  <si>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</si>
  <si>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</si>
  <si>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</si>
  <si>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</si>
  <si>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</si>
  <si>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</si>
  <si>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</si>
  <si>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</si>
  <si>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</si>
  <si>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</si>
  <si>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</si>
  <si>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</si>
  <si>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</si>
  <si>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</si>
  <si>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</si>
  <si>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</si>
  <si>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</si>
  <si>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</si>
  <si>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</si>
  <si>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</si>
  <si>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</si>
  <si>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</si>
  <si>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</si>
  <si>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</si>
  <si>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</si>
  <si>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</si>
  <si>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</si>
  <si>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</si>
  <si>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</si>
  <si>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</si>
  <si>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</si>
  <si>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</si>
  <si>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</si>
  <si>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</si>
  <si>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</si>
  <si>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</si>
  <si>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</si>
  <si>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</si>
  <si>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</si>
  <si>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</si>
  <si>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</si>
  <si>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</si>
  <si>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</si>
  <si>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</si>
  <si>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</si>
  <si>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</si>
  <si>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</si>
  <si>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</si>
  <si>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</si>
  <si>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</si>
  <si>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</si>
  <si>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</si>
  <si>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</si>
  <si>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</si>
  <si>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</si>
  <si>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</si>
  <si>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</si>
  <si>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</si>
  <si>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</si>
  <si>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</si>
  <si>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</si>
  <si>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</si>
  <si>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</si>
  <si>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</si>
  <si>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</si>
  <si>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</si>
  <si>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</si>
  <si>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</si>
  <si>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</si>
  <si>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</si>
  <si>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</si>
  <si>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</si>
  <si>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</si>
  <si>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</si>
  <si>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</si>
  <si>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</si>
  <si>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</si>
  <si>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</si>
  <si>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</si>
  <si>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</si>
  <si>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</si>
  <si>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</si>
  <si>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</si>
  <si>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</si>
  <si>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</si>
  <si>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</si>
  <si>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</si>
  <si>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</si>
  <si>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</si>
  <si>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</si>
  <si>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</si>
  <si>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</si>
  <si>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</si>
  <si>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</si>
  <si>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</si>
  <si>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</si>
  <si>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</si>
  <si>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</si>
  <si>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</si>
  <si>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</si>
  <si>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</si>
  <si>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</si>
  <si>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</si>
  <si>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</si>
  <si>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</si>
  <si>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</si>
  <si>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</si>
  <si>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</si>
  <si>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</si>
  <si>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</si>
  <si>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</si>
  <si>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</si>
  <si>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</si>
  <si>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</si>
  <si>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</si>
  <si>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</si>
  <si>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</si>
  <si>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</si>
  <si>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</si>
  <si>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</si>
  <si>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</si>
  <si>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</si>
  <si>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</si>
  <si>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</si>
  <si>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</si>
  <si>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</si>
  <si>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</si>
  <si>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</si>
  <si>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</si>
  <si>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</si>
  <si>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</si>
  <si>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</si>
  <si>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</si>
  <si>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</si>
  <si>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</si>
  <si>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</si>
  <si>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</si>
  <si>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</si>
  <si>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</si>
  <si>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</si>
  <si>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</si>
  <si>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</si>
  <si>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</si>
  <si>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</si>
  <si>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</si>
  <si>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</si>
  <si>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</si>
  <si>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</si>
  <si>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</si>
  <si>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</si>
  <si>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</si>
  <si>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</si>
  <si>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</si>
  <si>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</si>
  <si>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</si>
  <si>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</si>
  <si>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</si>
  <si>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</si>
  <si>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</si>
  <si>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</si>
  <si>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</si>
  <si>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</si>
  <si>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</si>
  <si>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</si>
  <si>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</si>
  <si>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</si>
  <si>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</si>
  <si>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</si>
  <si>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</si>
  <si>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</si>
  <si>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</si>
  <si>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</si>
  <si>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</si>
  <si>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</si>
  <si>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</si>
  <si>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</si>
  <si>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</si>
  <si>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</si>
  <si>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</si>
  <si>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</si>
  <si>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</si>
  <si>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</si>
  <si>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</si>
  <si>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</si>
  <si>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</si>
  <si>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</si>
  <si>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</si>
  <si>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</si>
  <si>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</si>
  <si>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</si>
  <si>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</si>
  <si>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</si>
  <si>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</si>
  <si>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</si>
  <si>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</si>
  <si>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</si>
  <si>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</si>
  <si>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</si>
  <si>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</si>
  <si>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</si>
  <si>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</si>
  <si>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</si>
  <si>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</si>
  <si>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</si>
  <si>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</si>
  <si>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</si>
  <si>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</si>
  <si>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</si>
  <si>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</si>
  <si>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</si>
  <si>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</si>
  <si>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</si>
  <si>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</si>
  <si>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</si>
  <si>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</si>
  <si>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</si>
  <si>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</si>
  <si>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</si>
  <si>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</si>
  <si>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</si>
  <si>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</si>
  <si>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</si>
  <si>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</si>
  <si>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</si>
  <si>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</si>
  <si>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</si>
  <si>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</si>
  <si>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</si>
  <si>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</si>
  <si>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</si>
  <si>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</si>
  <si>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</si>
  <si>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</si>
  <si>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</si>
  <si>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</si>
  <si>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</si>
  <si>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</si>
  <si>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</si>
  <si>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</si>
  <si>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</si>
  <si>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</si>
  <si>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</si>
  <si>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</si>
  <si>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</si>
  <si>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</si>
  <si>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</si>
  <si>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</si>
  <si>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</si>
  <si>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</si>
  <si>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</si>
  <si>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</si>
  <si>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</si>
  <si>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</si>
  <si>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</si>
  <si>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</si>
  <si>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</si>
  <si>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</si>
  <si>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</si>
  <si>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</si>
  <si>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</si>
  <si>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</si>
  <si>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</si>
  <si>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</si>
  <si>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</si>
  <si>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</si>
  <si>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</si>
  <si>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</si>
  <si>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</si>
  <si>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</si>
  <si>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</si>
  <si>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</si>
  <si>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</si>
  <si>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</si>
  <si>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</si>
  <si>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</si>
  <si>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</si>
  <si>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</si>
  <si>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</si>
  <si>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</si>
  <si>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</si>
  <si>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</si>
  <si>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</si>
  <si>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</si>
  <si>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</si>
  <si>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</si>
  <si>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</si>
  <si>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</si>
  <si>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</si>
  <si>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</si>
  <si>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</si>
  <si>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</si>
  <si>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</si>
  <si>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</si>
  <si>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</si>
  <si>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</si>
  <si>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</si>
  <si>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</si>
  <si>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</si>
  <si>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</si>
  <si>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</si>
  <si>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</si>
  <si>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</si>
  <si>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</si>
  <si>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</si>
  <si>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</si>
  <si>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</si>
  <si>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</si>
  <si>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</si>
  <si>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</si>
  <si>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</si>
  <si>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</si>
  <si>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</si>
  <si>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</si>
  <si>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</si>
  <si>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</si>
  <si>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</si>
  <si>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</si>
  <si>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</si>
  <si>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</si>
  <si>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</si>
  <si>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</si>
  <si>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</si>
  <si>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</si>
  <si>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</si>
  <si>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</si>
  <si>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</si>
  <si>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</si>
  <si>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</si>
  <si>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</si>
  <si>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</si>
  <si>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</si>
  <si>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</si>
  <si>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</si>
  <si>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</si>
  <si>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</si>
  <si>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</si>
  <si>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</si>
  <si>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</si>
  <si>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</si>
  <si>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</si>
  <si>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</si>
  <si>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</si>
  <si>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</si>
  <si>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</si>
  <si>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</si>
  <si>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</si>
  <si>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</si>
  <si>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</si>
  <si>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</si>
  <si>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</si>
  <si>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</si>
  <si>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</si>
  <si>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</si>
  <si>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</si>
  <si>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</si>
  <si>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</si>
  <si>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</si>
  <si>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</si>
  <si>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</si>
  <si>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</si>
  <si>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</si>
  <si>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</si>
  <si>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</si>
  <si>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</si>
  <si>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</si>
  <si>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</si>
  <si>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</si>
  <si>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</si>
  <si>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</si>
  <si>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</si>
  <si>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</si>
  <si>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</si>
  <si>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</si>
  <si>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</si>
  <si>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</si>
  <si>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</si>
  <si>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</si>
  <si>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</si>
  <si>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</si>
  <si>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</si>
  <si>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</si>
  <si>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</si>
  <si>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</si>
  <si>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</si>
  <si>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</si>
  <si>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</si>
  <si>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</si>
  <si>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</si>
  <si>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</si>
  <si>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</si>
  <si>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</si>
  <si>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</si>
  <si>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</si>
  <si>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</si>
  <si>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</si>
  <si>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</si>
  <si>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</si>
  <si>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</si>
  <si>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</si>
  <si>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</si>
  <si>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</si>
  <si>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</si>
  <si>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</si>
  <si>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</si>
  <si>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</si>
  <si>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</si>
  <si>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</si>
  <si>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</si>
  <si>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</si>
  <si>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</si>
  <si>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</si>
  <si>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</si>
  <si>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</si>
  <si>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</si>
  <si>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</si>
  <si>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</si>
  <si>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</si>
  <si>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</si>
  <si>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</si>
  <si>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</si>
  <si>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</si>
  <si>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</si>
  <si>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</si>
  <si>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</si>
  <si>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</si>
  <si>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</si>
  <si>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</si>
  <si>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</si>
  <si>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</si>
  <si>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</si>
  <si>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</si>
  <si>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</si>
  <si>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</si>
  <si>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</si>
  <si>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</si>
  <si>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</si>
  <si>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</si>
  <si>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</si>
  <si>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</si>
  <si>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</si>
  <si>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</si>
  <si>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</si>
  <si>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</si>
  <si>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</si>
  <si>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</si>
  <si>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</si>
  <si>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</si>
  <si>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</si>
  <si>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</si>
  <si>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</si>
  <si>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</si>
  <si>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</si>
  <si>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</si>
  <si>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</si>
  <si>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</si>
  <si>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</si>
  <si>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</si>
  <si>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</si>
  <si>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</si>
  <si>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</si>
  <si>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</si>
  <si>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</si>
  <si>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</si>
  <si>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</si>
  <si>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</si>
  <si>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</si>
  <si>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</si>
  <si>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</si>
  <si>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</si>
  <si>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</si>
  <si>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</si>
  <si>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</si>
  <si>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</si>
  <si>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</si>
  <si>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</si>
  <si>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</si>
  <si>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</si>
  <si>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</si>
  <si>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</si>
  <si>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</si>
  <si>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</si>
  <si>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</si>
  <si>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</si>
  <si>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</si>
  <si>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</si>
  <si>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</si>
  <si>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</si>
  <si>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</si>
  <si>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</si>
  <si>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</si>
  <si>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</si>
  <si>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</si>
  <si>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</si>
  <si>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</si>
  <si>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</si>
  <si>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</si>
  <si>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</si>
  <si>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</si>
  <si>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</si>
  <si>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</si>
  <si>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</si>
  <si>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</si>
  <si>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</si>
  <si>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</si>
  <si>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</si>
  <si>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</si>
  <si>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</si>
  <si>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</si>
  <si>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</si>
  <si>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</si>
  <si>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</si>
  <si>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</si>
  <si>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</si>
  <si>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</si>
  <si>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</si>
  <si>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</si>
  <si>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</si>
  <si>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</si>
  <si>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</si>
  <si>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</si>
  <si>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</si>
  <si>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</si>
  <si>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</si>
  <si>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</si>
  <si>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</si>
  <si>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</si>
  <si>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</si>
  <si>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</si>
  <si>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</si>
  <si>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</si>
  <si>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</si>
  <si>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</si>
  <si>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</si>
  <si>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</si>
  <si>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</si>
  <si>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</si>
  <si>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</si>
  <si>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</si>
  <si>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</si>
  <si>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</si>
  <si>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</si>
  <si>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</si>
  <si>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</si>
  <si>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</si>
  <si>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</si>
  <si>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</si>
  <si>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</si>
  <si>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</si>
  <si>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</si>
  <si>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</si>
  <si>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</si>
  <si>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</si>
  <si>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</si>
  <si>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</si>
  <si>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</si>
  <si>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</si>
  <si>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</si>
  <si>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</si>
  <si>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</si>
  <si>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</si>
  <si>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</si>
  <si>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</si>
  <si>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</si>
  <si>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</si>
  <si>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</si>
  <si>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</si>
  <si>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</si>
  <si>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</si>
  <si>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</si>
  <si>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</si>
  <si>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</si>
  <si>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</si>
  <si>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</si>
  <si>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</si>
  <si>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</si>
  <si>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</si>
  <si>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</si>
  <si>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</si>
  <si>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</si>
  <si>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</si>
  <si>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</si>
  <si>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</si>
  <si>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</si>
  <si>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</si>
  <si>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</si>
  <si>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</si>
  <si>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</si>
  <si>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</si>
  <si>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</si>
  <si>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</si>
  <si>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</si>
  <si>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</si>
  <si>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</si>
  <si>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</si>
  <si>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</si>
  <si>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</si>
  <si>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</si>
  <si>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</si>
  <si>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</si>
  <si>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</si>
  <si>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</si>
  <si>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</si>
  <si>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</si>
  <si>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</si>
  <si>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</si>
  <si>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</si>
  <si>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</si>
  <si>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</si>
  <si>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</si>
  <si>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</si>
  <si>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</si>
  <si>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</si>
  <si>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</si>
  <si>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</si>
  <si>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</si>
  <si>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</si>
  <si>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</si>
  <si>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</si>
  <si>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</si>
  <si>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</si>
  <si>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</si>
  <si>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</si>
  <si>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</si>
  <si>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</si>
  <si>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</si>
  <si>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</si>
  <si>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</si>
  <si>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</si>
  <si>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</si>
  <si>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</si>
  <si>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</si>
  <si>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</si>
  <si>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</si>
  <si>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</si>
  <si>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</si>
  <si>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</si>
  <si>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</si>
  <si>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</si>
  <si>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</si>
  <si>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</si>
  <si>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</si>
  <si>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</si>
  <si>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</si>
  <si>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</si>
  <si>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</si>
  <si>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</si>
  <si>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</si>
  <si>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</si>
  <si>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</si>
  <si>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</si>
  <si>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</si>
  <si>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</si>
  <si>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</si>
  <si>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</si>
  <si>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</si>
  <si>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</si>
  <si>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</si>
  <si>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</si>
  <si>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</si>
  <si>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</si>
  <si>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</si>
  <si>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</si>
  <si>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</si>
  <si>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</si>
  <si>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</si>
  <si>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</si>
  <si>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</si>
  <si>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</si>
  <si>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</si>
  <si>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</si>
  <si>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</si>
  <si>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</si>
  <si>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</si>
  <si>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</si>
  <si>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</si>
  <si>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</si>
  <si>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</si>
  <si>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</si>
  <si>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</si>
  <si>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</si>
  <si>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</si>
  <si>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</si>
  <si>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</si>
  <si>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</si>
  <si>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</si>
  <si>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</si>
  <si>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</si>
  <si>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</si>
  <si>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</si>
  <si>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</si>
  <si>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</si>
  <si>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</si>
  <si>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</si>
  <si>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</si>
  <si>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</si>
  <si>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</si>
  <si>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</si>
  <si>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</si>
  <si>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</si>
  <si>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</si>
  <si>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</si>
  <si>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</si>
  <si>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</si>
  <si>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</si>
  <si>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</si>
  <si>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</si>
  <si>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</si>
  <si>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</si>
  <si>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</si>
  <si>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</si>
  <si>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</si>
  <si>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</si>
  <si>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</si>
  <si>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</si>
  <si>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</si>
  <si>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</si>
  <si>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</si>
  <si>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</si>
  <si>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</si>
  <si>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</si>
  <si>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</si>
  <si>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</si>
  <si>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</si>
  <si>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</si>
  <si>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</si>
  <si>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</si>
  <si>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</si>
  <si>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</si>
  <si>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</si>
  <si>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</si>
  <si>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</si>
  <si>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</si>
  <si>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</si>
  <si>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</si>
  <si>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</si>
  <si>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</si>
  <si>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</si>
  <si>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</si>
  <si>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</si>
  <si>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</si>
  <si>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</si>
  <si>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</si>
  <si>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</si>
  <si>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</si>
  <si>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</si>
  <si>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</si>
  <si>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</si>
  <si>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</si>
  <si>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</si>
  <si>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</si>
  <si>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</si>
  <si>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</si>
  <si>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</si>
  <si>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</si>
  <si>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</si>
  <si>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</si>
  <si>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</si>
  <si>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</si>
  <si>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10/12/2026: Đã comment
10/13/2026: Đã gửi comment qua CNC</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</si>
  <si>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</si>
  <si>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</si>
  <si>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</si>
  <si>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</si>
  <si>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</si>
  <si>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</si>
  <si>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</si>
  <si>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101/14/2026: Đã comment</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</si>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</sst>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39"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9" fillId="0" borderId="1" xfId="0" applyFont="1" applyBorder="1" applyAlignment="1">
      <alignment horizontal="left"/>
    </xf>
    <xf numFmtId="0" fontId="9" fillId="0" borderId="10"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58"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printerSettings" Target="../printerSettings/printerSettings1.bin"/><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printerSettings" Target="../printerSettings/printerSettings2.bin"/><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printerSettings" Target="../printerSettings/printerSettings3.bin"/><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2"/>
  <sheetViews>
    <sheetView tabSelected="1" zoomScale="85" zoomScaleNormal="85" zoomScaleSheetLayoutView="115" workbookViewId="0">
      <pane xSplit="6" ySplit="6" topLeftCell="G134" activePane="bottomRight" state="frozen"/>
      <selection pane="topRight" activeCell="D1" sqref="D1"/>
      <selection pane="bottomLeft" activeCell="A7" sqref="A7"/>
      <selection pane="bottomRight" activeCell="V140" sqref="V140"/>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46310</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50" t="s">
        <v>0</v>
      </c>
      <c r="B4" s="406" t="s">
        <v>515</v>
      </c>
      <c r="C4" s="359" t="s">
        <v>45</v>
      </c>
      <c r="D4" s="352" t="s">
        <v>95</v>
      </c>
      <c r="E4" s="348" t="s">
        <v>46</v>
      </c>
      <c r="F4" s="357" t="s">
        <v>47</v>
      </c>
      <c r="G4" s="348" t="s">
        <v>4</v>
      </c>
      <c r="H4" s="355" t="s">
        <v>5</v>
      </c>
      <c r="I4" s="352" t="s">
        <v>48</v>
      </c>
      <c r="J4" s="352" t="s">
        <v>49</v>
      </c>
      <c r="K4" s="348" t="s">
        <v>78</v>
      </c>
      <c r="L4" s="352" t="s">
        <v>80</v>
      </c>
      <c r="M4" s="363" t="s">
        <v>53</v>
      </c>
      <c r="N4" s="364"/>
      <c r="O4" s="363" t="s">
        <v>55</v>
      </c>
      <c r="P4" s="364"/>
      <c r="Q4" s="362" t="s">
        <v>72</v>
      </c>
      <c r="R4" s="364"/>
      <c r="S4" s="363" t="s">
        <v>53</v>
      </c>
      <c r="T4" s="363"/>
      <c r="U4" s="364"/>
      <c r="V4" s="362" t="s">
        <v>55</v>
      </c>
      <c r="W4" s="363"/>
      <c r="X4" s="364"/>
      <c r="Y4" s="415" t="s">
        <v>72</v>
      </c>
      <c r="Z4" s="416"/>
      <c r="AA4" s="412" t="s">
        <v>112</v>
      </c>
      <c r="AB4" s="413"/>
      <c r="AC4" s="413"/>
      <c r="AD4" s="414"/>
      <c r="AE4" s="348" t="s">
        <v>79</v>
      </c>
      <c r="AG4" s="236"/>
    </row>
    <row r="5" spans="1:35" ht="78.75">
      <c r="A5" s="351"/>
      <c r="B5" s="407"/>
      <c r="C5" s="360"/>
      <c r="D5" s="353"/>
      <c r="E5" s="354"/>
      <c r="F5" s="358"/>
      <c r="G5" s="354"/>
      <c r="H5" s="356"/>
      <c r="I5" s="353"/>
      <c r="J5" s="353"/>
      <c r="K5" s="354"/>
      <c r="L5" s="353"/>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1"/>
      <c r="AG5" s="348" t="s">
        <v>119</v>
      </c>
      <c r="AH5" s="348" t="s">
        <v>120</v>
      </c>
      <c r="AI5" s="348"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349"/>
      <c r="AH6" s="349"/>
      <c r="AI6" s="34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_xlfn._xlws.FILTER($AG$7:$AG$4577,$L$7:$L$4577&lt;&gt;"X"),
_xlfn._xlws.FILTER($E$7:$E$4577,$L$7:$L$4577&lt;&gt;"X"),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_xlfn._xlws.FILTER($AG$7:$AG$4577,$L$7:$L$4577&lt;&gt;"X"),
_xlfn._xlws.FILTER($E$7:$E$4577,$L$7:$L$4577&lt;&gt;"X"),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_xlfn._xlws.FILTER($AG$7:$AG$4577,$L$7:$L$4577&lt;&gt;"X"),
_xlfn._xlws.FILTER($E$7:$E$4577,$L$7:$L$4577&lt;&gt;"X"),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_xlfn._xlws.FILTER($AG$7:$AG$4577,$L$7:$L$4577&lt;&gt;"X"),
_xlfn._xlws.FILTER($E$7:$E$4577,$L$7:$L$4577&lt;&gt;"X"),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_xlfn._xlws.FILTER($AG$7:$AG$4577,$L$7:$L$4577&lt;&gt;"X"),
_xlfn._xlws.FILTER($E$7:$E$4577,$L$7:$L$4577&lt;&gt;"X"),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_xlfn._xlws.FILTER($AG$7:$AG$4577,$L$7:$L$4577&lt;&gt;"X"),
_xlfn._xlws.FILTER($E$7:$E$4577,$L$7:$L$4577&lt;&gt;"X"),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_xlfn._xlws.FILTER($AG$7:$AG$4577,$L$7:$L$4577&lt;&gt;"X"),
_xlfn._xlws.FILTER($E$7:$E$4577,$L$7:$L$4577&lt;&gt;"X"),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847</v>
      </c>
      <c r="AE14" s="92"/>
      <c r="AG14" s="238" t="str">
        <f t="shared" si="8"/>
        <v>LTIA-5.10-VIETUR-70000-RFA-MAS-0088</v>
      </c>
      <c r="AH14" s="243" t="b" cm="1">
        <f t="array" ref="AH14">$E14=_xlfn.XLOOKUP(
AG14,
_xlfn._xlws.FILTER($AG$7:$AG$4577,$L$7:$L$4577&lt;&gt;"X"),
_xlfn._xlws.FILTER($E$7:$E$4577,$L$7:$L$4577&lt;&gt;"X"),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812</v>
      </c>
      <c r="AE15" s="92"/>
      <c r="AG15" s="238" t="str">
        <f t="shared" si="8"/>
        <v>LTIA-5.10-VIETUR-70000-RFA-MAS-0248</v>
      </c>
      <c r="AH15" s="243" t="b" cm="1">
        <f t="array" ref="AH15">$E15=_xlfn.XLOOKUP(
AG15,
_xlfn._xlws.FILTER($AG$7:$AG$4577,$L$7:$L$4577&lt;&gt;"X"),
_xlfn._xlws.FILTER($E$7:$E$4577,$L$7:$L$4577&lt;&gt;"X"),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_xlfn._xlws.FILTER($AG$7:$AG$4577,$L$7:$L$4577&lt;&gt;"X"),
_xlfn._xlws.FILTER($E$7:$E$4577,$L$7:$L$4577&lt;&gt;"X"),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_xlfn._xlws.FILTER($AG$7:$AG$4577,$L$7:$L$4577&lt;&gt;"X"),
_xlfn._xlws.FILTER($E$7:$E$4577,$L$7:$L$4577&lt;&gt;"X"),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_xlfn._xlws.FILTER($AG$7:$AG$4577,$L$7:$L$4577&lt;&gt;"X"),
_xlfn._xlws.FILTER($E$7:$E$4577,$L$7:$L$4577&lt;&gt;"X"),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_xlfn._xlws.FILTER($AG$7:$AG$4577,$L$7:$L$4577&lt;&gt;"X"),
_xlfn._xlws.FILTER($E$7:$E$4577,$L$7:$L$4577&lt;&gt;"X"),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_xlfn._xlws.FILTER($AG$7:$AG$4577,$L$7:$L$4577&lt;&gt;"X"),
_xlfn._xlws.FILTER($E$7:$E$4577,$L$7:$L$4577&lt;&gt;"X"),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_xlfn._xlws.FILTER($AG$7:$AG$4577,$L$7:$L$4577&lt;&gt;"X"),
_xlfn._xlws.FILTER($E$7:$E$4577,$L$7:$L$4577&lt;&gt;"X"),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_xlfn._xlws.FILTER($AG$7:$AG$4577,$L$7:$L$4577&lt;&gt;"X"),
_xlfn._xlws.FILTER($E$7:$E$4577,$L$7:$L$4577&lt;&gt;"X"),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_xlfn._xlws.FILTER($AG$7:$AG$4577,$L$7:$L$4577&lt;&gt;"X"),
_xlfn._xlws.FILTER($E$7:$E$4577,$L$7:$L$4577&lt;&gt;"X"),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_xlfn._xlws.FILTER($AG$7:$AG$4577,$L$7:$L$4577&lt;&gt;"X"),
_xlfn._xlws.FILTER($E$7:$E$4577,$L$7:$L$4577&lt;&gt;"X"),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_xlfn._xlws.FILTER($AG$7:$AG$4577,$L$7:$L$4577&lt;&gt;"X"),
_xlfn._xlws.FILTER($E$7:$E$4577,$L$7:$L$4577&lt;&gt;"X"),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_xlfn._xlws.FILTER($AG$7:$AG$4577,$L$7:$L$4577&lt;&gt;"X"),
_xlfn._xlws.FILTER($E$7:$E$4577,$L$7:$L$4577&lt;&gt;"X"),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_xlfn._xlws.FILTER($AG$7:$AG$4577,$L$7:$L$4577&lt;&gt;"X"),
_xlfn._xlws.FILTER($E$7:$E$4577,$L$7:$L$4577&lt;&gt;"X"),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_xlfn._xlws.FILTER($AG$7:$AG$4577,$L$7:$L$4577&lt;&gt;"X"),
_xlfn._xlws.FILTER($E$7:$E$4577,$L$7:$L$4577&lt;&gt;"X"),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_xlfn._xlws.FILTER($AG$7:$AG$4577,$L$7:$L$4577&lt;&gt;"X"),
_xlfn._xlws.FILTER($E$7:$E$4577,$L$7:$L$4577&lt;&gt;"X"),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_xlfn._xlws.FILTER($AG$7:$AG$4577,$L$7:$L$4577&lt;&gt;"X"),
_xlfn._xlws.FILTER($E$7:$E$4577,$L$7:$L$4577&lt;&gt;"X"),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_xlfn._xlws.FILTER($AG$7:$AG$4577,$L$7:$L$4577&lt;&gt;"X"),
_xlfn._xlws.FILTER($E$7:$E$4577,$L$7:$L$4577&lt;&gt;"X"),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_xlfn._xlws.FILTER($AG$7:$AG$4577,$L$7:$L$4577&lt;&gt;"X"),
_xlfn._xlws.FILTER($E$7:$E$4577,$L$7:$L$4577&lt;&gt;"X"),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_xlfn._xlws.FILTER($AG$7:$AG$4577,$L$7:$L$4577&lt;&gt;"X"),
_xlfn._xlws.FILTER($E$7:$E$4577,$L$7:$L$4577&lt;&gt;"X"),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_xlfn._xlws.FILTER($AG$7:$AG$4577,$L$7:$L$4577&lt;&gt;"X"),
_xlfn._xlws.FILTER($E$7:$E$4577,$L$7:$L$4577&lt;&gt;"X"),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_xlfn._xlws.FILTER($AG$7:$AG$4577,$L$7:$L$4577&lt;&gt;"X"),
_xlfn._xlws.FILTER($E$7:$E$4577,$L$7:$L$4577&lt;&gt;"X"),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_xlfn._xlws.FILTER($AG$7:$AG$4577,$L$7:$L$4577&lt;&gt;"X"),
_xlfn._xlws.FILTER($E$7:$E$4577,$L$7:$L$4577&lt;&gt;"X"),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_xlfn._xlws.FILTER($AG$7:$AG$4577,$L$7:$L$4577&lt;&gt;"X"),
_xlfn._xlws.FILTER($E$7:$E$4577,$L$7:$L$4577&lt;&gt;"X"),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_xlfn._xlws.FILTER($AG$7:$AG$4577,$L$7:$L$4577&lt;&gt;"X"),
_xlfn._xlws.FILTER($E$7:$E$4577,$L$7:$L$4577&lt;&gt;"X"),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_xlfn._xlws.FILTER($AG$7:$AG$4577,$L$7:$L$4577&lt;&gt;"X"),
_xlfn._xlws.FILTER($E$7:$E$4577,$L$7:$L$4577&lt;&gt;"X"),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_xlfn._xlws.FILTER($AG$7:$AG$4577,$L$7:$L$4577&lt;&gt;"X"),
_xlfn._xlws.FILTER($E$7:$E$4577,$L$7:$L$4577&lt;&gt;"X"),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_xlfn._xlws.FILTER($AG$7:$AG$4577,$L$7:$L$4577&lt;&gt;"X"),
_xlfn._xlws.FILTER($E$7:$E$4577,$L$7:$L$4577&lt;&gt;"X"),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_xlfn._xlws.FILTER($AG$7:$AG$4577,$L$7:$L$4577&lt;&gt;"X"),
_xlfn._xlws.FILTER($E$7:$E$4577,$L$7:$L$4577&lt;&gt;"X"),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_xlfn._xlws.FILTER($AG$7:$AG$4577,$L$7:$L$4577&lt;&gt;"X"),
_xlfn._xlws.FILTER($E$7:$E$4577,$L$7:$L$4577&lt;&gt;"X"),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510</v>
      </c>
      <c r="AE44" s="92"/>
      <c r="AG44" s="238" t="str">
        <f t="shared" si="14"/>
        <v>LTIA-5.10-VIETUR-70000-RFA-OTH-0432</v>
      </c>
      <c r="AH44" s="243" t="b" cm="1">
        <f t="array" ref="AH44">$E44=_xlfn.XLOOKUP(
AG44,
_xlfn._xlws.FILTER($AG$7:$AG$4577,$L$7:$L$4577&lt;&gt;"X"),
_xlfn._xlws.FILTER($E$7:$E$4577,$L$7:$L$4577&lt;&gt;"X"),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_xlfn._xlws.FILTER($AG$7:$AG$4577,$L$7:$L$4577&lt;&gt;"X"),
_xlfn._xlws.FILTER($E$7:$E$4577,$L$7:$L$4577&lt;&gt;"X"),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391</v>
      </c>
      <c r="AE46" s="92"/>
      <c r="AG46" s="238" t="str">
        <f t="shared" si="14"/>
        <v>LTIA-5.10-VIETUR-70000-RFA-MAS-0277</v>
      </c>
      <c r="AH46" s="243" t="b" cm="1">
        <f t="array" ref="AH46">$E46=_xlfn.XLOOKUP(
AG46,
_xlfn._xlws.FILTER($AG$7:$AG$4577,$L$7:$L$4577&lt;&gt;"X"),
_xlfn._xlws.FILTER($E$7:$E$4577,$L$7:$L$4577&lt;&gt;"X"),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_xlfn._xlws.FILTER($AG$7:$AG$4577,$L$7:$L$4577&lt;&gt;"X"),
_xlfn._xlws.FILTER($E$7:$E$4577,$L$7:$L$4577&lt;&gt;"X"),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_xlfn._xlws.FILTER($AG$7:$AG$4577,$L$7:$L$4577&lt;&gt;"X"),
_xlfn._xlws.FILTER($E$7:$E$4577,$L$7:$L$4577&lt;&gt;"X"),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_xlfn._xlws.FILTER($AG$7:$AG$4577,$L$7:$L$4577&lt;&gt;"X"),
_xlfn._xlws.FILTER($E$7:$E$4577,$L$7:$L$4577&lt;&gt;"X"),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331</v>
      </c>
      <c r="AE50" s="92"/>
      <c r="AG50" s="238" t="str">
        <f t="shared" si="14"/>
        <v>LTIA-5.10-VIETUR-70000-RFA-OTH-0523</v>
      </c>
      <c r="AH50" s="243" t="b" cm="1">
        <f t="array" ref="AH50">$E50=_xlfn.XLOOKUP(
AG50,
_xlfn._xlws.FILTER($AG$7:$AG$4577,$L$7:$L$4577&lt;&gt;"X"),
_xlfn._xlws.FILTER($E$7:$E$4577,$L$7:$L$4577&lt;&gt;"X"),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428</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_xlfn._xlws.FILTER($AG$7:$AG$4577,$L$7:$L$4577&lt;&gt;"X"),
_xlfn._xlws.FILTER($E$7:$E$4577,$L$7:$L$4577&lt;&gt;"X"),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_xlfn._xlws.FILTER($AG$7:$AG$4577,$L$7:$L$4577&lt;&gt;"X"),
_xlfn._xlws.FILTER($E$7:$E$4577,$L$7:$L$4577&lt;&gt;"X"),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_xlfn._xlws.FILTER($AG$7:$AG$4577,$L$7:$L$4577&lt;&gt;"X"),
_xlfn._xlws.FILTER($E$7:$E$4577,$L$7:$L$4577&lt;&gt;"X"),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_xlfn._xlws.FILTER($AG$7:$AG$4577,$L$7:$L$4577&lt;&gt;"X"),
_xlfn._xlws.FILTER($E$7:$E$4577,$L$7:$L$4577&lt;&gt;"X"),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_xlfn._xlws.FILTER($AG$7:$AG$4577,$L$7:$L$4577&lt;&gt;"X"),
_xlfn._xlws.FILTER($E$7:$E$4577,$L$7:$L$4577&lt;&gt;"X"),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_xlfn._xlws.FILTER($AG$7:$AG$4577,$L$7:$L$4577&lt;&gt;"X"),
_xlfn._xlws.FILTER($E$7:$E$4577,$L$7:$L$4577&lt;&gt;"X"),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_xlfn._xlws.FILTER($AG$7:$AG$4577,$L$7:$L$4577&lt;&gt;"X"),
_xlfn._xlws.FILTER($E$7:$E$4577,$L$7:$L$4577&lt;&gt;"X"),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308</v>
      </c>
      <c r="AE58" s="92"/>
      <c r="AG58" s="238" t="str">
        <f t="shared" si="14"/>
        <v>LTIA-5.10-VIETUR-70000-RFA-OTH-0589</v>
      </c>
      <c r="AH58" s="243" t="b" cm="1">
        <f t="array" ref="AH58">$E58=_xlfn.XLOOKUP(
AG58,
_xlfn._xlws.FILTER($AG$7:$AG$4577,$L$7:$L$4577&lt;&gt;"X"),
_xlfn._xlws.FILTER($E$7:$E$4577,$L$7:$L$4577&lt;&gt;"X"),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359</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_xlfn._xlws.FILTER($AG$7:$AG$4577,$L$7:$L$4577&lt;&gt;"X"),
_xlfn._xlws.FILTER($E$7:$E$4577,$L$7:$L$4577&lt;&gt;"X"),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_xlfn._xlws.FILTER($AG$7:$AG$4577,$L$7:$L$4577&lt;&gt;"X"),
_xlfn._xlws.FILTER($E$7:$E$4577,$L$7:$L$4577&lt;&gt;"X"),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303</v>
      </c>
      <c r="AE61" s="92"/>
      <c r="AG61" s="238" t="str">
        <f t="shared" si="14"/>
        <v>LTIA-5.10-VIETUR-70000-RFA-MAS-0706</v>
      </c>
      <c r="AH61" s="243" t="b" cm="1">
        <f t="array" ref="AH61">$E61=_xlfn.XLOOKUP(
AG61,
_xlfn._xlws.FILTER($AG$7:$AG$4577,$L$7:$L$4577&lt;&gt;"X"),
_xlfn._xlws.FILTER($E$7:$E$4577,$L$7:$L$4577&lt;&gt;"X"),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_xlfn._xlws.FILTER($AG$7:$AG$4577,$L$7:$L$4577&lt;&gt;"X"),
_xlfn._xlws.FILTER($E$7:$E$4577,$L$7:$L$4577&lt;&gt;"X"),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_xlfn._xlws.FILTER($AG$7:$AG$4577,$L$7:$L$4577&lt;&gt;"X"),
_xlfn._xlws.FILTER($E$7:$E$4577,$L$7:$L$4577&lt;&gt;"X"),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_xlfn._xlws.FILTER($AG$7:$AG$4577,$L$7:$L$4577&lt;&gt;"X"),
_xlfn._xlws.FILTER($E$7:$E$4577,$L$7:$L$4577&lt;&gt;"X"),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_xlfn._xlws.FILTER($AG$7:$AG$4577,$L$7:$L$4577&lt;&gt;"X"),
_xlfn._xlws.FILTER($E$7:$E$4577,$L$7:$L$4577&lt;&gt;"X"),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_xlfn._xlws.FILTER($AG$7:$AG$4577,$L$7:$L$4577&lt;&gt;"X"),
_xlfn._xlws.FILTER($E$7:$E$4577,$L$7:$L$4577&lt;&gt;"X"),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_xlfn._xlws.FILTER($AG$7:$AG$4577,$L$7:$L$4577&lt;&gt;"X"),
_xlfn._xlws.FILTER($E$7:$E$4577,$L$7:$L$4577&lt;&gt;"X"),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140</v>
      </c>
      <c r="AE68" s="92"/>
      <c r="AG68" s="238" t="str">
        <f t="shared" si="14"/>
        <v>LTIA-5.10-VIETUR-70000-RFA-OTH-0654</v>
      </c>
      <c r="AH68" s="243" t="b" cm="1">
        <f t="array" ref="AH68">$E68=_xlfn.XLOOKUP(
AG68,
_xlfn._xlws.FILTER($AG$7:$AG$4577,$L$7:$L$4577&lt;&gt;"X"),
_xlfn._xlws.FILTER($E$7:$E$4577,$L$7:$L$4577&lt;&gt;"X"),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_xlfn._xlws.FILTER($AG$7:$AG$4577,$L$7:$L$4577&lt;&gt;"X"),
_xlfn._xlws.FILTER($E$7:$E$4577,$L$7:$L$4577&lt;&gt;"X"),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_xlfn._xlws.FILTER($AG$7:$AG$4577,$L$7:$L$4577&lt;&gt;"X"),
_xlfn._xlws.FILTER($E$7:$E$4577,$L$7:$L$4577&lt;&gt;"X"),
"",
0,
-1
)</f>
        <v>1</v>
      </c>
      <c r="AI70" s="75" t="str">
        <f t="shared" si="9"/>
        <v/>
      </c>
    </row>
    <row r="71" spans="1:35" s="9" customFormat="1" ht="47.25">
      <c r="A71" s="33">
        <f t="shared" ref="A71:A140"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_xlfn._xlws.FILTER($AG$7:$AG$4577,$L$7:$L$4577&lt;&gt;"X"),
_xlfn._xlws.FILTER($E$7:$E$4577,$L$7:$L$4577&lt;&gt;"X"),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_xlfn._xlws.FILTER($AG$7:$AG$4577,$L$7:$L$4577&lt;&gt;"X"),
_xlfn._xlws.FILTER($E$7:$E$4577,$L$7:$L$4577&lt;&gt;"X"),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_xlfn._xlws.FILTER($AG$7:$AG$4577,$L$7:$L$4577&lt;&gt;"X"),
_xlfn._xlws.FILTER($E$7:$E$4577,$L$7:$L$4577&lt;&gt;"X"),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_xlfn._xlws.FILTER($AG$7:$AG$4577,$L$7:$L$4577&lt;&gt;"X"),
_xlfn._xlws.FILTER($E$7:$E$4577,$L$7:$L$4577&lt;&gt;"X"),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_xlfn._xlws.FILTER($AG$7:$AG$4577,$L$7:$L$4577&lt;&gt;"X"),
_xlfn._xlws.FILTER($E$7:$E$4577,$L$7:$L$4577&lt;&gt;"X"),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_xlfn._xlws.FILTER($AG$7:$AG$4577,$L$7:$L$4577&lt;&gt;"X"),
_xlfn._xlws.FILTER($E$7:$E$4577,$L$7:$L$4577&lt;&gt;"X"),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_xlfn._xlws.FILTER($AG$7:$AG$4577,$L$7:$L$4577&lt;&gt;"X"),
_xlfn._xlws.FILTER($E$7:$E$4577,$L$7:$L$4577&lt;&gt;"X"),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_xlfn._xlws.FILTER($AG$7:$AG$4577,$L$7:$L$4577&lt;&gt;"X"),
_xlfn._xlws.FILTER($E$7:$E$4577,$L$7:$L$4577&lt;&gt;"X"),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_xlfn._xlws.FILTER($AG$7:$AG$4577,$L$7:$L$4577&lt;&gt;"X"),
_xlfn._xlws.FILTER($E$7:$E$4577,$L$7:$L$4577&lt;&gt;"X"),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_xlfn._xlws.FILTER($AG$7:$AG$4577,$L$7:$L$4577&lt;&gt;"X"),
_xlfn._xlws.FILTER($E$7:$E$4577,$L$7:$L$4577&lt;&gt;"X"),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_xlfn._xlws.FILTER($AG$7:$AG$4577,$L$7:$L$4577&lt;&gt;"X"),
_xlfn._xlws.FILTER($E$7:$E$4577,$L$7:$L$4577&lt;&gt;"X"),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_xlfn._xlws.FILTER($AG$7:$AG$4577,$L$7:$L$4577&lt;&gt;"X"),
_xlfn._xlws.FILTER($E$7:$E$4577,$L$7:$L$4577&lt;&gt;"X"),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_xlfn._xlws.FILTER($AG$7:$AG$4577,$L$7:$L$4577&lt;&gt;"X"),
_xlfn._xlws.FILTER($E$7:$E$4577,$L$7:$L$4577&lt;&gt;"X"),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_xlfn._xlws.FILTER($AG$7:$AG$4577,$L$7:$L$4577&lt;&gt;"X"),
_xlfn._xlws.FILTER($E$7:$E$4577,$L$7:$L$4577&lt;&gt;"X"),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_xlfn._xlws.FILTER($AG$7:$AG$4577,$L$7:$L$4577&lt;&gt;"X"),
_xlfn._xlws.FILTER($E$7:$E$4577,$L$7:$L$4577&lt;&gt;"X"),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_xlfn._xlws.FILTER($AG$7:$AG$4577,$L$7:$L$4577&lt;&gt;"X"),
_xlfn._xlws.FILTER($E$7:$E$4577,$L$7:$L$4577&lt;&gt;"X"),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_xlfn._xlws.FILTER($AG$7:$AG$4577,$L$7:$L$4577&lt;&gt;"X"),
_xlfn._xlws.FILTER($E$7:$E$4577,$L$7:$L$4577&lt;&gt;"X"),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_xlfn._xlws.FILTER($AG$7:$AG$4577,$L$7:$L$4577&lt;&gt;"X"),
_xlfn._xlws.FILTER($E$7:$E$4577,$L$7:$L$4577&lt;&gt;"X"),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_xlfn._xlws.FILTER($AG$7:$AG$4577,$L$7:$L$4577&lt;&gt;"X"),
_xlfn._xlws.FILTER($E$7:$E$4577,$L$7:$L$4577&lt;&gt;"X"),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_xlfn._xlws.FILTER($AG$7:$AG$4577,$L$7:$L$4577&lt;&gt;"X"),
_xlfn._xlws.FILTER($E$7:$E$4577,$L$7:$L$4577&lt;&gt;"X"),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_xlfn._xlws.FILTER($AG$7:$AG$4577,$L$7:$L$4577&lt;&gt;"X"),
_xlfn._xlws.FILTER($E$7:$E$4577,$L$7:$L$4577&lt;&gt;"X"),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150</v>
      </c>
      <c r="K92" s="47">
        <f t="shared" ca="1" si="28"/>
        <v>129</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_xlfn._xlws.FILTER($AG$7:$AG$4577,$L$7:$L$4577&lt;&gt;"X"),
_xlfn._xlws.FILTER($E$7:$E$4577,$L$7:$L$4577&lt;&gt;"X"),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336</v>
      </c>
      <c r="K93" s="47">
        <f t="shared" ca="1" si="28"/>
        <v>315</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_xlfn._xlws.FILTER($AG$7:$AG$4577,$L$7:$L$4577&lt;&gt;"X"),
_xlfn._xlws.FILTER($E$7:$E$4577,$L$7:$L$4577&lt;&gt;"X"),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_xlfn._xlws.FILTER($AG$7:$AG$4577,$L$7:$L$4577&lt;&gt;"X"),
_xlfn._xlws.FILTER($E$7:$E$4577,$L$7:$L$4577&lt;&gt;"X"),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_xlfn._xlws.FILTER($AG$7:$AG$4577,$L$7:$L$4577&lt;&gt;"X"),
_xlfn._xlws.FILTER($E$7:$E$4577,$L$7:$L$4577&lt;&gt;"X"),
"",
0,
-1
)</f>
        <v>0</v>
      </c>
      <c r="AI95" s="75" t="str">
        <f t="shared" si="24"/>
        <v/>
      </c>
    </row>
    <row r="96" spans="1:35" s="9" customFormat="1" ht="47.25">
      <c r="A96" s="33">
        <f t="shared" si="19"/>
        <v>90</v>
      </c>
      <c r="B96" s="330" t="str">
        <f t="shared" si="20"/>
        <v>5.11</v>
      </c>
      <c r="C96" s="164" t="s">
        <v>725</v>
      </c>
      <c r="D96" s="137" t="s">
        <v>85</v>
      </c>
      <c r="E96" s="25" t="s">
        <v>811</v>
      </c>
      <c r="F96" s="174">
        <f t="shared" ref="F96:F140" si="29">IF($U96=0,$T96+22,$U96+21)</f>
        <v>46078</v>
      </c>
      <c r="G96" s="31" t="s">
        <v>826</v>
      </c>
      <c r="H96" s="21" t="s">
        <v>827</v>
      </c>
      <c r="I96" s="138" t="s">
        <v>1</v>
      </c>
      <c r="J96" s="164">
        <f t="shared" ref="J96:J140" si="30">IF(ISBLANK($W96),_xlfn.DAYS($J$1,$U96),_xlfn.DAYS($W96,$U96))</f>
        <v>48</v>
      </c>
      <c r="K96" s="47">
        <f t="shared" ref="K96:K140"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_xlfn._xlws.FILTER($AG$7:$AG$4577,$L$7:$L$4577&lt;&gt;"X"),
_xlfn._xlws.FILTER($E$7:$E$4577,$L$7:$L$4577&lt;&gt;"X"),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_xlfn._xlws.FILTER($AG$7:$AG$4577,$L$7:$L$4577&lt;&gt;"X"),
_xlfn._xlws.FILTER($E$7:$E$4577,$L$7:$L$4577&lt;&gt;"X"),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_xlfn._xlws.FILTER($AG$7:$AG$4577,$L$7:$L$4577&lt;&gt;"X"),
_xlfn._xlws.FILTER($E$7:$E$4577,$L$7:$L$4577&lt;&gt;"X"),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_xlfn._xlws.FILTER($AG$7:$AG$4577,$L$7:$L$4577&lt;&gt;"X"),
_xlfn._xlws.FILTER($E$7:$E$4577,$L$7:$L$4577&lt;&gt;"X"),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_xlfn._xlws.FILTER($AG$7:$AG$4577,$L$7:$L$4577&lt;&gt;"X"),
_xlfn._xlws.FILTER($E$7:$E$4577,$L$7:$L$4577&lt;&gt;"X"),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_xlfn._xlws.FILTER($AG$7:$AG$4577,$L$7:$L$4577&lt;&gt;"X"),
_xlfn._xlws.FILTER($E$7:$E$4577,$L$7:$L$4577&lt;&gt;"X"),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_xlfn._xlws.FILTER($AG$7:$AG$4577,$L$7:$L$4577&lt;&gt;"X"),
_xlfn._xlws.FILTER($E$7:$E$4577,$L$7:$L$4577&lt;&gt;"X"),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_xlfn._xlws.FILTER($AG$7:$AG$4577,$L$7:$L$4577&lt;&gt;"X"),
_xlfn._xlws.FILTER($E$7:$E$4577,$L$7:$L$4577&lt;&gt;"X"),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_xlfn._xlws.FILTER($AG$7:$AG$4577,$L$7:$L$4577&lt;&gt;"X"),
_xlfn._xlws.FILTER($E$7:$E$4577,$L$7:$L$4577&lt;&gt;"X"),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_xlfn._xlws.FILTER($AG$7:$AG$4577,$L$7:$L$4577&lt;&gt;"X"),
_xlfn._xlws.FILTER($E$7:$E$4577,$L$7:$L$4577&lt;&gt;"X"),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_xlfn._xlws.FILTER($AG$7:$AG$4577,$L$7:$L$4577&lt;&gt;"X"),
_xlfn._xlws.FILTER($E$7:$E$4577,$L$7:$L$4577&lt;&gt;"X"),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_xlfn._xlws.FILTER($AG$7:$AG$4577,$L$7:$L$4577&lt;&gt;"X"),
_xlfn._xlws.FILTER($E$7:$E$4577,$L$7:$L$4577&lt;&gt;"X"),
"",
0,
-1
)</f>
        <v>0</v>
      </c>
      <c r="AI107" s="75" t="str">
        <f t="shared" si="24"/>
        <v/>
      </c>
    </row>
    <row r="108" spans="1:35" s="9" customFormat="1" ht="47.25">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_xlfn._xlws.FILTER($AG$7:$AG$4577,$L$7:$L$4577&lt;&gt;"X"),
_xlfn._xlws.FILTER($E$7:$E$4577,$L$7:$L$4577&lt;&gt;"X"),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_xlfn._xlws.FILTER($AG$7:$AG$4577,$L$7:$L$4577&lt;&gt;"X"),
_xlfn._xlws.FILTER($E$7:$E$4577,$L$7:$L$4577&lt;&gt;"X"),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_xlfn._xlws.FILTER($AG$7:$AG$4577,$L$7:$L$4577&lt;&gt;"X"),
_xlfn._xlws.FILTER($E$7:$E$4577,$L$7:$L$4577&lt;&gt;"X"),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107</v>
      </c>
      <c r="K111" s="47">
        <f t="shared" ca="1" si="31"/>
        <v>86</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_xlfn._xlws.FILTER($AG$7:$AG$4577,$L$7:$L$4577&lt;&gt;"X"),
_xlfn._xlws.FILTER($E$7:$E$4577,$L$7:$L$4577&lt;&gt;"X"),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_xlfn._xlws.FILTER($AG$7:$AG$4577,$L$7:$L$4577&lt;&gt;"X"),
_xlfn._xlws.FILTER($E$7:$E$4577,$L$7:$L$4577&lt;&gt;"X"),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_xlfn._xlws.FILTER($AG$7:$AG$4577,$L$7:$L$4577&lt;&gt;"X"),
_xlfn._xlws.FILTER($E$7:$E$4577,$L$7:$L$4577&lt;&gt;"X"),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_xlfn._xlws.FILTER($AG$7:$AG$4577,$L$7:$L$4577&lt;&gt;"X"),
_xlfn._xlws.FILTER($E$7:$E$4577,$L$7:$L$4577&lt;&gt;"X"),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_xlfn._xlws.FILTER($AG$7:$AG$4577,$L$7:$L$4577&lt;&gt;"X"),
_xlfn._xlws.FILTER($E$7:$E$4577,$L$7:$L$4577&lt;&gt;"X"),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_xlfn._xlws.FILTER($AG$7:$AG$4577,$L$7:$L$4577&lt;&gt;"X"),
_xlfn._xlws.FILTER($E$7:$E$4577,$L$7:$L$4577&lt;&gt;"X"),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63</v>
      </c>
      <c r="K117" s="47">
        <f t="shared" ca="1" si="31"/>
        <v>42</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_xlfn._xlws.FILTER($AG$7:$AG$4577,$L$7:$L$4577&lt;&gt;"X"),
_xlfn._xlws.FILTER($E$7:$E$4577,$L$7:$L$4577&lt;&gt;"X"),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_xlfn._xlws.FILTER($AG$7:$AG$4577,$L$7:$L$4577&lt;&gt;"X"),
_xlfn._xlws.FILTER($E$7:$E$4577,$L$7:$L$4577&lt;&gt;"X"),
"",
0,
-1
)</f>
        <v>1</v>
      </c>
      <c r="AI118" s="75" t="str">
        <f t="shared" si="24"/>
        <v/>
      </c>
    </row>
    <row r="119" spans="1:35" s="9" customFormat="1" ht="47.25">
      <c r="A119" s="33">
        <f t="shared" si="19"/>
        <v>113</v>
      </c>
      <c r="B119" s="330" t="str">
        <f t="shared" ref="B119" si="61">MID(E119, FIND("-", E119) + 1, 4)</f>
        <v>5.11</v>
      </c>
      <c r="C119" s="164" t="s">
        <v>621</v>
      </c>
      <c r="D119" s="137" t="s">
        <v>28</v>
      </c>
      <c r="E119" s="25" t="s">
        <v>1064</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_xlfn._xlws.FILTER($AG$7:$AG$4577,$L$7:$L$4577&lt;&gt;"X"),
_xlfn._xlws.FILTER($E$7:$E$4577,$L$7:$L$4577&lt;&gt;"X"),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_xlfn._xlws.FILTER($AG$7:$AG$4577,$L$7:$L$4577&lt;&gt;"X"),
_xlfn._xlws.FILTER($E$7:$E$4577,$L$7:$L$4577&lt;&gt;"X"),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_xlfn._xlws.FILTER($AG$7:$AG$4577,$L$7:$L$4577&lt;&gt;"X"),
_xlfn._xlws.FILTER($E$7:$E$4577,$L$7:$L$4577&lt;&gt;"X"),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2"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_xlfn._xlws.FILTER($AG$7:$AG$4577,$L$7:$L$4577&lt;&gt;"X"),
_xlfn._xlws.FILTER($E$7:$E$4577,$L$7:$L$4577&lt;&gt;"X"),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_xlfn._xlws.FILTER($AG$7:$AG$4577,$L$7:$L$4577&lt;&gt;"X"),
_xlfn._xlws.FILTER($E$7:$E$4577,$L$7:$L$4577&lt;&gt;"X"),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_xlfn._xlws.FILTER($AG$7:$AG$4577,$L$7:$L$4577&lt;&gt;"X"),
_xlfn._xlws.FILTER($E$7:$E$4577,$L$7:$L$4577&lt;&gt;"X"),
"",
0,
-1
)</f>
        <v>1</v>
      </c>
      <c r="AI124" s="75" t="str">
        <f t="shared" ref="AI124:AI142"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40" si="75">IF(AND(RIGHT($E125,1)&gt;="A",RIGHT($E125,1)&lt;="Z"),LEFT($E125,LEN($E125)-1),$E125)</f>
        <v xml:space="preserve"> LTIA-5.11-LTICT-71110-RFA-MAS-0021</v>
      </c>
      <c r="AH125" s="243" t="b" cm="1">
        <f t="array" ref="AH125">$E125=_xlfn.XLOOKUP(
AG125,
_xlfn._xlws.FILTER($AG$7:$AG$4578,$L$7:$L$4578&lt;&gt;"X"),
_xlfn._xlws.FILTER($E$7:$E$4578,$L$7:$L$4578&lt;&gt;"X"),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_xlfn._xlws.FILTER($AG$7:$AG$4578,$L$7:$L$4578&lt;&gt;"X"),
_xlfn._xlws.FILTER($E$7:$E$4578,$L$7:$L$4578&lt;&gt;"X"),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_xlfn._xlws.FILTER($AG$7:$AG$4578,$L$7:$L$4578&lt;&gt;"X"),
_xlfn._xlws.FILTER($E$7:$E$4578,$L$7:$L$4578&lt;&gt;"X"),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15</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_xlfn._xlws.FILTER($AG$7:$AG$4578,$L$7:$L$4578&lt;&gt;"X"),
_xlfn._xlws.FILTER($E$7:$E$4578,$L$7:$L$4578&lt;&gt;"X"),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46319</v>
      </c>
      <c r="G129" s="31" t="s">
        <v>1028</v>
      </c>
      <c r="H129" s="21" t="s">
        <v>1029</v>
      </c>
      <c r="I129" s="138"/>
      <c r="J129" s="164">
        <f t="shared" ca="1" si="30"/>
        <v>12</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_xlfn._xlws.FILTER($AG$7:$AG$4578,$L$7:$L$4578&lt;&gt;"X"),
_xlfn._xlws.FILTER($E$7:$E$4578,$L$7:$L$4578&lt;&gt;"X"),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46321</v>
      </c>
      <c r="G130" s="31" t="s">
        <v>1033</v>
      </c>
      <c r="H130" s="21" t="s">
        <v>1034</v>
      </c>
      <c r="I130" s="138"/>
      <c r="J130" s="164">
        <f t="shared" ca="1" si="30"/>
        <v>10</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_xlfn._xlws.FILTER($AG$7:$AG$4578,$L$7:$L$4578&lt;&gt;"X"),
_xlfn._xlws.FILTER($E$7:$E$4578,$L$7:$L$4578&lt;&gt;"X"),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c r="J131" s="164">
        <f t="shared" ca="1" si="30"/>
        <v>10</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t="s">
        <v>1073</v>
      </c>
      <c r="AG131" s="238" t="str">
        <f t="shared" si="75"/>
        <v>LTIA-5.11-LTICT- 72120 -RFA-MSS-0004</v>
      </c>
      <c r="AH131" s="243" t="b" cm="1">
        <f t="array" ref="AH131">$E131=_xlfn.XLOOKUP(
AG131,
_xlfn._xlws.FILTER($AG$7:$AG$4578,$L$7:$L$4578&lt;&gt;"X"),
_xlfn._xlws.FILTER($E$7:$E$4578,$L$7:$L$4578&lt;&gt;"X"),
"",
0,
-1
)</f>
        <v>1</v>
      </c>
      <c r="AI131" s="75" t="str">
        <f t="shared" si="74"/>
        <v/>
      </c>
    </row>
    <row r="132" spans="1:35" s="9" customFormat="1" ht="47.25">
      <c r="A132" s="33">
        <f t="shared" si="19"/>
        <v>126</v>
      </c>
      <c r="B132" s="330" t="str">
        <f t="shared" ref="B132" si="80">MID(E132, FIND("-", E132) + 1, 4)</f>
        <v>5.11</v>
      </c>
      <c r="C132" s="164" t="s">
        <v>633</v>
      </c>
      <c r="D132" s="137" t="s">
        <v>32</v>
      </c>
      <c r="E132" s="25" t="s">
        <v>1039</v>
      </c>
      <c r="F132" s="174">
        <f t="shared" si="29"/>
        <v>46322</v>
      </c>
      <c r="G132" s="31" t="s">
        <v>1040</v>
      </c>
      <c r="H132" s="21" t="s">
        <v>1041</v>
      </c>
      <c r="I132" s="138"/>
      <c r="J132" s="164">
        <f t="shared" ca="1" si="30"/>
        <v>9</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t="s">
        <v>1063</v>
      </c>
      <c r="AG132" s="238" t="str">
        <f t="shared" si="75"/>
        <v>LTIA-5.11-LTICT-70100-RFA-MSS-0007</v>
      </c>
      <c r="AH132" s="243" t="b" cm="1">
        <f t="array" ref="AH132">$E132=_xlfn.XLOOKUP(
AG132,
_xlfn._xlws.FILTER($AG$7:$AG$4578,$L$7:$L$4578&lt;&gt;"X"),
_xlfn._xlws.FILTER($E$7:$E$4578,$L$7:$L$4578&lt;&gt;"X"),
"",
0,
-1
)</f>
        <v>1</v>
      </c>
      <c r="AI132" s="75" t="str">
        <f t="shared" si="74"/>
        <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9</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_xlfn._xlws.FILTER($AG$7:$AG$4578,$L$7:$L$4578&lt;&gt;"X"),
_xlfn._xlws.FILTER($E$7:$E$4578,$L$7:$L$4578&lt;&gt;"X"),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9</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_xlfn._xlws.FILTER($AG$7:$AG$4578,$L$7:$L$4578&lt;&gt;"X"),
_xlfn._xlws.FILTER($E$7:$E$4578,$L$7:$L$4578&lt;&gt;"X"),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ca="1" si="30"/>
        <v>9</v>
      </c>
      <c r="K135" s="47">
        <f t="shared" ca="1" si="31"/>
        <v>0</v>
      </c>
      <c r="L135" s="164"/>
      <c r="M135" s="40" t="s">
        <v>8</v>
      </c>
      <c r="N135" s="41"/>
      <c r="O135" s="40"/>
      <c r="P135" s="41"/>
      <c r="Q135" s="40"/>
      <c r="R135" s="155"/>
      <c r="S135" s="27">
        <v>46301</v>
      </c>
      <c r="T135" s="27">
        <v>46301</v>
      </c>
      <c r="U135" s="188">
        <v>46301</v>
      </c>
      <c r="V135" s="29"/>
      <c r="W135" s="188"/>
      <c r="X135" s="235" t="s">
        <v>240</v>
      </c>
      <c r="Y135" s="230"/>
      <c r="Z135" s="227"/>
      <c r="AA135" s="29" t="b">
        <f t="shared" si="68"/>
        <v>0</v>
      </c>
      <c r="AB135" s="229"/>
      <c r="AC135" s="229"/>
      <c r="AD135" s="337"/>
      <c r="AE135" s="92" t="s">
        <v>1070</v>
      </c>
      <c r="AG135" s="238" t="str">
        <f t="shared" si="75"/>
        <v>LTIA-5.11-LTICT- 71110 -RFA-OTH-0012</v>
      </c>
      <c r="AH135" s="243" t="b" cm="1">
        <f t="array" ref="AH135">$E135=_xlfn.XLOOKUP(
AG135,
_xlfn._xlws.FILTER($AG$7:$AG$4578,$L$7:$L$4578&lt;&gt;"X"),
_xlfn._xlws.FILTER($E$7:$E$4578,$L$7:$L$4578&lt;&gt;"X"),
"",
0,
-1
)</f>
        <v>1</v>
      </c>
      <c r="AI135" s="75" t="str">
        <f t="shared" si="74"/>
        <v/>
      </c>
    </row>
    <row r="136" spans="1:35" s="9" customFormat="1" ht="47.25">
      <c r="A136" s="33">
        <f t="shared" si="19"/>
        <v>130</v>
      </c>
      <c r="B136" s="330" t="str">
        <f t="shared" si="83"/>
        <v>5.11</v>
      </c>
      <c r="C136" s="164" t="s">
        <v>751</v>
      </c>
      <c r="D136" s="137" t="s">
        <v>32</v>
      </c>
      <c r="E136" s="25" t="s">
        <v>1074</v>
      </c>
      <c r="F136" s="174">
        <f t="shared" si="29"/>
        <v>46330</v>
      </c>
      <c r="G136" s="31" t="s">
        <v>1075</v>
      </c>
      <c r="H136" s="21" t="s">
        <v>1076</v>
      </c>
      <c r="I136" s="138"/>
      <c r="J136" s="164">
        <f t="shared" ca="1" si="30"/>
        <v>1</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_xlfn._xlws.FILTER($AG$7:$AG$4578,$L$7:$L$4578&lt;&gt;"X"),
_xlfn._xlws.FILTER($E$7:$E$4578,$L$7:$L$4578&lt;&gt;"X"),
"",
0,
-1
)</f>
        <v>1</v>
      </c>
      <c r="AI136" s="75" t="str">
        <f t="shared" si="74"/>
        <v/>
      </c>
    </row>
    <row r="137" spans="1:35" s="9" customFormat="1" ht="47.25">
      <c r="A137" s="33">
        <f t="shared" si="19"/>
        <v>131</v>
      </c>
      <c r="B137" s="330" t="str">
        <f t="shared" ref="B137" si="84">MID(E137, FIND("-", E137) + 1, 4)</f>
        <v>5.11</v>
      </c>
      <c r="C137" s="164" t="s">
        <v>342</v>
      </c>
      <c r="D137" s="137" t="s">
        <v>32</v>
      </c>
      <c r="E137" s="25" t="s">
        <v>1077</v>
      </c>
      <c r="F137" s="174">
        <f t="shared" si="29"/>
        <v>46330</v>
      </c>
      <c r="G137" s="31" t="s">
        <v>1078</v>
      </c>
      <c r="H137" s="21" t="s">
        <v>1079</v>
      </c>
      <c r="I137" s="138"/>
      <c r="J137" s="164">
        <f t="shared" ca="1" si="30"/>
        <v>1</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_xlfn._xlws.FILTER($AG$7:$AG$4578,$L$7:$L$4578&lt;&gt;"X"),
_xlfn._xlws.FILTER($E$7:$E$4578,$L$7:$L$4578&lt;&gt;"X"),
"",
0,
-1
)</f>
        <v>1</v>
      </c>
      <c r="AI137" s="75" t="str">
        <f t="shared" si="74"/>
        <v/>
      </c>
    </row>
    <row r="138" spans="1:35" s="9" customFormat="1" ht="78.75">
      <c r="A138" s="33">
        <f t="shared" si="19"/>
        <v>132</v>
      </c>
      <c r="B138" s="330" t="str">
        <f t="shared" ref="B138" si="85">MID(E138, FIND("-", E138) + 1, 4)</f>
        <v>5.11</v>
      </c>
      <c r="C138" s="164" t="s">
        <v>1083</v>
      </c>
      <c r="D138" s="137" t="s">
        <v>32</v>
      </c>
      <c r="E138" s="25" t="s">
        <v>1080</v>
      </c>
      <c r="F138" s="174">
        <f t="shared" si="29"/>
        <v>46330</v>
      </c>
      <c r="G138" s="31" t="s">
        <v>1081</v>
      </c>
      <c r="H138" s="21" t="s">
        <v>1082</v>
      </c>
      <c r="I138" s="138"/>
      <c r="J138" s="164">
        <f t="shared" ca="1" si="30"/>
        <v>1</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_xlfn._xlws.FILTER($AG$7:$AG$4578,$L$7:$L$4578&lt;&gt;"X"),
_xlfn._xlws.FILTER($E$7:$E$4578,$L$7:$L$4578&lt;&gt;"X"),
"",
0,
-1
)</f>
        <v>1</v>
      </c>
      <c r="AI138" s="75" t="str">
        <f t="shared" si="74"/>
        <v/>
      </c>
    </row>
    <row r="139" spans="1:35" s="9" customFormat="1" ht="78.75">
      <c r="A139" s="33">
        <f t="shared" si="19"/>
        <v>133</v>
      </c>
      <c r="B139" s="330" t="str">
        <f t="shared" ref="B139" si="86">MID(E139, FIND("-", E139) + 1, 4)</f>
        <v>5.11</v>
      </c>
      <c r="C139" s="164" t="s">
        <v>1087</v>
      </c>
      <c r="D139" s="137" t="s">
        <v>32</v>
      </c>
      <c r="E139" s="25" t="s">
        <v>1084</v>
      </c>
      <c r="F139" s="174">
        <f t="shared" si="29"/>
        <v>46330</v>
      </c>
      <c r="G139" s="31" t="s">
        <v>1085</v>
      </c>
      <c r="H139" s="21" t="s">
        <v>1086</v>
      </c>
      <c r="I139" s="138"/>
      <c r="J139" s="164">
        <f t="shared" ca="1" si="30"/>
        <v>1</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_xlfn._xlws.FILTER($AG$7:$AG$4578,$L$7:$L$4578&lt;&gt;"X"),
_xlfn._xlws.FILTER($E$7:$E$4578,$L$7:$L$4578&lt;&gt;"X"),
"",
0,
-1
)</f>
        <v>1</v>
      </c>
      <c r="AI139" s="75" t="str">
        <f t="shared" si="74"/>
        <v/>
      </c>
    </row>
    <row r="140" spans="1:35" s="9" customFormat="1" ht="63">
      <c r="A140" s="33">
        <f t="shared" si="19"/>
        <v>134</v>
      </c>
      <c r="B140" s="330" t="str">
        <f t="shared" ref="B140" si="87">MID(E140, FIND("-", E140) + 1, 4)</f>
        <v>5.10</v>
      </c>
      <c r="C140" s="164" t="s">
        <v>180</v>
      </c>
      <c r="D140" s="137" t="s">
        <v>32</v>
      </c>
      <c r="E140" s="25" t="s">
        <v>1088</v>
      </c>
      <c r="F140" s="174">
        <f t="shared" si="29"/>
        <v>46331</v>
      </c>
      <c r="G140" s="31" t="s">
        <v>1089</v>
      </c>
      <c r="H140" s="21" t="s">
        <v>1090</v>
      </c>
      <c r="I140" s="138"/>
      <c r="J140" s="164">
        <f t="shared" ca="1" si="30"/>
        <v>0</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_xlfn._xlws.FILTER($AG$7:$AG$4578,$L$7:$L$4578&lt;&gt;"X"),
_xlfn._xlws.FILTER($E$7:$E$4578,$L$7:$L$4578&lt;&gt;"X"),
"",
0,
-1
)</f>
        <v>1</v>
      </c>
      <c r="AI140" s="75" t="str">
        <f t="shared" si="74"/>
        <v/>
      </c>
    </row>
    <row r="141" spans="1:35" s="9" customFormat="1">
      <c r="A141" s="33"/>
      <c r="B141" s="330"/>
      <c r="C141" s="164"/>
      <c r="D141" s="137"/>
      <c r="E141" s="25"/>
      <c r="F141" s="174"/>
      <c r="G141" s="31"/>
      <c r="H141" s="21"/>
      <c r="I141" s="138"/>
      <c r="J141" s="164"/>
      <c r="K141" s="47"/>
      <c r="L141" s="164"/>
      <c r="M141" s="40"/>
      <c r="N141" s="41"/>
      <c r="O141" s="40"/>
      <c r="P141" s="41"/>
      <c r="Q141" s="40"/>
      <c r="R141" s="155"/>
      <c r="S141" s="27"/>
      <c r="T141" s="27"/>
      <c r="U141" s="188"/>
      <c r="V141" s="29"/>
      <c r="W141" s="188"/>
      <c r="X141" s="235"/>
      <c r="Y141" s="230"/>
      <c r="Z141" s="227"/>
      <c r="AA141" s="29" t="str">
        <f t="shared" si="68"/>
        <v/>
      </c>
      <c r="AB141" s="229"/>
      <c r="AC141" s="229"/>
      <c r="AD141" s="337"/>
      <c r="AE141" s="92"/>
      <c r="AG141" s="238"/>
      <c r="AH141" s="243"/>
      <c r="AI141" s="75" t="str">
        <f t="shared" si="74"/>
        <v/>
      </c>
    </row>
    <row r="142" spans="1:35" s="9" customFormat="1" ht="16.5" thickBot="1">
      <c r="A142" s="347"/>
      <c r="B142" s="338"/>
      <c r="C142" s="178"/>
      <c r="D142" s="139"/>
      <c r="E142" s="339"/>
      <c r="F142" s="340"/>
      <c r="G142" s="32"/>
      <c r="H142" s="22"/>
      <c r="I142" s="139"/>
      <c r="J142" s="178"/>
      <c r="K142" s="49"/>
      <c r="L142" s="178"/>
      <c r="M142" s="341"/>
      <c r="N142" s="342"/>
      <c r="O142" s="341"/>
      <c r="P142" s="342"/>
      <c r="Q142" s="341"/>
      <c r="R142" s="343"/>
      <c r="S142" s="344"/>
      <c r="T142" s="344"/>
      <c r="U142" s="345"/>
      <c r="V142" s="232"/>
      <c r="W142" s="345"/>
      <c r="X142" s="258"/>
      <c r="Y142" s="232"/>
      <c r="Z142" s="228"/>
      <c r="AA142" s="232" t="str">
        <f t="shared" si="68"/>
        <v/>
      </c>
      <c r="AB142" s="233"/>
      <c r="AC142" s="233"/>
      <c r="AD142" s="346"/>
      <c r="AE142" s="93"/>
      <c r="AG142" s="239"/>
      <c r="AH142" s="244"/>
      <c r="AI142" s="241" t="str">
        <f t="shared" si="74"/>
        <v/>
      </c>
    </row>
    <row r="143" spans="1:35" ht="16.5" thickBot="1"/>
    <row r="144" spans="1:35" ht="16.5" thickBot="1">
      <c r="A144" s="128"/>
      <c r="B144" s="128"/>
      <c r="C144" s="166" t="s">
        <v>20</v>
      </c>
      <c r="D144" s="379" t="s">
        <v>21</v>
      </c>
      <c r="E144" s="379"/>
      <c r="F144" s="380"/>
      <c r="G144" s="46"/>
      <c r="H144" s="68"/>
      <c r="I144" s="384" t="s">
        <v>14</v>
      </c>
      <c r="J144" s="385"/>
      <c r="K144" s="385"/>
      <c r="L144" s="385"/>
      <c r="M144" s="385"/>
      <c r="N144" s="386"/>
      <c r="O144" s="382" t="s">
        <v>7</v>
      </c>
      <c r="P144" s="383"/>
      <c r="Q144" s="382" t="s">
        <v>109</v>
      </c>
      <c r="R144" s="383"/>
      <c r="S144" s="1"/>
      <c r="T144" s="1"/>
      <c r="U144" s="140"/>
      <c r="V144" s="1"/>
      <c r="X144" s="11"/>
      <c r="Y144" s="11"/>
      <c r="Z144" s="11"/>
      <c r="AA144" s="11"/>
      <c r="AB144" s="11"/>
      <c r="AC144" s="11"/>
      <c r="AD144" s="11"/>
      <c r="AG144" s="11"/>
      <c r="AH144" s="11"/>
      <c r="AI144" s="11"/>
    </row>
    <row r="145" spans="1:35" ht="16.5" thickBot="1">
      <c r="A145" s="128"/>
      <c r="B145" s="128"/>
      <c r="C145" s="167" t="s">
        <v>109</v>
      </c>
      <c r="D145" s="404" t="s">
        <v>111</v>
      </c>
      <c r="E145" s="404"/>
      <c r="F145" s="405"/>
      <c r="G145" s="46"/>
      <c r="H145" s="46"/>
      <c r="I145" s="384" t="s">
        <v>19</v>
      </c>
      <c r="J145" s="385"/>
      <c r="K145" s="385"/>
      <c r="L145" s="386"/>
      <c r="M145" s="105">
        <f t="shared" ref="M145:M150" ca="1" si="88">N145/$N$145</f>
        <v>1</v>
      </c>
      <c r="N145" s="106">
        <f ca="1">SUM($N$146:$N$150)</f>
        <v>140</v>
      </c>
      <c r="O145" s="102" t="s">
        <v>15</v>
      </c>
      <c r="P145" s="103" t="s">
        <v>16</v>
      </c>
      <c r="Q145" s="105">
        <f ca="1">R145/$R$145</f>
        <v>1</v>
      </c>
      <c r="R145" s="220">
        <f ca="1">SUM(R146:R149)</f>
        <v>122</v>
      </c>
      <c r="S145" s="1"/>
      <c r="T145" s="1"/>
      <c r="U145" s="140"/>
      <c r="V145" s="1"/>
      <c r="X145" s="11"/>
      <c r="Y145" s="11"/>
      <c r="Z145" s="11"/>
      <c r="AA145" s="11"/>
      <c r="AB145" s="11"/>
      <c r="AC145" s="11"/>
      <c r="AD145" s="11"/>
      <c r="AG145" s="11"/>
      <c r="AH145" s="11"/>
      <c r="AI145" s="11"/>
    </row>
    <row r="146" spans="1:35">
      <c r="A146" s="128"/>
      <c r="B146" s="128"/>
      <c r="C146" s="167" t="s">
        <v>22</v>
      </c>
      <c r="D146" s="404" t="s">
        <v>23</v>
      </c>
      <c r="E146" s="404"/>
      <c r="F146" s="405"/>
      <c r="G146" s="70"/>
      <c r="H146" s="6"/>
      <c r="I146" s="387" t="s">
        <v>66</v>
      </c>
      <c r="J146" s="388"/>
      <c r="K146" s="388"/>
      <c r="L146" s="389"/>
      <c r="M146" s="107">
        <f t="shared" ca="1" si="88"/>
        <v>0.49285714285714288</v>
      </c>
      <c r="N146" s="108">
        <f>COUNTIF($I$7:$I$142,"A")</f>
        <v>69</v>
      </c>
      <c r="O146" s="100">
        <f ca="1">COUNTIFS($J$7:$J$142,"&lt;=21",$I$7:$I$142,"A")</f>
        <v>56</v>
      </c>
      <c r="P146" s="101">
        <f ca="1">COUNTIFS($J$7:$J$142,"&gt;21",$I$7:$I$142,"A")</f>
        <v>12</v>
      </c>
      <c r="Q146" s="107">
        <f ca="1">R146/$R$145</f>
        <v>0.4098360655737705</v>
      </c>
      <c r="R146" s="108">
        <f>COUNTIF($R$7:$R$142,"A")</f>
        <v>50</v>
      </c>
      <c r="S146" s="1"/>
      <c r="T146" s="1"/>
      <c r="U146" s="140"/>
      <c r="V146" s="1"/>
      <c r="X146" s="11"/>
      <c r="Y146" s="11"/>
      <c r="Z146" s="11"/>
      <c r="AA146" s="11"/>
      <c r="AB146" s="11"/>
      <c r="AC146" s="11"/>
      <c r="AD146" s="11"/>
      <c r="AG146" s="11"/>
      <c r="AH146" s="11"/>
      <c r="AI146" s="11"/>
    </row>
    <row r="147" spans="1:35">
      <c r="A147" s="128"/>
      <c r="B147" s="128"/>
      <c r="C147" s="167" t="s">
        <v>24</v>
      </c>
      <c r="D147" s="404" t="s">
        <v>25</v>
      </c>
      <c r="E147" s="404"/>
      <c r="F147" s="405"/>
      <c r="H147" s="6"/>
      <c r="I147" s="390" t="s">
        <v>67</v>
      </c>
      <c r="J147" s="391"/>
      <c r="K147" s="391"/>
      <c r="L147" s="392"/>
      <c r="M147" s="109">
        <f t="shared" ca="1" si="88"/>
        <v>0.1</v>
      </c>
      <c r="N147" s="110">
        <f>COUNTIF($I$7:$I$142,"B")</f>
        <v>14</v>
      </c>
      <c r="O147" s="98">
        <f ca="1">COUNTIFS($J$7:$J$142,"&lt;=21",$I$7:$I$142,"B")</f>
        <v>7</v>
      </c>
      <c r="P147" s="50">
        <f ca="1">COUNTIFS($J$7:$J$142,"&gt;21",$I$7:$I$142,"B")</f>
        <v>7</v>
      </c>
      <c r="Q147" s="109">
        <f t="shared" ref="Q147:Q149" ca="1" si="89">R147/$R$145</f>
        <v>7.3770491803278687E-2</v>
      </c>
      <c r="R147" s="110">
        <f>COUNTIF($R$7:$R$142,"B")</f>
        <v>9</v>
      </c>
      <c r="S147" s="1"/>
      <c r="T147" s="1"/>
      <c r="U147" s="140"/>
      <c r="V147" s="1"/>
      <c r="X147" s="11"/>
      <c r="Y147" s="11"/>
      <c r="Z147" s="11"/>
      <c r="AA147" s="11"/>
      <c r="AB147" s="11"/>
      <c r="AC147" s="11"/>
      <c r="AD147" s="11"/>
      <c r="AG147" s="11"/>
      <c r="AH147" s="11"/>
      <c r="AI147" s="11"/>
    </row>
    <row r="148" spans="1:35">
      <c r="A148" s="129"/>
      <c r="B148" s="129"/>
      <c r="C148" s="167" t="s">
        <v>26</v>
      </c>
      <c r="D148" s="404" t="s">
        <v>27</v>
      </c>
      <c r="E148" s="404"/>
      <c r="F148" s="405"/>
      <c r="G148" s="71"/>
      <c r="H148" s="6"/>
      <c r="I148" s="393" t="s">
        <v>68</v>
      </c>
      <c r="J148" s="394"/>
      <c r="K148" s="394"/>
      <c r="L148" s="395"/>
      <c r="M148" s="111">
        <f t="shared" ca="1" si="88"/>
        <v>0.19285714285714287</v>
      </c>
      <c r="N148" s="112">
        <f>COUNTIF($I$7:$I$142,"C")</f>
        <v>27</v>
      </c>
      <c r="O148" s="98">
        <f ca="1">COUNTIFS($J$7:$J$142,"&lt;=21",$I$7:$I$142,"C")</f>
        <v>13</v>
      </c>
      <c r="P148" s="50">
        <f ca="1">COUNTIFS($J$7:$J$142,"&gt;21",$I$7:$I$142,"C")</f>
        <v>14</v>
      </c>
      <c r="Q148" s="111">
        <f t="shared" ca="1" si="89"/>
        <v>0.13934426229508196</v>
      </c>
      <c r="R148" s="112">
        <f>COUNTIF($R$7:$R$142,"C")</f>
        <v>17</v>
      </c>
      <c r="S148" s="1"/>
      <c r="T148" s="1"/>
      <c r="U148" s="140"/>
      <c r="V148" s="1"/>
      <c r="X148" s="11"/>
      <c r="Y148" s="11"/>
      <c r="Z148" s="11"/>
      <c r="AA148" s="11"/>
      <c r="AB148" s="11"/>
      <c r="AC148" s="11"/>
      <c r="AD148" s="11"/>
      <c r="AG148" s="11"/>
      <c r="AH148" s="11"/>
      <c r="AI148" s="11"/>
    </row>
    <row r="149" spans="1:35">
      <c r="A149" s="129"/>
      <c r="B149" s="129"/>
      <c r="C149" s="168" t="s">
        <v>28</v>
      </c>
      <c r="D149" s="404" t="s">
        <v>29</v>
      </c>
      <c r="E149" s="404"/>
      <c r="F149" s="405"/>
      <c r="G149" s="72"/>
      <c r="I149" s="396" t="s">
        <v>70</v>
      </c>
      <c r="J149" s="397"/>
      <c r="K149" s="397"/>
      <c r="L149" s="398"/>
      <c r="M149" s="114">
        <f t="shared" ca="1" si="88"/>
        <v>0.10714285714285714</v>
      </c>
      <c r="N149" s="115">
        <f ca="1">SUM(O149:P149)</f>
        <v>15</v>
      </c>
      <c r="O149" s="98">
        <f ca="1">COUNTIFS($J$7:$J$142,"&lt;=21",$V$7:$V$142,"",$L$7:$L$142,"&lt;&gt;X")</f>
        <v>13</v>
      </c>
      <c r="P149" s="50">
        <f ca="1">COUNTIFS($J$7:$J$142,"&gt;21",$V$7:$V$142,"",$L$7:$L$142,"&lt;&gt;X")</f>
        <v>2</v>
      </c>
      <c r="Q149" s="114">
        <f t="shared" ca="1" si="89"/>
        <v>0.37704918032786883</v>
      </c>
      <c r="R149" s="115">
        <f ca="1">COUNTIFS($J$7:$J$142,"&gt;=0",$Q$7:$Q$142,"",$L$7:$L$142,"&lt;&gt;X")</f>
        <v>46</v>
      </c>
      <c r="S149" s="1" t="s">
        <v>10</v>
      </c>
      <c r="T149" s="1"/>
      <c r="U149" s="140"/>
      <c r="V149" s="1"/>
      <c r="X149" s="11"/>
      <c r="Y149" s="11"/>
      <c r="Z149" s="11"/>
      <c r="AA149" s="11"/>
      <c r="AB149" s="11"/>
      <c r="AC149" s="11"/>
      <c r="AD149" s="11"/>
      <c r="AG149" s="11"/>
      <c r="AH149" s="11"/>
      <c r="AI149" s="11"/>
    </row>
    <row r="150" spans="1:35" ht="16.5" thickBot="1">
      <c r="A150" s="129"/>
      <c r="B150" s="129"/>
      <c r="C150" s="168" t="s">
        <v>30</v>
      </c>
      <c r="D150" s="404" t="s">
        <v>31</v>
      </c>
      <c r="E150" s="404"/>
      <c r="F150" s="405"/>
      <c r="H150" s="6"/>
      <c r="I150" s="399" t="s">
        <v>71</v>
      </c>
      <c r="J150" s="400"/>
      <c r="K150" s="400"/>
      <c r="L150" s="401"/>
      <c r="M150" s="113">
        <f t="shared" ca="1" si="88"/>
        <v>0.10714285714285714</v>
      </c>
      <c r="N150" s="97">
        <f>COUNTIFS($L$7:$L$142,"X")</f>
        <v>15</v>
      </c>
      <c r="O150" s="99"/>
      <c r="P150" s="51"/>
      <c r="Q150" s="221"/>
      <c r="R150" s="222"/>
    </row>
    <row r="151" spans="1:35">
      <c r="A151" s="128"/>
      <c r="B151" s="128"/>
      <c r="C151" s="168" t="s">
        <v>32</v>
      </c>
      <c r="D151" s="404" t="s">
        <v>33</v>
      </c>
      <c r="E151" s="404"/>
      <c r="F151" s="405"/>
      <c r="H151" s="1" t="s">
        <v>11</v>
      </c>
    </row>
    <row r="152" spans="1:35">
      <c r="C152" s="167" t="s">
        <v>34</v>
      </c>
      <c r="D152" s="404" t="s">
        <v>35</v>
      </c>
      <c r="E152" s="404"/>
      <c r="F152" s="405"/>
      <c r="H152" s="13"/>
      <c r="I152" s="141"/>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c r="C153" s="402" t="s">
        <v>75</v>
      </c>
      <c r="D153" s="408" t="s">
        <v>76</v>
      </c>
      <c r="E153" s="408"/>
      <c r="F153" s="409"/>
      <c r="H153" s="13"/>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ht="16.5" thickBot="1">
      <c r="C154" s="403"/>
      <c r="D154" s="410"/>
      <c r="E154" s="410"/>
      <c r="F154" s="411"/>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C156" s="381" t="s">
        <v>41</v>
      </c>
      <c r="D156" s="381"/>
      <c r="E156" s="381"/>
      <c r="F156" s="381"/>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169" t="s">
        <v>8</v>
      </c>
      <c r="D157" s="367" t="s">
        <v>91</v>
      </c>
      <c r="E157" s="367"/>
      <c r="F157" s="367"/>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367" t="s">
        <v>92</v>
      </c>
      <c r="E158" s="367"/>
      <c r="F158" s="367"/>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367" t="s">
        <v>93</v>
      </c>
      <c r="E159" s="367"/>
      <c r="F159" s="367"/>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ht="16.5" thickBot="1">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C161" s="371" t="s">
        <v>96</v>
      </c>
      <c r="D161" s="372"/>
      <c r="E161" s="372"/>
      <c r="F161" s="373"/>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c r="C162" s="212" t="s">
        <v>81</v>
      </c>
      <c r="D162" s="374" t="s">
        <v>97</v>
      </c>
      <c r="E162" s="374"/>
      <c r="F162" s="375"/>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3" t="s">
        <v>82</v>
      </c>
      <c r="D163" s="365" t="s">
        <v>98</v>
      </c>
      <c r="E163" s="365"/>
      <c r="F163" s="366"/>
    </row>
    <row r="164" spans="3:35">
      <c r="C164" s="213" t="s">
        <v>83</v>
      </c>
      <c r="D164" s="365" t="s">
        <v>99</v>
      </c>
      <c r="E164" s="365"/>
      <c r="F164" s="366"/>
    </row>
    <row r="165" spans="3:35">
      <c r="C165" s="214" t="s">
        <v>84</v>
      </c>
      <c r="D165" s="365" t="s">
        <v>100</v>
      </c>
      <c r="E165" s="365"/>
      <c r="F165" s="366"/>
    </row>
    <row r="166" spans="3:35">
      <c r="C166" s="214" t="s">
        <v>85</v>
      </c>
      <c r="D166" s="365" t="s">
        <v>101</v>
      </c>
      <c r="E166" s="365"/>
      <c r="F166" s="366"/>
    </row>
    <row r="167" spans="3:35" ht="18.75">
      <c r="C167" s="214" t="s">
        <v>86</v>
      </c>
      <c r="D167" s="365" t="s">
        <v>102</v>
      </c>
      <c r="E167" s="365"/>
      <c r="F167" s="366"/>
    </row>
    <row r="168" spans="3:35" ht="18.75">
      <c r="C168" s="213" t="s">
        <v>87</v>
      </c>
      <c r="D168" s="365" t="s">
        <v>103</v>
      </c>
      <c r="E168" s="365"/>
      <c r="F168" s="366"/>
    </row>
    <row r="169" spans="3:35">
      <c r="C169" s="215" t="s">
        <v>88</v>
      </c>
      <c r="D169" s="368" t="s">
        <v>104</v>
      </c>
      <c r="E169" s="369"/>
      <c r="F169" s="370"/>
    </row>
    <row r="170" spans="3:35" ht="18.75">
      <c r="C170" s="215" t="s">
        <v>89</v>
      </c>
      <c r="D170" s="365" t="s">
        <v>105</v>
      </c>
      <c r="E170" s="365"/>
      <c r="F170" s="366"/>
    </row>
    <row r="171" spans="3:35">
      <c r="C171" s="213" t="s">
        <v>90</v>
      </c>
      <c r="D171" s="365" t="s">
        <v>106</v>
      </c>
      <c r="E171" s="365"/>
      <c r="F171" s="366"/>
    </row>
    <row r="172" spans="3:35" ht="16.5" thickBot="1">
      <c r="C172" s="216" t="s">
        <v>94</v>
      </c>
      <c r="D172" s="376" t="s">
        <v>107</v>
      </c>
      <c r="E172" s="377"/>
      <c r="F172" s="378"/>
    </row>
  </sheetData>
  <autoFilter ref="A6:AE142" xr:uid="{C724CDAB-378C-47DB-9F45-08EE3BFB6E8B}">
    <sortState xmlns:xlrd2="http://schemas.microsoft.com/office/spreadsheetml/2017/richdata2" ref="A7:AE69">
      <sortCondition ref="T6:T69"/>
    </sortState>
  </autoFilter>
  <mergeCells count="59">
    <mergeCell ref="B4:B5"/>
    <mergeCell ref="D153:F154"/>
    <mergeCell ref="D145:F145"/>
    <mergeCell ref="I145:L145"/>
    <mergeCell ref="AA4:AD4"/>
    <mergeCell ref="Q144:R144"/>
    <mergeCell ref="D150:F150"/>
    <mergeCell ref="D151:F151"/>
    <mergeCell ref="D152:F152"/>
    <mergeCell ref="S4:U4"/>
    <mergeCell ref="L4:L5"/>
    <mergeCell ref="Q4:R4"/>
    <mergeCell ref="K4:K5"/>
    <mergeCell ref="Y4:Z4"/>
    <mergeCell ref="D172:F172"/>
    <mergeCell ref="D144:F144"/>
    <mergeCell ref="C156:F156"/>
    <mergeCell ref="O144:P144"/>
    <mergeCell ref="I144:N144"/>
    <mergeCell ref="I146:L146"/>
    <mergeCell ref="I147:L147"/>
    <mergeCell ref="I148:L148"/>
    <mergeCell ref="I149:L149"/>
    <mergeCell ref="I150:L150"/>
    <mergeCell ref="C153:C154"/>
    <mergeCell ref="D146:F146"/>
    <mergeCell ref="D147:F147"/>
    <mergeCell ref="D148:F148"/>
    <mergeCell ref="D149:F149"/>
    <mergeCell ref="D157:F157"/>
    <mergeCell ref="D171:F171"/>
    <mergeCell ref="D158:F158"/>
    <mergeCell ref="D159:F159"/>
    <mergeCell ref="D166:F166"/>
    <mergeCell ref="D167:F167"/>
    <mergeCell ref="D168:F168"/>
    <mergeCell ref="D169:F169"/>
    <mergeCell ref="D170:F170"/>
    <mergeCell ref="C161:F161"/>
    <mergeCell ref="D162:F162"/>
    <mergeCell ref="D163:F163"/>
    <mergeCell ref="D164:F164"/>
    <mergeCell ref="D165:F165"/>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2 AG7:AI142">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7" r:id="rId237" xr:uid="{8E310CD5-A28F-4463-BCF0-54C44E66ED53}"/>
    <hyperlink ref="C158" r:id="rId238" xr:uid="{5182D641-FE70-4AC5-A684-B03DCC409CD2}"/>
    <hyperlink ref="C159"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s>
  <pageMargins left="0.25" right="0.17" top="0.5" bottom="0.25" header="0.3" footer="0.3"/>
  <pageSetup paperSize="9" scale="28" orientation="landscape" horizontalDpi="300" verticalDpi="300" r:id="rId504"/>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3"/>
  <sheetViews>
    <sheetView zoomScale="85" zoomScaleNormal="85" zoomScaleSheetLayoutView="85" workbookViewId="0">
      <pane xSplit="5" ySplit="6" topLeftCell="V33" activePane="bottomRight" state="frozen"/>
      <selection pane="topRight" activeCell="D1" sqref="D1"/>
      <selection pane="bottomLeft" activeCell="A7" sqref="A7"/>
      <selection pane="bottomRight" activeCell="AD40" sqref="AD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46310</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50" t="s">
        <v>0</v>
      </c>
      <c r="B4" s="406" t="s">
        <v>515</v>
      </c>
      <c r="C4" s="359" t="s">
        <v>45</v>
      </c>
      <c r="D4" s="348" t="s">
        <v>46</v>
      </c>
      <c r="E4" s="357" t="s">
        <v>47</v>
      </c>
      <c r="F4" s="348" t="s">
        <v>4</v>
      </c>
      <c r="G4" s="355" t="s">
        <v>5</v>
      </c>
      <c r="H4" s="352" t="s">
        <v>48</v>
      </c>
      <c r="I4" s="352" t="s">
        <v>49</v>
      </c>
      <c r="J4" s="348" t="s">
        <v>78</v>
      </c>
      <c r="K4" s="352" t="s">
        <v>80</v>
      </c>
      <c r="L4" s="363" t="s">
        <v>53</v>
      </c>
      <c r="M4" s="364"/>
      <c r="N4" s="362" t="s">
        <v>55</v>
      </c>
      <c r="O4" s="364"/>
      <c r="P4" s="362" t="s">
        <v>72</v>
      </c>
      <c r="Q4" s="364"/>
      <c r="R4" s="363" t="s">
        <v>53</v>
      </c>
      <c r="S4" s="363"/>
      <c r="T4" s="364"/>
      <c r="U4" s="362" t="s">
        <v>55</v>
      </c>
      <c r="V4" s="363"/>
      <c r="W4" s="364"/>
      <c r="X4" s="415" t="s">
        <v>72</v>
      </c>
      <c r="Y4" s="427"/>
      <c r="Z4" s="415" t="s">
        <v>112</v>
      </c>
      <c r="AA4" s="413"/>
      <c r="AB4" s="413"/>
      <c r="AC4" s="414"/>
      <c r="AD4" s="348" t="s">
        <v>79</v>
      </c>
      <c r="AG4" s="236"/>
    </row>
    <row r="5" spans="1:35" ht="78.75">
      <c r="A5" s="351"/>
      <c r="B5" s="407"/>
      <c r="C5" s="360"/>
      <c r="D5" s="354"/>
      <c r="E5" s="358"/>
      <c r="F5" s="354"/>
      <c r="G5" s="356"/>
      <c r="H5" s="353"/>
      <c r="I5" s="353"/>
      <c r="J5" s="354"/>
      <c r="K5" s="353"/>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1"/>
      <c r="AG5" s="417" t="s">
        <v>119</v>
      </c>
      <c r="AH5" s="419" t="s">
        <v>120</v>
      </c>
      <c r="AI5" s="421"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18"/>
      <c r="AH6" s="420"/>
      <c r="AI6" s="422"/>
    </row>
    <row r="7" spans="1:35" s="9" customFormat="1" ht="47.25">
      <c r="A7" s="33">
        <f t="shared" ref="A7:A40" si="0">A6+1</f>
        <v>1</v>
      </c>
      <c r="B7" s="33" t="str">
        <f t="shared" ref="B7:B33" si="1">MID(D7, FIND("-", D7) + 1, 4)</f>
        <v>5.10</v>
      </c>
      <c r="C7" s="164" t="s">
        <v>522</v>
      </c>
      <c r="D7" s="25" t="s">
        <v>519</v>
      </c>
      <c r="E7" s="174">
        <f t="shared" ref="E7:E40"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_xlfn._xlws.FILTER($AG$7:$AG$4869,$K$7:$K$4869&lt;&gt;"X"),
_xlfn._xlws.FILTER($D$7:$D$4869,$K$7:$K$4869&lt;&gt;"X"),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0"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2" si="5">IF(AND($Q8="",$H8=""),"",IF(OR($Q8="B",$Q8="C"),IF($Y8&lt;&gt;"",$Y8+7,IF($X8&lt;&gt;"",$X8+8,"")),IF($Q8="",IF(OR($H8="B",$H8="C"),IF($V8&lt;&gt;"",$V8+7,IF($U8&lt;&gt;"",$U8+8,""))),"")))</f>
        <v>45681</v>
      </c>
      <c r="AA8" s="229">
        <v>45850</v>
      </c>
      <c r="AB8" s="229" t="str">
        <f t="shared" ref="AB8:AB40" si="6">IF(OR($Q8="B",$Q8="C"),IF($Z8="","",IF($AA8="",IF($Z8&gt;=$I$1,"In progress","Not submit yet"),IF($Z8&gt;=$AA8,"Timely Response","Late Resubmission"))),"")</f>
        <v>Late Resubmission</v>
      </c>
      <c r="AC8" s="183">
        <f t="shared" ref="AC8:AC33" si="7">IF(AB8="Late Resubmission",IF(AA8="","",AA8-Z8),IF(AB8="Not submit yet",IF(Z8="","",$I$1-Z8),""))</f>
        <v>169</v>
      </c>
      <c r="AD8" s="92"/>
      <c r="AG8" s="238" t="str">
        <f t="shared" ref="AG8:AG40" si="8">IF(AND(RIGHT($D8,1)&gt;="A",RIGHT($D8,1)&lt;="Z"),LEFT($D8,LEN($D8)-1),$D8)</f>
        <v>LTIA-5.10-VIETUR-80000-RFA-SDS-0122</v>
      </c>
      <c r="AH8" s="243" t="b" cm="1">
        <f t="array" ref="AH8">$D8=_xlfn.XLOOKUP(
AG8,
_xlfn._xlws.FILTER($AG$7:$AG$4869,$K$7:$K$4869&lt;&gt;"X"),
_xlfn._xlws.FILTER($D$7:$D$4869,$K$7:$K$4869&lt;&gt;"X"),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_xlfn._xlws.FILTER($AG$7:$AG$4869,$K$7:$K$4869&lt;&gt;"X"),
_xlfn._xlws.FILTER($D$7:$D$4869,$K$7:$K$4869&lt;&gt;"X"),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_xlfn._xlws.FILTER($AG$7:$AG$4869,$K$7:$K$4869&lt;&gt;"X"),
_xlfn._xlws.FILTER($D$7:$D$4869,$K$7:$K$4869&lt;&gt;"X"),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_xlfn._xlws.FILTER($AG$7:$AG$4869,$K$7:$K$4869&lt;&gt;"X"),
_xlfn._xlws.FILTER($D$7:$D$4869,$K$7:$K$4869&lt;&gt;"X"),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547</v>
      </c>
      <c r="AD12" s="92"/>
      <c r="AG12" s="238" t="str">
        <f t="shared" si="8"/>
        <v>LTIA-5.10-VIETUR-80000-RFA-SDS-0214</v>
      </c>
      <c r="AH12" s="243" t="b" cm="1">
        <f t="array" ref="AH12">$D12=_xlfn.XLOOKUP(
AG12,
_xlfn._xlws.FILTER($AG$7:$AG$4869,$K$7:$K$4869&lt;&gt;"X"),
_xlfn._xlws.FILTER($D$7:$D$4869,$K$7:$K$4869&lt;&gt;"X"),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_xlfn._xlws.FILTER($AG$7:$AG$4869,$K$7:$K$4869&lt;&gt;"X"),
_xlfn._xlws.FILTER($D$7:$D$4869,$K$7:$K$4869&lt;&gt;"X"),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0"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457</v>
      </c>
      <c r="AD14" s="92"/>
      <c r="AG14" s="238" t="str">
        <f t="shared" si="8"/>
        <v>LTIA-5.10-VIETUR-80000-RFA-SDS-0297</v>
      </c>
      <c r="AH14" s="243" t="b" cm="1">
        <f t="array" ref="AH14">$D14=_xlfn.XLOOKUP(
AG14,
_xlfn._xlws.FILTER($AG$7:$AG$4869,$K$7:$K$4869&lt;&gt;"X"),
_xlfn._xlws.FILTER($D$7:$D$4869,$K$7:$K$4869&lt;&gt;"X"),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_xlfn._xlws.FILTER($AG$7:$AG$4869,$K$7:$K$4869&lt;&gt;"X"),
_xlfn._xlws.FILTER($D$7:$D$4869,$K$7:$K$4869&lt;&gt;"X"),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346</v>
      </c>
      <c r="AD16" s="92"/>
      <c r="AG16" s="238" t="str">
        <f t="shared" si="8"/>
        <v>LTIA-5.10-VIETUR-80000-RFA-SDS-0330</v>
      </c>
      <c r="AH16" s="243" t="b" cm="1">
        <f t="array" ref="AH16">$D16=_xlfn.XLOOKUP(
AG16,
_xlfn._xlws.FILTER($AG$7:$AG$4869,$K$7:$K$4869&lt;&gt;"X"),
_xlfn._xlws.FILTER($D$7:$D$4869,$K$7:$K$4869&lt;&gt;"X"),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346</v>
      </c>
      <c r="AD17" s="92"/>
      <c r="AG17" s="238" t="str">
        <f t="shared" si="8"/>
        <v>LTIA-5.10-VIETUR-80000-RFA-SDS-0122</v>
      </c>
      <c r="AH17" s="243" t="b" cm="1">
        <f t="array" ref="AH17">$D17=_xlfn.XLOOKUP(
AG17,
_xlfn._xlws.FILTER($AG$7:$AG$4869,$K$7:$K$4869&lt;&gt;"X"),
_xlfn._xlws.FILTER($D$7:$D$4869,$K$7:$K$4869&lt;&gt;"X"),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346</v>
      </c>
      <c r="AD18" s="92"/>
      <c r="AG18" s="238" t="str">
        <f t="shared" si="8"/>
        <v>LTIA-5.10-VIETUR-80000-RFA-SDS-0080</v>
      </c>
      <c r="AH18" s="243" t="b" cm="1">
        <f t="array" ref="AH18">$D18=_xlfn.XLOOKUP(
AG18,
_xlfn._xlws.FILTER($AG$7:$AG$4869,$K$7:$K$4869&lt;&gt;"X"),
_xlfn._xlws.FILTER($D$7:$D$4869,$K$7:$K$4869&lt;&gt;"X"),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_xlfn._xlws.FILTER($AG$7:$AG$4869,$K$7:$K$4869&lt;&gt;"X"),
_xlfn._xlws.FILTER($D$7:$D$4869,$K$7:$K$4869&lt;&gt;"X"),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_xlfn._xlws.FILTER($AG$7:$AG$4869,$K$7:$K$4869&lt;&gt;"X"),
_xlfn._xlws.FILTER($D$7:$D$4869,$K$7:$K$4869&lt;&gt;"X"),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_xlfn._xlws.FILTER($AG$7:$AG$4869,$K$7:$K$4869&lt;&gt;"X"),
_xlfn._xlws.FILTER($D$7:$D$4869,$K$7:$K$4869&lt;&gt;"X"),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_xlfn._xlws.FILTER($AG$7:$AG$4869,$K$7:$K$4869&lt;&gt;"X"),
_xlfn._xlws.FILTER($D$7:$D$4869,$K$7:$K$4869&lt;&gt;"X"),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346</v>
      </c>
      <c r="AD23" s="92"/>
      <c r="AG23" s="238" t="str">
        <f t="shared" si="8"/>
        <v>LTIA-5.10-VIETUR-80000-RFA-SDS-0350</v>
      </c>
      <c r="AH23" s="243" t="b" cm="1">
        <f t="array" ref="AH23">$D23=_xlfn.XLOOKUP(
AG23,
_xlfn._xlws.FILTER($AG$7:$AG$4869,$K$7:$K$4869&lt;&gt;"X"),
_xlfn._xlws.FILTER($D$7:$D$4869,$K$7:$K$4869&lt;&gt;"X"),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346</v>
      </c>
      <c r="AD24" s="92"/>
      <c r="AG24" s="238" t="str">
        <f t="shared" si="8"/>
        <v>LTIA-5.10-VIETUR-80000-RFA-SDS-0140</v>
      </c>
      <c r="AH24" s="243" t="b" cm="1">
        <f t="array" ref="AH24">$D24=_xlfn.XLOOKUP(
AG24,
_xlfn._xlws.FILTER($AG$7:$AG$4869,$K$7:$K$4869&lt;&gt;"X"),
_xlfn._xlws.FILTER($D$7:$D$4869,$K$7:$K$4869&lt;&gt;"X"),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273</v>
      </c>
      <c r="AD25" s="92" t="s">
        <v>887</v>
      </c>
      <c r="AG25" s="238" t="str">
        <f t="shared" si="8"/>
        <v>LTIA-5.10-VIETUR-80000-RFA-SDS-0222</v>
      </c>
      <c r="AH25" s="243" t="b" cm="1">
        <f t="array" ref="AH25">$D25=_xlfn.XLOOKUP(
AG25,
_xlfn._xlws.FILTER($AG$7:$AG$4869,$K$7:$K$4869&lt;&gt;"X"),
_xlfn._xlws.FILTER($D$7:$D$4869,$K$7:$K$4869&lt;&gt;"X"),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324</v>
      </c>
      <c r="AD26" s="92"/>
      <c r="AG26" s="238" t="str">
        <f t="shared" si="8"/>
        <v>LTIA-5.10-VIETUR-80000-RFA-SDS-0371</v>
      </c>
      <c r="AH26" s="243" t="b" cm="1">
        <f t="array" ref="AH26">$D26=_xlfn.XLOOKUP(
AG26,
_xlfn._xlws.FILTER($AG$7:$AG$4869,$K$7:$K$4869&lt;&gt;"X"),
_xlfn._xlws.FILTER($D$7:$D$4869,$K$7:$K$4869&lt;&gt;"X"),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304</v>
      </c>
      <c r="AD27" s="92"/>
      <c r="AG27" s="238" t="str">
        <f t="shared" si="8"/>
        <v>LTIA-5.10-VIETUR-80000-RFA-SDS-0197</v>
      </c>
      <c r="AH27" s="243" t="b" cm="1">
        <f t="array" ref="AH27">$D27=_xlfn.XLOOKUP(
AG27,
_xlfn._xlws.FILTER($AG$7:$AG$4869,$K$7:$K$4869&lt;&gt;"X"),
_xlfn._xlws.FILTER($D$7:$D$4869,$K$7:$K$4869&lt;&gt;"X"),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_xlfn._xlws.FILTER($AG$7:$AG$4869,$K$7:$K$4869&lt;&gt;"X"),
_xlfn._xlws.FILTER($D$7:$D$4869,$K$7:$K$4869&lt;&gt;"X"),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_xlfn._xlws.FILTER($AG$7:$AG$4869,$K$7:$K$4869&lt;&gt;"X"),
_xlfn._xlws.FILTER($D$7:$D$4869,$K$7:$K$4869&lt;&gt;"X"),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304</v>
      </c>
      <c r="AD30" s="92" t="s">
        <v>593</v>
      </c>
      <c r="AG30" s="238" t="str">
        <f t="shared" si="8"/>
        <v>LTIA-5.10-VIETUR-80000-RFA-SDS-0160</v>
      </c>
      <c r="AH30" s="243" t="b" cm="1">
        <f t="array" ref="AH30">$D30=_xlfn.XLOOKUP(
AG30,
_xlfn._xlws.FILTER($AG$7:$AG$4869,$K$7:$K$4869&lt;&gt;"X"),
_xlfn._xlws.FILTER($D$7:$D$4869,$K$7:$K$4869&lt;&gt;"X"),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169</v>
      </c>
      <c r="J31" s="47">
        <f t="shared" ca="1" si="4"/>
        <v>148</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_xlfn._xlws.FILTER($AG$7:$AG$4869,$K$7:$K$4869&lt;&gt;"X"),
_xlfn._xlws.FILTER($D$7:$D$4869,$K$7:$K$4869&lt;&gt;"X"),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_xlfn._xlws.FILTER($AG$7:$AG$4869,$K$7:$K$4869&lt;&gt;"X"),
_xlfn._xlws.FILTER($D$7:$D$4869,$K$7:$K$4869&lt;&gt;"X"),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_xlfn._xlws.FILTER($AG$7:$AG$4869,$K$7:$K$4869&lt;&gt;"X"),
_xlfn._xlws.FILTER($D$7:$D$4869,$K$7:$K$4869&lt;&gt;"X"),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_xlfn._xlws.FILTER($AG$7:$AG$4869,$K$7:$K$4869&lt;&gt;"X"),
_xlfn._xlws.FILTER($D$7:$D$4869,$K$7:$K$4869&lt;&gt;"X"),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6</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1068</v>
      </c>
      <c r="AG35" s="238" t="str">
        <f t="shared" si="8"/>
        <v>LTIA-5.10-VIETUR-80000-RFA-SDS-0417</v>
      </c>
      <c r="AH35" s="243" t="b" cm="1">
        <f t="array" ref="AH35">$D35=_xlfn.XLOOKUP(
AG35,
_xlfn._xlws.FILTER($AG$7:$AG$4869,$K$7:$K$4869&lt;&gt;"X"),
_xlfn._xlws.FILTER($D$7:$D$4869,$K$7:$K$4869&lt;&gt;"X"),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_xlfn._xlws.FILTER($AG$7:$AG$4869,$K$7:$K$4869&lt;&gt;"X"),
_xlfn._xlws.FILTER($D$7:$D$4869,$K$7:$K$4869&lt;&gt;"X"),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29</v>
      </c>
      <c r="J37" s="47">
        <f t="shared" ca="1" si="4"/>
        <v>8</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_xlfn._xlws.FILTER($AG$7:$AG$4869,$K$7:$K$4869&lt;&gt;"X"),
_xlfn._xlws.FILTER($D$7:$D$4869,$K$7:$K$4869&lt;&gt;"X"),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_xlfn._xlws.FILTER($AG$7:$AG$4869,$K$7:$K$4869&lt;&gt;"X"),
_xlfn._xlws.FILTER($D$7:$D$4869,$K$7:$K$4869&lt;&gt;"X"),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6</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1068</v>
      </c>
      <c r="AG39" s="238" t="str">
        <f t="shared" si="8"/>
        <v xml:space="preserve">  LTIA-5.10-VIETUR-80000-RFA-SDS-0394</v>
      </c>
      <c r="AH39" s="243" t="b" cm="1">
        <f t="array" ref="AH39">$D39=_xlfn.XLOOKUP(
AG39,
_xlfn._xlws.FILTER($AG$7:$AG$4869,$K$7:$K$4869&lt;&gt;"X"),
_xlfn._xlws.FILTER($D$7:$D$4869,$K$7:$K$4869&lt;&gt;"X"),
"",
0,
-1
)</f>
        <v>1</v>
      </c>
      <c r="AI39" s="75" t="str">
        <f>IF(AND($AH39,OR($Q39="B",$Q39="C")),"YES","")</f>
        <v/>
      </c>
    </row>
    <row r="40" spans="1:35" s="9" customFormat="1" ht="63">
      <c r="A40" s="33">
        <f t="shared" si="0"/>
        <v>34</v>
      </c>
      <c r="B40" s="33" t="str">
        <f t="shared" ref="B40" si="21">MID(D40, FIND("-", D40) + 1, 4)</f>
        <v>5.10</v>
      </c>
      <c r="C40" s="164"/>
      <c r="D40" s="25" t="s">
        <v>1059</v>
      </c>
      <c r="E40" s="174">
        <f t="shared" si="2"/>
        <v>46330</v>
      </c>
      <c r="F40" s="31" t="s">
        <v>1060</v>
      </c>
      <c r="G40" s="21" t="s">
        <v>1061</v>
      </c>
      <c r="H40" s="138"/>
      <c r="I40" s="164">
        <f t="shared" ca="1" si="10"/>
        <v>1</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_xlfn._xlws.FILTER($AG$7:$AG$4869,$K$7:$K$4869&lt;&gt;"X"),
_xlfn._xlws.FILTER($D$7:$D$4869,$K$7:$K$4869&lt;&gt;"X"),
"",
0,
-1
)</f>
        <v>1</v>
      </c>
      <c r="AI40" s="75" t="str">
        <f>IF(AND($AH40,OR($Q40="B",$Q40="C")),"YES","")</f>
        <v/>
      </c>
    </row>
    <row r="41" spans="1:35" s="9" customFormat="1">
      <c r="A41" s="23"/>
      <c r="B41" s="33"/>
      <c r="C41" s="137"/>
      <c r="D41" s="25"/>
      <c r="E41" s="174"/>
      <c r="F41" s="31"/>
      <c r="G41" s="21"/>
      <c r="H41" s="138"/>
      <c r="I41" s="177"/>
      <c r="J41" s="47"/>
      <c r="K41" s="164"/>
      <c r="L41" s="52"/>
      <c r="M41" s="66"/>
      <c r="N41" s="40"/>
      <c r="O41" s="37"/>
      <c r="P41" s="17"/>
      <c r="Q41" s="183"/>
      <c r="R41" s="27"/>
      <c r="S41" s="27"/>
      <c r="T41" s="187"/>
      <c r="U41" s="29"/>
      <c r="V41" s="188"/>
      <c r="W41" s="227"/>
      <c r="X41" s="230"/>
      <c r="Y41" s="227"/>
      <c r="Z41" s="29" t="str">
        <f t="shared" si="5"/>
        <v/>
      </c>
      <c r="AA41" s="229"/>
      <c r="AB41" s="229"/>
      <c r="AC41" s="19"/>
      <c r="AD41" s="92"/>
      <c r="AG41" s="238"/>
      <c r="AH41" s="243"/>
      <c r="AI41" s="75"/>
    </row>
    <row r="42" spans="1:35" s="9" customFormat="1" ht="16.5" thickBot="1">
      <c r="A42" s="24"/>
      <c r="B42" s="329"/>
      <c r="C42" s="165"/>
      <c r="D42" s="45"/>
      <c r="E42" s="175"/>
      <c r="F42" s="32"/>
      <c r="G42" s="22"/>
      <c r="H42" s="139"/>
      <c r="I42" s="178"/>
      <c r="J42" s="132"/>
      <c r="K42" s="199"/>
      <c r="L42" s="53"/>
      <c r="M42" s="67"/>
      <c r="N42" s="18"/>
      <c r="O42" s="38"/>
      <c r="P42" s="18"/>
      <c r="Q42" s="184"/>
      <c r="R42" s="44"/>
      <c r="S42" s="44"/>
      <c r="T42" s="189"/>
      <c r="U42" s="43"/>
      <c r="V42" s="194"/>
      <c r="W42" s="228"/>
      <c r="X42" s="232"/>
      <c r="Y42" s="228"/>
      <c r="Z42" s="43" t="str">
        <f t="shared" si="5"/>
        <v/>
      </c>
      <c r="AA42" s="233"/>
      <c r="AB42" s="233"/>
      <c r="AC42" s="20"/>
      <c r="AD42" s="93"/>
      <c r="AG42" s="239"/>
      <c r="AH42" s="244"/>
      <c r="AI42" s="241"/>
    </row>
    <row r="43" spans="1:35" ht="16.5" thickBot="1"/>
    <row r="44" spans="1:35" ht="16.5" thickBot="1">
      <c r="C44" s="166" t="s">
        <v>20</v>
      </c>
      <c r="D44" s="379" t="s">
        <v>21</v>
      </c>
      <c r="E44" s="380"/>
      <c r="F44" s="46"/>
      <c r="G44" s="46"/>
      <c r="H44" s="384" t="s">
        <v>14</v>
      </c>
      <c r="I44" s="385"/>
      <c r="J44" s="385"/>
      <c r="K44" s="385"/>
      <c r="L44" s="385"/>
      <c r="M44" s="386"/>
      <c r="N44" s="382" t="s">
        <v>7</v>
      </c>
      <c r="O44" s="383"/>
      <c r="P44" s="382" t="s">
        <v>109</v>
      </c>
      <c r="Q44" s="383"/>
      <c r="R44" s="1"/>
      <c r="S44" s="1"/>
      <c r="T44" s="140"/>
      <c r="U44" s="1"/>
      <c r="W44" s="11"/>
      <c r="X44" s="11"/>
      <c r="Y44" s="11"/>
      <c r="Z44" s="11"/>
      <c r="AA44" s="11"/>
      <c r="AB44" s="11"/>
      <c r="AC44" s="11"/>
      <c r="AG44" s="11"/>
      <c r="AH44" s="11"/>
      <c r="AI44" s="11"/>
    </row>
    <row r="45" spans="1:35" ht="16.5" thickBot="1">
      <c r="C45" s="195" t="s">
        <v>109</v>
      </c>
      <c r="D45" s="425" t="s">
        <v>111</v>
      </c>
      <c r="E45" s="426"/>
      <c r="F45" s="46"/>
      <c r="H45" s="384" t="s">
        <v>18</v>
      </c>
      <c r="I45" s="385"/>
      <c r="J45" s="385"/>
      <c r="K45" s="386"/>
      <c r="L45" s="105">
        <f ca="1">M45/$M$45</f>
        <v>1</v>
      </c>
      <c r="M45" s="106">
        <f ca="1">SUM($M$46:$M$50)</f>
        <v>36</v>
      </c>
      <c r="N45" s="102" t="s">
        <v>15</v>
      </c>
      <c r="O45" s="103" t="s">
        <v>16</v>
      </c>
      <c r="P45" s="105">
        <f ca="1">Q45/$Q$45</f>
        <v>1</v>
      </c>
      <c r="Q45" s="220">
        <f ca="1">SUM(Q46:Q49)</f>
        <v>32</v>
      </c>
      <c r="R45" s="1"/>
      <c r="S45" s="1"/>
      <c r="T45" s="140"/>
      <c r="U45" s="1"/>
      <c r="W45" s="11"/>
      <c r="X45" s="11"/>
      <c r="Y45" s="11"/>
      <c r="Z45" s="11"/>
      <c r="AA45" s="11"/>
      <c r="AB45" s="11"/>
      <c r="AC45" s="11"/>
      <c r="AG45" s="11"/>
      <c r="AH45" s="11"/>
      <c r="AI45" s="11"/>
    </row>
    <row r="46" spans="1:35">
      <c r="C46" s="195" t="s">
        <v>36</v>
      </c>
      <c r="D46" s="423" t="s">
        <v>37</v>
      </c>
      <c r="E46" s="424"/>
      <c r="F46" s="69"/>
      <c r="G46" s="6"/>
      <c r="H46" s="387" t="s">
        <v>66</v>
      </c>
      <c r="I46" s="388"/>
      <c r="J46" s="388"/>
      <c r="K46" s="389"/>
      <c r="L46" s="107">
        <f ca="1">M46/$M$45</f>
        <v>2.7777777777777776E-2</v>
      </c>
      <c r="M46" s="108">
        <f>COUNTIF($H$7:$H$42,"A")</f>
        <v>1</v>
      </c>
      <c r="N46" s="100">
        <f ca="1">COUNTIFS($I$7:$I$42,"&lt;=21",$H$7:$H$42,"A")</f>
        <v>1</v>
      </c>
      <c r="O46" s="101">
        <f ca="1">COUNTIFS($I$7:$I$42,"&gt;21",$H$7:$H$42,"A")</f>
        <v>0</v>
      </c>
      <c r="P46" s="107">
        <f ca="1">Q46/$Q$45</f>
        <v>3.125E-2</v>
      </c>
      <c r="Q46" s="108">
        <f>COUNTIF($Q$7:$Q$42,"A")</f>
        <v>1</v>
      </c>
      <c r="R46" s="1"/>
      <c r="S46" s="1"/>
      <c r="T46" s="140"/>
      <c r="U46" s="1"/>
      <c r="W46" s="11"/>
      <c r="X46" s="11"/>
      <c r="Y46" s="11"/>
      <c r="Z46" s="11"/>
      <c r="AA46" s="11"/>
      <c r="AB46" s="11"/>
      <c r="AC46" s="11"/>
      <c r="AG46" s="11"/>
      <c r="AH46" s="11"/>
      <c r="AI46" s="11"/>
    </row>
    <row r="47" spans="1:35">
      <c r="C47" s="402" t="s">
        <v>75</v>
      </c>
      <c r="D47" s="408" t="s">
        <v>76</v>
      </c>
      <c r="E47" s="409"/>
      <c r="F47" s="70"/>
      <c r="G47" s="6"/>
      <c r="H47" s="390" t="s">
        <v>67</v>
      </c>
      <c r="I47" s="391"/>
      <c r="J47" s="391"/>
      <c r="K47" s="392"/>
      <c r="L47" s="109">
        <f t="shared" ref="L47:L50" ca="1" si="23">M47/$M$45</f>
        <v>0.55555555555555558</v>
      </c>
      <c r="M47" s="110">
        <f>COUNTIF($H$7:$H$42,"B")</f>
        <v>20</v>
      </c>
      <c r="N47" s="98">
        <f ca="1">COUNTIFS($I$7:$I$42,"&lt;=21",$H$7:$H$42,"B")</f>
        <v>8</v>
      </c>
      <c r="O47" s="50">
        <f ca="1">COUNTIFS($I$7:$I$42,"&gt;21",$H$7:$H$42,"B")</f>
        <v>12</v>
      </c>
      <c r="P47" s="109">
        <f t="shared" ref="P47:P49" ca="1" si="24">Q47/$Q$45</f>
        <v>0.625</v>
      </c>
      <c r="Q47" s="110">
        <f>COUNTIF($Q$7:$Q$42,"B")</f>
        <v>20</v>
      </c>
      <c r="R47" s="1"/>
      <c r="S47" s="1"/>
      <c r="T47" s="140"/>
      <c r="U47" s="1"/>
      <c r="W47" s="11"/>
      <c r="X47" s="11"/>
      <c r="Y47" s="11"/>
      <c r="Z47" s="11"/>
      <c r="AA47" s="11"/>
      <c r="AB47" s="11"/>
      <c r="AC47" s="11"/>
      <c r="AG47" s="11"/>
      <c r="AH47" s="11"/>
      <c r="AI47" s="11"/>
    </row>
    <row r="48" spans="1:35" ht="16.5" thickBot="1">
      <c r="C48" s="403"/>
      <c r="D48" s="410"/>
      <c r="E48" s="411"/>
      <c r="F48" s="71"/>
      <c r="G48" s="6"/>
      <c r="H48" s="393" t="s">
        <v>68</v>
      </c>
      <c r="I48" s="394"/>
      <c r="J48" s="394"/>
      <c r="K48" s="395"/>
      <c r="L48" s="111">
        <f t="shared" ca="1" si="23"/>
        <v>0.22222222222222221</v>
      </c>
      <c r="M48" s="112">
        <f>COUNTIF($H$7:$H$42,"C")</f>
        <v>8</v>
      </c>
      <c r="N48" s="98">
        <f ca="1">COUNTIFS($I$7:$I$42,"&lt;=21",$H$7:$H$42,"C")</f>
        <v>3</v>
      </c>
      <c r="O48" s="50">
        <f ca="1">COUNTIFS($I$7:$I$42,"&gt;21",$H$7:$H$42,"C")</f>
        <v>5</v>
      </c>
      <c r="P48" s="111">
        <f t="shared" ca="1" si="24"/>
        <v>9.375E-2</v>
      </c>
      <c r="Q48" s="112">
        <f>COUNTIF($Q$7:$Q$42,"C")</f>
        <v>3</v>
      </c>
      <c r="R48" s="1"/>
      <c r="S48" s="1"/>
      <c r="T48" s="140"/>
      <c r="U48" s="1"/>
      <c r="W48" s="11"/>
      <c r="X48" s="11"/>
      <c r="Y48" s="11"/>
      <c r="Z48" s="11"/>
      <c r="AA48" s="11"/>
      <c r="AB48" s="11"/>
      <c r="AC48" s="11"/>
      <c r="AG48" s="11"/>
      <c r="AH48" s="11"/>
      <c r="AI48" s="11"/>
    </row>
    <row r="49" spans="3:35">
      <c r="F49" s="72"/>
      <c r="G49" s="6"/>
      <c r="H49" s="396" t="s">
        <v>70</v>
      </c>
      <c r="I49" s="397"/>
      <c r="J49" s="397"/>
      <c r="K49" s="398"/>
      <c r="L49" s="114">
        <f t="shared" ca="1" si="23"/>
        <v>0.1388888888888889</v>
      </c>
      <c r="M49" s="115">
        <f ca="1">SUM(N49:O49)</f>
        <v>5</v>
      </c>
      <c r="N49" s="98">
        <f ca="1">COUNTIFS($I$7:$I$42,"&lt;=21",$U$7:$U$42,"",$K$7:$K$42,"&lt;&gt;X")</f>
        <v>3</v>
      </c>
      <c r="O49" s="50">
        <f ca="1">COUNTIFS($I$7:$I$42,"&gt;21",$U$7:$U$42,"",$K$7:$K$42,"&lt;&gt;X")</f>
        <v>2</v>
      </c>
      <c r="P49" s="114">
        <f t="shared" ca="1" si="24"/>
        <v>0.25</v>
      </c>
      <c r="Q49" s="115">
        <f ca="1">COUNTIFS($I$7:$I$42,"&gt;=0",$P$7:$P$42,"",$K$7:$K$42,"&lt;&gt;X")</f>
        <v>8</v>
      </c>
      <c r="R49" s="1" t="s">
        <v>10</v>
      </c>
      <c r="S49" s="1"/>
      <c r="T49" s="140"/>
      <c r="U49" s="1"/>
      <c r="W49" s="11"/>
      <c r="X49" s="11"/>
      <c r="Y49" s="11"/>
      <c r="Z49" s="11"/>
      <c r="AA49" s="11"/>
      <c r="AB49" s="11"/>
      <c r="AC49" s="11"/>
      <c r="AG49" s="11"/>
      <c r="AH49" s="11"/>
      <c r="AI49" s="11"/>
    </row>
    <row r="50" spans="3:35" ht="16.5" thickBot="1">
      <c r="C50" s="381" t="s">
        <v>41</v>
      </c>
      <c r="D50" s="381"/>
      <c r="E50" s="381"/>
      <c r="H50" s="399" t="s">
        <v>71</v>
      </c>
      <c r="I50" s="400"/>
      <c r="J50" s="400"/>
      <c r="K50" s="401"/>
      <c r="L50" s="113">
        <f t="shared" ca="1" si="23"/>
        <v>5.5555555555555552E-2</v>
      </c>
      <c r="M50" s="97">
        <f>COUNTIFS($K$7:$K$42,"X")</f>
        <v>2</v>
      </c>
      <c r="N50" s="99"/>
      <c r="O50" s="51"/>
      <c r="P50" s="221"/>
      <c r="Q50" s="222"/>
    </row>
    <row r="51" spans="3:35">
      <c r="C51" s="169" t="s">
        <v>8</v>
      </c>
      <c r="D51" s="1" t="s">
        <v>42</v>
      </c>
    </row>
    <row r="52" spans="3:35">
      <c r="C52" s="169" t="s">
        <v>8</v>
      </c>
      <c r="D52" s="127" t="s">
        <v>43</v>
      </c>
    </row>
    <row r="53" spans="3:35">
      <c r="C53" s="169" t="s">
        <v>8</v>
      </c>
      <c r="D53" s="1" t="s">
        <v>44</v>
      </c>
    </row>
  </sheetData>
  <autoFilter ref="A6:AD34" xr:uid="{4D8E8261-1CEF-42DB-8488-C430D415EC88}">
    <sortState xmlns:xlrd2="http://schemas.microsoft.com/office/spreadsheetml/2017/richdata2" ref="A7:AD33">
      <sortCondition ref="S6:S33"/>
    </sortState>
  </autoFilter>
  <mergeCells count="37">
    <mergeCell ref="P44:Q44"/>
    <mergeCell ref="X4:Y4"/>
    <mergeCell ref="Z4:AC4"/>
    <mergeCell ref="A4:A5"/>
    <mergeCell ref="D4:D5"/>
    <mergeCell ref="E4:E5"/>
    <mergeCell ref="F4:F5"/>
    <mergeCell ref="G4:G5"/>
    <mergeCell ref="C4:C5"/>
    <mergeCell ref="D44:E44"/>
    <mergeCell ref="B4:B5"/>
    <mergeCell ref="D46:E46"/>
    <mergeCell ref="C50:E50"/>
    <mergeCell ref="H46:K46"/>
    <mergeCell ref="H47:K47"/>
    <mergeCell ref="H44:M44"/>
    <mergeCell ref="H48:K48"/>
    <mergeCell ref="H49:K49"/>
    <mergeCell ref="C47:C48"/>
    <mergeCell ref="D47:E48"/>
    <mergeCell ref="D45:E45"/>
    <mergeCell ref="AG5:AG6"/>
    <mergeCell ref="AH5:AH6"/>
    <mergeCell ref="AI5:AI6"/>
    <mergeCell ref="H50:K50"/>
    <mergeCell ref="H45:K45"/>
    <mergeCell ref="N44:O44"/>
    <mergeCell ref="AD4:AD5"/>
    <mergeCell ref="H4:H5"/>
    <mergeCell ref="I4:I5"/>
    <mergeCell ref="L4:M4"/>
    <mergeCell ref="N4:O4"/>
    <mergeCell ref="R4:T4"/>
    <mergeCell ref="U4:W4"/>
    <mergeCell ref="K4:K5"/>
    <mergeCell ref="P4:Q4"/>
    <mergeCell ref="J4:J5"/>
  </mergeCells>
  <phoneticPr fontId="5" type="noConversion"/>
  <conditionalFormatting sqref="A7:AD42 AG7:AI42">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1" r:id="rId103" xr:uid="{BDBBB1AA-41DD-4769-B198-E0D4B6B569E2}"/>
    <hyperlink ref="C52" r:id="rId104" xr:uid="{174B2EE8-A853-4328-A727-C5D3FC38F2B6}"/>
    <hyperlink ref="C53"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s>
  <pageMargins left="0.25" right="0.17" top="0.5" bottom="0.25" header="0.3" footer="0.3"/>
  <pageSetup paperSize="9" scale="29" orientation="landscape" horizontalDpi="300" verticalDpi="300" r:id="rId14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2"/>
  <sheetViews>
    <sheetView zoomScale="85" zoomScaleNormal="85" zoomScaleSheetLayoutView="85" workbookViewId="0">
      <pane xSplit="5" ySplit="6" topLeftCell="F120" activePane="bottomRight" state="frozen"/>
      <selection pane="topRight" activeCell="D1" sqref="D1"/>
      <selection pane="bottomLeft" activeCell="A7" sqref="A7"/>
      <selection pane="bottomRight" activeCell="Q126" sqref="Q126"/>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46310</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6" t="s">
        <v>0</v>
      </c>
      <c r="B4" s="406" t="s">
        <v>515</v>
      </c>
      <c r="C4" s="359" t="s">
        <v>45</v>
      </c>
      <c r="D4" s="348" t="s">
        <v>46</v>
      </c>
      <c r="E4" s="428" t="s">
        <v>47</v>
      </c>
      <c r="F4" s="348" t="s">
        <v>4</v>
      </c>
      <c r="G4" s="430" t="s">
        <v>5</v>
      </c>
      <c r="H4" s="352" t="s">
        <v>48</v>
      </c>
      <c r="I4" s="432" t="s">
        <v>49</v>
      </c>
      <c r="J4" s="348" t="s">
        <v>78</v>
      </c>
      <c r="K4" s="352" t="s">
        <v>80</v>
      </c>
      <c r="L4" s="362" t="s">
        <v>53</v>
      </c>
      <c r="M4" s="364"/>
      <c r="N4" s="362" t="s">
        <v>55</v>
      </c>
      <c r="O4" s="364"/>
      <c r="P4" s="362" t="s">
        <v>72</v>
      </c>
      <c r="Q4" s="364"/>
      <c r="R4" s="363" t="s">
        <v>53</v>
      </c>
      <c r="S4" s="363"/>
      <c r="T4" s="364"/>
      <c r="U4" s="362" t="s">
        <v>55</v>
      </c>
      <c r="V4" s="363"/>
      <c r="W4" s="363"/>
      <c r="X4" s="415" t="s">
        <v>72</v>
      </c>
      <c r="Y4" s="416"/>
      <c r="Z4" s="364" t="s">
        <v>79</v>
      </c>
    </row>
    <row r="5" spans="1:26" ht="72" customHeight="1">
      <c r="A5" s="407"/>
      <c r="B5" s="407"/>
      <c r="C5" s="360"/>
      <c r="D5" s="354"/>
      <c r="E5" s="429"/>
      <c r="F5" s="354"/>
      <c r="G5" s="431"/>
      <c r="H5" s="353"/>
      <c r="I5" s="433"/>
      <c r="J5" s="354"/>
      <c r="K5" s="353"/>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1"/>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499</v>
      </c>
      <c r="J39" s="47">
        <f t="shared" ca="1" si="10"/>
        <v>478</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275</v>
      </c>
      <c r="J70" s="47">
        <f t="shared" ref="J70:J78" ca="1" si="15">IF(($I70-21)&gt;0,$I70-21,0)</f>
        <v>254</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8" si="23">IF($T80=0,$S80+22,$T80+21)</f>
        <v>45945</v>
      </c>
      <c r="F80" s="31" t="s">
        <v>629</v>
      </c>
      <c r="G80" s="21" t="s">
        <v>630</v>
      </c>
      <c r="H80" s="138" t="s">
        <v>6</v>
      </c>
      <c r="I80" s="164">
        <f t="shared" ref="I80:I128" si="24">IF(ISBLANK($V80),_xlfn.DAYS($I$1,$T80),_xlfn.DAYS($V80,$T80))</f>
        <v>6</v>
      </c>
      <c r="J80" s="47">
        <f t="shared" ref="J80:J128"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8"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114</v>
      </c>
      <c r="J97" s="47">
        <f t="shared" ca="1" si="25"/>
        <v>93</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125</v>
      </c>
      <c r="J112" s="47">
        <f t="shared" ca="1" si="25"/>
        <v>104</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65</v>
      </c>
      <c r="J113" s="47">
        <f t="shared" ca="1" si="25"/>
        <v>44</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65</v>
      </c>
      <c r="J115" s="47">
        <f t="shared" ca="1" si="25"/>
        <v>44</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ca="1" si="24"/>
        <v>15</v>
      </c>
      <c r="J125" s="47">
        <f t="shared" ca="1" si="25"/>
        <v>0</v>
      </c>
      <c r="K125" s="164"/>
      <c r="L125" s="40" t="s">
        <v>8</v>
      </c>
      <c r="M125" s="41"/>
      <c r="N125" s="40"/>
      <c r="O125" s="41"/>
      <c r="P125" s="40"/>
      <c r="Q125" s="154"/>
      <c r="R125" s="27">
        <v>46295</v>
      </c>
      <c r="S125" s="27">
        <v>46295</v>
      </c>
      <c r="T125" s="188">
        <v>46295</v>
      </c>
      <c r="U125" s="29"/>
      <c r="V125" s="211"/>
      <c r="W125" s="235" t="s">
        <v>240</v>
      </c>
      <c r="X125" s="230"/>
      <c r="Y125" s="19"/>
      <c r="Z125" s="92" t="s">
        <v>1069</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ca="1" si="24"/>
        <v>8</v>
      </c>
      <c r="J126" s="47">
        <f t="shared" ca="1" si="25"/>
        <v>0</v>
      </c>
      <c r="K126" s="164"/>
      <c r="L126" s="40" t="s">
        <v>8</v>
      </c>
      <c r="M126" s="41"/>
      <c r="N126" s="40"/>
      <c r="O126" s="41"/>
      <c r="P126" s="40"/>
      <c r="Q126" s="154"/>
      <c r="R126" s="27">
        <v>46302</v>
      </c>
      <c r="S126" s="27">
        <v>46302</v>
      </c>
      <c r="T126" s="188">
        <v>46302</v>
      </c>
      <c r="U126" s="29"/>
      <c r="V126" s="211"/>
      <c r="W126" s="235" t="s">
        <v>240</v>
      </c>
      <c r="X126" s="230"/>
      <c r="Y126" s="19"/>
      <c r="Z126" s="92" t="s">
        <v>1072</v>
      </c>
    </row>
    <row r="127" spans="1:26" s="9" customFormat="1" ht="31.5">
      <c r="A127" s="33">
        <f t="shared" si="29"/>
        <v>121</v>
      </c>
      <c r="B127" s="33" t="str">
        <f t="shared" ref="B127" si="58">MID(D127, FIND("-", D127) + 1, 4)</f>
        <v>5.11</v>
      </c>
      <c r="C127" s="164"/>
      <c r="D127" s="25" t="s">
        <v>1056</v>
      </c>
      <c r="E127" s="174">
        <f t="shared" si="23"/>
        <v>46325</v>
      </c>
      <c r="F127" s="31" t="s">
        <v>1057</v>
      </c>
      <c r="G127" s="21" t="s">
        <v>1058</v>
      </c>
      <c r="H127" s="138"/>
      <c r="I127" s="164">
        <f t="shared" ca="1" si="24"/>
        <v>6</v>
      </c>
      <c r="J127" s="47">
        <f t="shared" ca="1" si="25"/>
        <v>0</v>
      </c>
      <c r="K127" s="164"/>
      <c r="L127" s="40" t="s">
        <v>8</v>
      </c>
      <c r="M127" s="41"/>
      <c r="N127" s="40"/>
      <c r="O127" s="41"/>
      <c r="P127" s="40"/>
      <c r="Q127" s="154"/>
      <c r="R127" s="27">
        <v>46304</v>
      </c>
      <c r="S127" s="27">
        <v>46304</v>
      </c>
      <c r="T127" s="188">
        <v>46304</v>
      </c>
      <c r="U127" s="29"/>
      <c r="V127" s="211"/>
      <c r="W127" s="235"/>
      <c r="X127" s="230"/>
      <c r="Y127" s="19"/>
      <c r="Z127" s="92" t="s">
        <v>1071</v>
      </c>
    </row>
    <row r="128" spans="1:26" s="9" customFormat="1" ht="47.25">
      <c r="A128" s="33">
        <f t="shared" si="29"/>
        <v>122</v>
      </c>
      <c r="B128" s="33" t="str">
        <f t="shared" ref="B128" si="59">MID(D128, FIND("-", D128) + 1, 4)</f>
        <v>5.11</v>
      </c>
      <c r="C128" s="164" t="s">
        <v>621</v>
      </c>
      <c r="D128" s="25" t="s">
        <v>1065</v>
      </c>
      <c r="E128" s="174">
        <f t="shared" si="23"/>
        <v>46330</v>
      </c>
      <c r="F128" s="31" t="s">
        <v>1066</v>
      </c>
      <c r="G128" s="21" t="s">
        <v>1067</v>
      </c>
      <c r="H128" s="138"/>
      <c r="I128" s="164">
        <f t="shared" ca="1" si="24"/>
        <v>1</v>
      </c>
      <c r="J128" s="47">
        <f t="shared" ca="1" si="25"/>
        <v>0</v>
      </c>
      <c r="K128" s="164"/>
      <c r="L128" s="40" t="s">
        <v>8</v>
      </c>
      <c r="M128" s="41"/>
      <c r="N128" s="40"/>
      <c r="O128" s="41"/>
      <c r="P128" s="40"/>
      <c r="Q128" s="154"/>
      <c r="R128" s="27">
        <v>46309</v>
      </c>
      <c r="S128" s="27">
        <v>46309</v>
      </c>
      <c r="T128" s="188">
        <v>46309</v>
      </c>
      <c r="U128" s="29"/>
      <c r="V128" s="211"/>
      <c r="W128" s="235"/>
      <c r="X128" s="230"/>
      <c r="Y128" s="19"/>
      <c r="Z128" s="92"/>
    </row>
    <row r="129" spans="1:26" s="9" customFormat="1">
      <c r="A129" s="23"/>
      <c r="B129" s="33"/>
      <c r="C129" s="137"/>
      <c r="D129" s="25"/>
      <c r="E129" s="174"/>
      <c r="F129" s="31"/>
      <c r="G129" s="21"/>
      <c r="H129" s="138"/>
      <c r="I129" s="177"/>
      <c r="J129" s="48"/>
      <c r="K129" s="177"/>
      <c r="L129" s="59"/>
      <c r="M129" s="60"/>
      <c r="N129" s="61"/>
      <c r="O129" s="144"/>
      <c r="P129" s="146"/>
      <c r="Q129" s="152"/>
      <c r="R129" s="27"/>
      <c r="S129" s="27"/>
      <c r="T129" s="187"/>
      <c r="U129" s="29"/>
      <c r="V129" s="188"/>
      <c r="W129" s="235"/>
      <c r="X129" s="230"/>
      <c r="Y129" s="19"/>
      <c r="Z129" s="92"/>
    </row>
    <row r="130" spans="1:26" s="9" customFormat="1" ht="16.5" thickBot="1">
      <c r="A130" s="24"/>
      <c r="B130" s="329"/>
      <c r="C130" s="165"/>
      <c r="D130" s="45"/>
      <c r="E130" s="175"/>
      <c r="F130" s="32"/>
      <c r="G130" s="22"/>
      <c r="H130" s="139"/>
      <c r="I130" s="178"/>
      <c r="J130" s="49"/>
      <c r="K130" s="178"/>
      <c r="L130" s="62"/>
      <c r="M130" s="63"/>
      <c r="N130" s="64"/>
      <c r="O130" s="145"/>
      <c r="P130" s="147"/>
      <c r="Q130" s="153"/>
      <c r="R130" s="44"/>
      <c r="S130" s="44"/>
      <c r="T130" s="189"/>
      <c r="U130" s="43"/>
      <c r="V130" s="194"/>
      <c r="W130" s="258"/>
      <c r="X130" s="232"/>
      <c r="Y130" s="20"/>
      <c r="Z130" s="93"/>
    </row>
    <row r="131" spans="1:26" ht="16.5" thickBot="1"/>
    <row r="132" spans="1:26" ht="16.5" thickBot="1">
      <c r="C132" s="207" t="s">
        <v>38</v>
      </c>
      <c r="D132" s="441" t="s">
        <v>39</v>
      </c>
      <c r="E132" s="442"/>
      <c r="F132" s="46"/>
      <c r="G132" s="68"/>
      <c r="H132" s="384" t="s">
        <v>14</v>
      </c>
      <c r="I132" s="385"/>
      <c r="J132" s="385"/>
      <c r="K132" s="385"/>
      <c r="L132" s="385"/>
      <c r="M132" s="386"/>
      <c r="N132" s="382" t="s">
        <v>7</v>
      </c>
      <c r="O132" s="383"/>
      <c r="P132" s="382" t="s">
        <v>110</v>
      </c>
      <c r="Q132" s="383"/>
      <c r="R132" s="1"/>
      <c r="S132" s="1"/>
      <c r="T132" s="140"/>
      <c r="U132" s="1"/>
      <c r="W132" s="11"/>
      <c r="X132" s="11"/>
      <c r="Y132" s="11"/>
    </row>
    <row r="133" spans="1:26" ht="16.5" customHeight="1" thickBot="1">
      <c r="C133" s="208" t="s">
        <v>74</v>
      </c>
      <c r="D133" s="439" t="s">
        <v>77</v>
      </c>
      <c r="E133" s="440"/>
      <c r="F133" s="46"/>
      <c r="G133" s="46"/>
      <c r="H133" s="434" t="s">
        <v>17</v>
      </c>
      <c r="I133" s="435"/>
      <c r="J133" s="130"/>
      <c r="K133" s="210"/>
      <c r="L133" s="117">
        <f ca="1">M133/$M$133</f>
        <v>1</v>
      </c>
      <c r="M133" s="104">
        <f ca="1">SUM($M$134:$M$136)</f>
        <v>128</v>
      </c>
      <c r="N133" s="118" t="s">
        <v>15</v>
      </c>
      <c r="O133" s="119" t="s">
        <v>16</v>
      </c>
      <c r="P133" s="117">
        <f ca="1">Q133/$Q$133</f>
        <v>1</v>
      </c>
      <c r="Q133" s="104">
        <f ca="1">SUM(Q134:Q135)</f>
        <v>108</v>
      </c>
      <c r="R133" s="1"/>
      <c r="S133" s="1"/>
      <c r="T133" s="140"/>
      <c r="U133" s="1"/>
      <c r="W133" s="11"/>
      <c r="X133" s="11"/>
      <c r="Y133" s="11"/>
    </row>
    <row r="134" spans="1:26">
      <c r="C134" s="402" t="s">
        <v>6</v>
      </c>
      <c r="D134" s="439" t="s">
        <v>40</v>
      </c>
      <c r="E134" s="440"/>
      <c r="F134" s="69"/>
      <c r="G134" s="6"/>
      <c r="H134" s="436" t="s">
        <v>69</v>
      </c>
      <c r="I134" s="437"/>
      <c r="J134" s="437"/>
      <c r="K134" s="438"/>
      <c r="L134" s="122">
        <f t="shared" ref="L134:L136" ca="1" si="60">M134/$M$133</f>
        <v>0.8203125</v>
      </c>
      <c r="M134" s="123">
        <f>COUNTIF($H$7:$H$130,"RFCS")</f>
        <v>105</v>
      </c>
      <c r="N134" s="121">
        <f ca="1">COUNTIFS($I$7:$I$130,"&lt;=21",$H$7:$H$130,"RFCS")</f>
        <v>63</v>
      </c>
      <c r="O134" s="120">
        <f ca="1">COUNTIFS($I$7:$I$130,"&gt;21",$H$7:$H$130,"RFCS")</f>
        <v>41</v>
      </c>
      <c r="P134" s="122">
        <f ca="1">Q134/$Q$133</f>
        <v>0.62962962962962965</v>
      </c>
      <c r="Q134" s="123">
        <f>COUNTIF($Q$7:$Q$130,"RBE") + COUNTIF($Q$7:$Q$130,"SUP")</f>
        <v>68</v>
      </c>
      <c r="R134" s="1"/>
      <c r="S134" s="1"/>
      <c r="T134" s="140"/>
      <c r="U134" s="1"/>
      <c r="W134" s="11"/>
      <c r="X134" s="11"/>
      <c r="Y134" s="11"/>
    </row>
    <row r="135" spans="1:26">
      <c r="C135" s="402"/>
      <c r="D135" s="439"/>
      <c r="E135" s="440"/>
      <c r="F135" s="72"/>
      <c r="G135" s="6"/>
      <c r="H135" s="396" t="s">
        <v>70</v>
      </c>
      <c r="I135" s="397"/>
      <c r="J135" s="397"/>
      <c r="K135" s="398"/>
      <c r="L135" s="124">
        <f t="shared" ca="1" si="60"/>
        <v>7.03125E-2</v>
      </c>
      <c r="M135" s="125">
        <f ca="1">SUM(N135:O135)</f>
        <v>9</v>
      </c>
      <c r="N135" s="98">
        <f ca="1">COUNTIFS($I$7:$I$130,"&lt;=21",$U$7:$U$130,"",$K$7:$K$130,"&lt;&gt;X")</f>
        <v>4</v>
      </c>
      <c r="O135" s="50">
        <f ca="1">COUNTIFS($I$7:$I$130,"&gt;21",$U$7:$U$130,"",$K$7:$K$130,"&lt;&gt;X")</f>
        <v>5</v>
      </c>
      <c r="P135" s="124">
        <f ca="1">Q135/$Q$133</f>
        <v>0.37037037037037035</v>
      </c>
      <c r="Q135" s="125">
        <f ca="1">COUNTIFS($I$7:$I$130,"&gt;=0",$P$7:$P$130,"",$K$7:$K$130,"&lt;&gt;X")</f>
        <v>40</v>
      </c>
      <c r="R135" s="1" t="s">
        <v>10</v>
      </c>
      <c r="S135" s="1"/>
      <c r="T135" s="140"/>
      <c r="U135" s="1"/>
      <c r="W135" s="11"/>
      <c r="X135" s="11"/>
      <c r="Y135" s="11"/>
    </row>
    <row r="136" spans="1:26" ht="16.5" thickBot="1">
      <c r="C136" s="402" t="s">
        <v>75</v>
      </c>
      <c r="D136" s="408" t="s">
        <v>76</v>
      </c>
      <c r="E136" s="409"/>
      <c r="H136" s="399" t="s">
        <v>71</v>
      </c>
      <c r="I136" s="400"/>
      <c r="J136" s="400"/>
      <c r="K136" s="401"/>
      <c r="L136" s="126">
        <f t="shared" ca="1" si="60"/>
        <v>0.109375</v>
      </c>
      <c r="M136" s="116">
        <f>COUNTIFS($K$7:$K$130,"X")</f>
        <v>14</v>
      </c>
      <c r="N136" s="99"/>
      <c r="O136" s="51"/>
      <c r="P136" s="223"/>
      <c r="Q136" s="224"/>
    </row>
    <row r="137" spans="1:26" ht="16.5" thickBot="1">
      <c r="C137" s="403"/>
      <c r="D137" s="410"/>
      <c r="E137" s="411"/>
    </row>
    <row r="139" spans="1:26">
      <c r="C139" s="381" t="s">
        <v>41</v>
      </c>
      <c r="D139" s="381"/>
      <c r="E139" s="381"/>
    </row>
    <row r="140" spans="1:26">
      <c r="C140" s="169" t="s">
        <v>8</v>
      </c>
      <c r="D140" s="1" t="s">
        <v>42</v>
      </c>
    </row>
    <row r="141" spans="1:26">
      <c r="C141" s="169" t="s">
        <v>8</v>
      </c>
      <c r="D141" s="127" t="s">
        <v>43</v>
      </c>
    </row>
    <row r="142" spans="1:26">
      <c r="C142" s="169" t="s">
        <v>8</v>
      </c>
      <c r="D142" s="1" t="s">
        <v>44</v>
      </c>
    </row>
  </sheetData>
  <autoFilter ref="A6:Z127" xr:uid="{C184EF3E-84BF-4DCF-951B-B90EB4B9D23F}">
    <sortState xmlns:xlrd2="http://schemas.microsoft.com/office/spreadsheetml/2017/richdata2" ref="A7:Z32">
      <sortCondition ref="S6"/>
    </sortState>
  </autoFilter>
  <mergeCells count="32">
    <mergeCell ref="B4:B5"/>
    <mergeCell ref="P132:Q132"/>
    <mergeCell ref="J4:J5"/>
    <mergeCell ref="D132:E132"/>
    <mergeCell ref="H132:M132"/>
    <mergeCell ref="N132:O132"/>
    <mergeCell ref="H133:I133"/>
    <mergeCell ref="C139:E139"/>
    <mergeCell ref="H134:K134"/>
    <mergeCell ref="H135:K135"/>
    <mergeCell ref="H136:K136"/>
    <mergeCell ref="D133:E133"/>
    <mergeCell ref="C134:C135"/>
    <mergeCell ref="D134:E135"/>
    <mergeCell ref="C136:C137"/>
    <mergeCell ref="D136:E137"/>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0">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0" r:id="rId128" xr:uid="{F06CE902-4089-4B08-A7E9-420A16C9FF0E}"/>
    <hyperlink ref="C141" r:id="rId129" xr:uid="{6D322F1B-B574-40E7-BED0-14ED893C19C5}"/>
    <hyperlink ref="C142"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s>
  <pageMargins left="0.25" right="0.17" top="0.5" bottom="0.25" header="0.3" footer="0.3"/>
  <pageSetup paperSize="9" scale="28" orientation="landscape" horizontalDpi="300" verticalDpi="300" r:id="rId47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50" t="s">
        <v>123</v>
      </c>
      <c r="B4" s="352" t="s">
        <v>45</v>
      </c>
      <c r="C4" s="352" t="s">
        <v>95</v>
      </c>
      <c r="D4" s="352" t="s">
        <v>46</v>
      </c>
      <c r="E4" s="348" t="s">
        <v>4</v>
      </c>
      <c r="F4" s="449" t="s">
        <v>5</v>
      </c>
      <c r="G4" s="443" t="s">
        <v>53</v>
      </c>
      <c r="H4" s="443"/>
      <c r="I4" s="444"/>
      <c r="J4" s="445" t="s">
        <v>55</v>
      </c>
      <c r="K4" s="443"/>
      <c r="L4" s="444"/>
      <c r="M4" s="445" t="s">
        <v>72</v>
      </c>
      <c r="N4" s="443"/>
      <c r="O4" s="444"/>
      <c r="P4" s="446" t="s">
        <v>112</v>
      </c>
      <c r="Q4" s="447"/>
      <c r="R4" s="447"/>
      <c r="S4" s="448"/>
    </row>
    <row r="5" spans="1:25" ht="78.75">
      <c r="A5" s="351"/>
      <c r="B5" s="353"/>
      <c r="C5" s="353"/>
      <c r="D5" s="353"/>
      <c r="E5" s="354"/>
      <c r="F5" s="356"/>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_xlfn._xlws.FILTER(RFA!$E$5:$E$4577, RFA!$AI$5:$AI$4577="YES","")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847</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812</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510</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391</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331</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308</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303</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140</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50" t="s">
        <v>123</v>
      </c>
      <c r="B4" s="352" t="s">
        <v>45</v>
      </c>
      <c r="C4" s="352" t="s">
        <v>46</v>
      </c>
      <c r="D4" s="363" t="s">
        <v>4</v>
      </c>
      <c r="E4" s="449" t="s">
        <v>5</v>
      </c>
      <c r="F4" s="443" t="s">
        <v>53</v>
      </c>
      <c r="G4" s="443"/>
      <c r="H4" s="444"/>
      <c r="I4" s="445" t="s">
        <v>55</v>
      </c>
      <c r="J4" s="443"/>
      <c r="K4" s="444"/>
      <c r="L4" s="445" t="s">
        <v>72</v>
      </c>
      <c r="M4" s="443"/>
      <c r="N4" s="444"/>
      <c r="O4" s="446" t="s">
        <v>112</v>
      </c>
      <c r="P4" s="447"/>
      <c r="Q4" s="447"/>
      <c r="R4" s="448"/>
    </row>
    <row r="5" spans="1:18" ht="78.75">
      <c r="A5" s="351"/>
      <c r="B5" s="353"/>
      <c r="C5" s="353"/>
      <c r="D5" s="431"/>
      <c r="E5" s="354"/>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_xlfn._xlws.FILTER('RFA-SDS'!$D$5:$D$4869,'RFA-SDS'!$AI$5:$AI$4869="YES","")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547</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457</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346</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346</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346</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346</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346</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273</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324</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304</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304</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847</v>
      </c>
      <c r="B3" s="319">
        <f ca="1">AVERAGEIF('Need ReSub (RFA)'!S7:S76,"&lt;&gt;0")</f>
        <v>455.25</v>
      </c>
      <c r="C3" s="319">
        <f ca="1">MAX(_xlfn.ANCHORARRAY('Need ReSub (RFA-SDS)'!R7))</f>
        <v>547</v>
      </c>
      <c r="D3" s="319">
        <f ca="1">AVERAGEIF(_xlfn.ANCHORARRAY('Need ReSub (RFA-SDS)'!R7),"&lt;&gt;0")</f>
        <v>338.66666666666669</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455 days, with a maximum of 847 days, indicating that delays in the RFA approval process are contributing to delays in construction work.
Furthermore, the RFA (SDS) is as follows:
Avarage :  339 days
Maimum :  547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2026-10-15T06:44:31Z</dcterms:modified>
</cp:coreProperties>
</file>