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412E6E6D-986B-44BB-A15A-CABDD0B112CB}"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RFA!$A$6:$AE$144</definedName>
    <definedName name="_xlnm._FilterDatabase" localSheetId="1" hidden="1">'RFA-SDS'!$A$6:$AD$47</definedName>
    <definedName name="_xlnm._FilterDatabase" localSheetId="2" hidden="1">RFI!$A$6:$Z$130</definedName>
    <definedName name="_xlnm.Print_Area" localSheetId="3">'Need ReSub (RFA)'!$A$1:$S$77</definedName>
    <definedName name="_xlnm.Print_Area" localSheetId="4">'Need ReSub (RFA-SDS)'!$A$1:$R$62</definedName>
    <definedName name="_xlnm.Print_Area" localSheetId="0">RFA!$A$1:$AE$144,RFA!$I$146:$R$152,RFA!$C$146:$F$156,RFA!$C$158:$F$161,RFA!$C$163:$F$174</definedName>
    <definedName name="_xlnm.Print_Area" localSheetId="1">'RFA-SDS'!$A$1:$AD$47,'RFA-SDS'!$H$49:$Q$55,'RFA-SDS'!$C$49:$E$53,'RFA-SDS'!$C$55:$E$58</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142" i="1" l="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3" i="1"/>
  <c r="AA143" i="1"/>
  <c r="AG126" i="1"/>
  <c r="AC126" i="1"/>
  <c r="AD126" i="1" s="1"/>
  <c r="AA126" i="1"/>
  <c r="F126" i="1"/>
  <c r="B126" i="1"/>
  <c r="AG125" i="1"/>
  <c r="AC125" i="1"/>
  <c r="AD125" i="1" s="1"/>
  <c r="AA125" i="1"/>
  <c r="F125" i="1"/>
  <c r="B125" i="1"/>
  <c r="AI144" i="1"/>
  <c r="Z47" i="4"/>
  <c r="Z46"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4"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41" i="1" l="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3" i="4"/>
  <c r="Q52" i="4"/>
  <c r="Q51" i="4"/>
  <c r="R150" i="1"/>
  <c r="R149" i="1"/>
  <c r="R148"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5" i="4"/>
  <c r="N152"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3" i="4"/>
  <c r="M52" i="4"/>
  <c r="M51"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AB38" i="4" s="1"/>
  <c r="AC38" i="4" s="1"/>
  <c r="N150" i="1"/>
  <c r="N149" i="1"/>
  <c r="N148"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2" i="1" s="1"/>
  <c r="K142"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41" i="1" l="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C7" i="4"/>
  <c r="R7" i="7" s="1" a="1"/>
  <c r="Q7" i="7" a="1"/>
  <c r="AD7" i="1"/>
  <c r="R7" i="6" a="1"/>
  <c r="Q54" i="4"/>
  <c r="Q50" i="4" s="1"/>
  <c r="R151" i="1"/>
  <c r="R147" i="1" s="1"/>
  <c r="P148" i="1"/>
  <c r="O151" i="1"/>
  <c r="N53" i="4"/>
  <c r="O51" i="4"/>
  <c r="O53" i="4"/>
  <c r="P151" i="1"/>
  <c r="O150" i="1"/>
  <c r="P150" i="1"/>
  <c r="P149" i="1"/>
  <c r="O149" i="1"/>
  <c r="O52" i="4"/>
  <c r="O54" i="4"/>
  <c r="N52" i="4"/>
  <c r="N51" i="4"/>
  <c r="O148" i="1"/>
  <c r="N54" i="4"/>
  <c r="S7" i="6" a="1"/>
  <c r="M54" i="4" l="1"/>
  <c r="M50" i="4" s="1"/>
  <c r="N151" i="1"/>
  <c r="D3" i="9"/>
  <c r="C3" i="9"/>
  <c r="P50" i="4"/>
  <c r="P52" i="4"/>
  <c r="P53" i="4"/>
  <c r="P51" i="4"/>
  <c r="P54" i="4"/>
  <c r="Q147" i="1"/>
  <c r="Q149" i="1"/>
  <c r="Q150" i="1"/>
  <c r="Q148" i="1"/>
  <c r="Q151" i="1"/>
  <c r="L54" i="4" l="1"/>
  <c r="L52" i="4"/>
  <c r="L51" i="4"/>
  <c r="L53" i="4"/>
  <c r="L50" i="4"/>
  <c r="L55" i="4"/>
  <c r="N147" i="1"/>
  <c r="M151" i="1" s="1"/>
  <c r="B3" i="9"/>
  <c r="A3" i="9"/>
  <c r="N138" i="5"/>
  <c r="Q138" i="5"/>
  <c r="Q136" i="5" s="1"/>
  <c r="O138" i="5"/>
  <c r="O137" i="5"/>
  <c r="N137" i="5"/>
  <c r="J7" i="5"/>
  <c r="M149" i="1" l="1"/>
  <c r="M148" i="1"/>
  <c r="M147" i="1"/>
  <c r="M152" i="1"/>
  <c r="M150"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<sst xmlns="http://schemas.openxmlformats.org/spreadsheetml/2006/main" count="3596" uniqueCount="1123">
  <si>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</si>
  <si>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</si>
  <si>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</si>
  <si>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</si>
  <si>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</si>
  <si>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</si>
  <si>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</si>
  <si>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</si>
  <si>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</si>
  <si>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</si>
  <si>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</si>
  <si>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</si>
  <si>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</si>
  <si>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</si>
  <si>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</si>
  <si>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</si>
  <si>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</si>
  <si>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</si>
  <si>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</si>
  <si>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</si>
  <si>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</si>
  <si>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</si>
  <si>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</si>
  <si>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</si>
  <si>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</si>
  <si>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</si>
  <si>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</si>
  <si>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</si>
  <si>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</si>
  <si>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</si>
  <si>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</si>
  <si>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</si>
  <si>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</si>
  <si>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</si>
  <si>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</si>
  <si>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</si>
  <si>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</si>
  <si>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</si>
  <si>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</si>
  <si>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</si>
  <si>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</si>
  <si>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</si>
  <si>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</si>
  <si>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</si>
  <si>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</si>
  <si>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</si>
  <si>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</si>
  <si>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</si>
  <si>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</si>
  <si>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</si>
  <si>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</si>
  <si>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</si>
  <si>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</si>
  <si>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</si>
  <si>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</si>
  <si>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</si>
  <si>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</si>
  <si>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</si>
  <si>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</si>
  <si>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</si>
  <si>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</si>
  <si>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</si>
  <si>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</si>
  <si>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</si>
  <si>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</si>
  <si>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</si>
  <si>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</si>
  <si>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</si>
  <si>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</si>
  <si>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</si>
  <si>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</si>
  <si>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</si>
  <si>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</si>
  <si>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</si>
  <si>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</si>
  <si>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</si>
  <si>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</si>
  <si>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</si>
  <si>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</si>
  <si>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</si>
  <si>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</si>
  <si>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</si>
  <si>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</si>
  <si>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</si>
  <si>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</si>
  <si>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</si>
  <si>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</si>
  <si>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</si>
  <si>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</si>
  <si>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</si>
  <si>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</si>
  <si>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</si>
  <si>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</si>
  <si>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</si>
  <si>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</si>
  <si>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</si>
  <si>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</si>
  <si>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</si>
  <si>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</si>
  <si>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</si>
  <si>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</si>
  <si>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</si>
  <si>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</si>
  <si>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</si>
  <si>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</si>
  <si>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</si>
  <si>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</si>
  <si>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</si>
  <si>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</si>
  <si>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</si>
  <si>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</si>
  <si>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</si>
  <si>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</si>
  <si>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</si>
  <si>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</si>
  <si>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</si>
  <si>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</si>
  <si>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</si>
  <si>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</si>
  <si>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</si>
  <si>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</si>
  <si>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</si>
  <si>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</si>
  <si>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</si>
  <si>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</si>
  <si>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</si>
  <si>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</si>
  <si>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</si>
  <si>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</si>
  <si>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</si>
  <si>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</si>
  <si>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</si>
  <si>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</si>
  <si>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</si>
  <si>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</si>
  <si>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</si>
  <si>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</si>
  <si>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</si>
  <si>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</si>
  <si>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</si>
  <si>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</si>
  <si>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</si>
  <si>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</si>
  <si>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</si>
  <si>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</si>
  <si>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</si>
  <si>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</si>
  <si>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</si>
  <si>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</si>
  <si>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</si>
  <si>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</si>
  <si>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</si>
  <si>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</si>
  <si>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</si>
  <si>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</si>
  <si>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</si>
  <si>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</si>
  <si>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</si>
  <si>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</si>
  <si>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</si>
  <si>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</si>
  <si>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</si>
  <si>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</si>
  <si>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</si>
  <si>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</si>
  <si>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</si>
  <si>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</si>
  <si>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</si>
  <si>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</si>
  <si>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</si>
  <si>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</si>
  <si>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</si>
  <si>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</si>
  <si>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</si>
  <si>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</si>
  <si>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</si>
  <si>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</si>
  <si>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</si>
  <si>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</si>
  <si>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</si>
  <si>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</si>
  <si>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</si>
  <si>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</si>
  <si>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</si>
  <si>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</si>
  <si>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</si>
  <si>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</si>
  <si>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</si>
  <si>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</si>
  <si>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</si>
  <si>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</si>
  <si>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</si>
  <si>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</si>
  <si>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</si>
  <si>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</si>
  <si>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</si>
  <si>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</si>
  <si>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</si>
  <si>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</si>
  <si>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</si>
  <si>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</si>
  <si>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</si>
  <si>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</si>
  <si>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</si>
  <si>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</si>
  <si>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</si>
  <si>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</si>
  <si>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</si>
  <si>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</si>
  <si>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</si>
  <si>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</si>
  <si>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</si>
  <si>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</si>
  <si>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</si>
  <si>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</si>
  <si>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</si>
  <si>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</si>
  <si>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</si>
  <si>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</si>
  <si>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</si>
  <si>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</si>
  <si>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</si>
  <si>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</si>
  <si>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</si>
  <si>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</si>
  <si>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</si>
  <si>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</si>
  <si>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</si>
  <si>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</si>
  <si>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</si>
  <si>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</si>
  <si>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</si>
  <si>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</si>
  <si>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</si>
  <si>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</si>
  <si>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</si>
  <si>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</si>
  <si>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</si>
  <si>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</si>
  <si>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</si>
  <si>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</si>
  <si>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</si>
  <si>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</si>
  <si>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</si>
  <si>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</si>
  <si>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</si>
  <si>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</si>
  <si>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</si>
  <si>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</si>
  <si>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</si>
  <si>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</si>
  <si>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</si>
  <si>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</si>
  <si>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</si>
  <si>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</si>
  <si>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</si>
  <si>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</si>
  <si>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</si>
  <si>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</si>
  <si>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</si>
  <si>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</si>
  <si>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</si>
  <si>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</si>
  <si>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</si>
  <si>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</si>
  <si>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</si>
  <si>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</si>
  <si>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</si>
  <si>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</si>
  <si>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</si>
  <si>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</si>
  <si>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</si>
  <si>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</si>
  <si>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</si>
  <si>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</si>
  <si>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</si>
  <si>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</si>
  <si>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</si>
  <si>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</si>
  <si>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</si>
  <si>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</si>
  <si>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</si>
  <si>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</si>
  <si>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</si>
  <si>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</si>
  <si>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</si>
  <si>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</si>
  <si>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</si>
  <si>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</si>
  <si>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</si>
  <si>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</si>
  <si>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</si>
  <si>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</si>
  <si>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</si>
  <si>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</si>
  <si>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</si>
  <si>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</si>
  <si>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</si>
  <si>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</si>
  <si>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</si>
  <si>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</si>
  <si>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</si>
  <si>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</si>
  <si>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</si>
  <si>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</si>
  <si>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</si>
  <si>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</si>
  <si>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</si>
  <si>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</si>
  <si>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</si>
  <si>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</si>
  <si>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</si>
  <si>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</si>
  <si>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</si>
  <si>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</si>
  <si>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</si>
  <si>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</si>
  <si>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</si>
  <si>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</si>
  <si>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</si>
  <si>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</si>
  <si>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</si>
  <si>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</si>
  <si>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</si>
  <si>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</si>
  <si>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</si>
  <si>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</si>
  <si>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</si>
  <si>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</si>
  <si>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</si>
  <si>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</si>
  <si>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</si>
  <si>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</si>
  <si>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</si>
  <si>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</si>
  <si>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</si>
  <si>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</si>
  <si>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</si>
  <si>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</si>
  <si>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</si>
  <si>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</si>
  <si>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</si>
  <si>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</si>
  <si>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</si>
  <si>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</si>
  <si>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</si>
  <si>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</si>
  <si>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</si>
  <si>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</si>
  <si>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</si>
  <si>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</si>
  <si>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</si>
  <si>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</si>
  <si>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</si>
  <si>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</si>
  <si>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</si>
  <si>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</si>
  <si>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</si>
  <si>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</si>
  <si>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</si>
  <si>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</si>
  <si>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</si>
  <si>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</si>
  <si>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</si>
  <si>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</si>
  <si>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</si>
  <si>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</si>
  <si>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</si>
  <si>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</si>
  <si>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</si>
  <si>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</si>
  <si>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</si>
  <si>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</si>
  <si>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</si>
  <si>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</si>
  <si>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</si>
  <si>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</si>
  <si>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</si>
  <si>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</si>
  <si>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</si>
  <si>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</si>
  <si>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</si>
  <si>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</si>
  <si>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</si>
  <si>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</si>
  <si>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</si>
  <si>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</si>
  <si>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</si>
  <si>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</si>
  <si>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</si>
  <si>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</si>
  <si>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</si>
  <si>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</si>
  <si>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</si>
  <si>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</si>
  <si>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</si>
  <si>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</si>
  <si>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</si>
  <si>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</si>
  <si>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</si>
  <si>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</si>
  <si>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</si>
  <si>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</si>
  <si>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</si>
  <si>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</si>
  <si>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</si>
  <si>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</si>
  <si>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</si>
  <si>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</si>
  <si>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</si>
  <si>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</si>
  <si>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</si>
  <si>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</si>
  <si>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</si>
  <si>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</si>
  <si>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</si>
  <si>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</si>
  <si>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</si>
  <si>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</si>
  <si>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</si>
  <si>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</si>
  <si>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</si>
  <si>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</si>
  <si>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</si>
  <si>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</si>
  <si>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</si>
  <si>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</si>
  <si>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</si>
  <si>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</si>
  <si>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</si>
  <si>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</si>
  <si>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</si>
  <si>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</si>
  <si>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</si>
  <si>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</si>
  <si>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</si>
  <si>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</si>
  <si>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</si>
  <si>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</si>
  <si>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</si>
  <si>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</si>
  <si>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</si>
  <si>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</si>
  <si>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</si>
  <si>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</si>
  <si>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</si>
  <si>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</si>
  <si>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</si>
  <si>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</si>
  <si>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</si>
  <si>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</si>
  <si>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</si>
  <si>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</si>
  <si>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</si>
  <si>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</si>
  <si>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</si>
  <si>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</si>
  <si>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</si>
  <si>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</si>
  <si>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</si>
  <si>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</si>
  <si>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</si>
  <si>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</si>
  <si>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</si>
  <si>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</si>
  <si>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</si>
  <si>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</si>
  <si>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</si>
  <si>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</si>
  <si>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</si>
  <si>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</si>
  <si>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</si>
  <si>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</si>
  <si>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</si>
  <si>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</si>
  <si>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</si>
  <si>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</si>
  <si>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</si>
  <si>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</si>
  <si>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</si>
  <si>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</si>
  <si>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</si>
  <si>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</si>
  <si>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</si>
  <si>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</si>
  <si>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</si>
  <si>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</si>
  <si>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</si>
  <si>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</si>
  <si>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</si>
  <si>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</si>
  <si>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</si>
  <si>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</si>
  <si>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</si>
  <si>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</si>
  <si>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</si>
  <si>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</si>
  <si>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</si>
  <si>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</si>
  <si>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</si>
  <si>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</si>
  <si>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</si>
  <si>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</si>
  <si>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</si>
  <si>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</si>
  <si>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</si>
  <si>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</si>
  <si>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</si>
  <si>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</si>
  <si>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</si>
  <si>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</si>
  <si>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</si>
  <si>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</si>
  <si>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</si>
  <si>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</si>
  <si>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</si>
  <si>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</si>
  <si>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</si>
  <si>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</si>
  <si>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</si>
  <si>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</si>
  <si>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</si>
  <si>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</si>
  <si>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</si>
  <si>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</si>
  <si>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</si>
  <si>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</si>
  <si>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</si>
  <si>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</si>
  <si>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</si>
  <si>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</si>
  <si>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</si>
  <si>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</si>
  <si>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</si>
  <si>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</si>
  <si>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</si>
  <si>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</si>
  <si>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</si>
  <si>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</si>
  <si>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</si>
  <si>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</si>
  <si>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</si>
  <si>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</si>
  <si>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</si>
  <si>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</si>
  <si>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</si>
  <si>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</si>
  <si>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</si>
  <si>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</si>
  <si>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</si>
  <si>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</si>
  <si>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</si>
  <si>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</si>
  <si>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</si>
  <si>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</si>
  <si>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</si>
  <si>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</si>
  <si>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</si>
  <si>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</si>
  <si>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</si>
  <si>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</si>
  <si>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</si>
  <si>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</si>
  <si>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</si>
  <si>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</si>
  <si>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</si>
  <si>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</si>
  <si>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</si>
  <si>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</si>
  <si>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</si>
  <si>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</si>
  <si>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</si>
  <si>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</si>
  <si>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</si>
  <si>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</si>
  <si>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</si>
  <si>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</si>
  <si>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</si>
  <si>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</si>
  <si>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</si>
  <si>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</si>
  <si>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</si>
  <si>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</si>
  <si>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</si>
  <si>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</si>
  <si>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</si>
  <si>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</si>
  <si>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</si>
  <si>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</si>
  <si>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</si>
  <si>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</si>
  <si>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</si>
  <si>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</si>
  <si>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</si>
  <si>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</si>
  <si>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</si>
  <si>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</si>
  <si>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</si>
  <si>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</si>
  <si>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</si>
  <si>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</si>
  <si>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</si>
  <si>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</si>
  <si>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</si>
  <si>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</si>
  <si>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</si>
  <si>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</si>
  <si>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</si>
  <si>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</si>
  <si>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</si>
  <si>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</si>
  <si>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</si>
  <si>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</si>
  <si>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</si>
  <si>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</si>
  <si>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</si>
  <si>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</si>
  <si>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</si>
  <si>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</si>
  <si>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</si>
  <si>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</si>
  <si>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</si>
  <si>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</si>
  <si>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</si>
  <si>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</si>
  <si>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</si>
  <si>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</si>
  <si>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</si>
  <si>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</si>
  <si>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</si>
  <si>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</si>
  <si>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</si>
  <si>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</si>
  <si>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</si>
  <si>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</si>
  <si>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</si>
  <si>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</si>
  <si>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</si>
  <si>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</si>
  <si>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</si>
  <si>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</si>
  <si>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</si>
  <si>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</si>
  <si>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</si>
  <si>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</si>
  <si>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</si>
  <si>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</si>
  <si>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</si>
  <si>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</si>
  <si>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</si>
  <si>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</si>
  <si>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</si>
  <si>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</si>
  <si>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</si>
  <si>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</si>
  <si>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</si>
  <si>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</si>
  <si>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</si>
  <si>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</si>
  <si>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</si>
  <si>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</si>
  <si>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</si>
  <si>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</si>
  <si>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</si>
  <si>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</si>
  <si>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</si>
  <si>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</si>
  <si>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</si>
  <si>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</si>
  <si>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</si>
  <si>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</si>
  <si>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</si>
  <si>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</si>
  <si>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</si>
  <si>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</si>
  <si>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</si>
  <si>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</si>
  <si>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</si>
  <si>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</si>
  <si>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</si>
  <si>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</si>
  <si>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</si>
  <si>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</si>
  <si>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</si>
  <si>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</si>
  <si>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</si>
  <si>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</si>
  <si>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</si>
  <si>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</si>
  <si>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</si>
  <si>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</si>
  <si>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</si>
  <si>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</si>
  <si>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</si>
  <si>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</si>
  <si>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</si>
  <si>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</si>
  <si>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</si>
  <si>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</si>
  <si>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</si>
  <si>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</si>
  <si>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</si>
  <si>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</si>
  <si>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</si>
  <si>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</si>
  <si>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</si>
  <si>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</si>
  <si>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</si>
  <si>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</si>
  <si>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</si>
  <si>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</si>
  <si>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</si>
  <si>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</si>
  <si>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</si>
  <si>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</si>
  <si>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</si>
  <si>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</si>
  <si>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</si>
  <si>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</si>
  <si>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</si>
  <si>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</si>
  <si>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</si>
  <si>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</si>
  <si>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</si>
  <si>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</si>
  <si>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</si>
  <si>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</si>
  <si>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</si>
  <si>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</si>
  <si>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</si>
  <si>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</si>
  <si>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</si>
  <si>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</si>
  <si>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</si>
  <si>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</si>
  <si>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</si>
  <si>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</si>
  <si>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</si>
  <si>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</si>
  <si>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</si>
  <si>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</si>
  <si>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</si>
  <si>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</si>
  <si>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</si>
  <si>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</si>
  <si>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</si>
  <si>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</si>
  <si>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</si>
  <si>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</si>
  <si>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</si>
  <si>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</si>
  <si>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</si>
  <si>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</si>
  <si>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</si>
  <si>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</si>
  <si>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</si>
  <si>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</si>
  <si>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</si>
  <si>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</si>
  <si>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</si>
  <si>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</si>
  <si>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</si>
  <si>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</si>
  <si>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</si>
  <si>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</si>
  <si>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</si>
  <si>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</si>
  <si>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</si>
  <si>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</si>
  <si>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</si>
  <si>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</si>
  <si>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</si>
  <si>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</si>
  <si>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</si>
  <si>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</si>
  <si>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</si>
  <si>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</si>
  <si>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</si>
  <si>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</si>
  <si>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</si>
  <si>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</si>
  <si>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</si>
  <si>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</si>
  <si>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</si>
  <si>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</si>
  <si>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</si>
  <si>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</si>
  <si>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</si>
  <si>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</si>
  <si>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</si>
  <si>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</si>
  <si>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</si>
  <si>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</si>
  <si>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</si>
  <si>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</si>
  <si>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</si>
  <si>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</si>
  <si>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</si>
  <si>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</si>
  <si>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</si>
  <si>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</si>
  <si>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</si>
  <si>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</si>
  <si>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</si>
  <si>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</si>
  <si>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</si>
  <si>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</si>
  <si>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</si>
  <si>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</si>
  <si>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</si>
  <si>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</si>
  <si>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</si>
  <si>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</si>
  <si>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</si>
  <si>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</si>
  <si>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</si>
  <si>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</si>
  <si>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</si>
  <si>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</si>
  <si>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</si>
  <si>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</si>
  <si>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</si>
  <si>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</si>
  <si>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</si>
  <si>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</si>
  <si>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</si>
  <si>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</si>
  <si>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</si>
  <si>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</si>
  <si>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</si>
  <si>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</si>
  <si>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</si>
  <si>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</si>
  <si>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</si>
  <si>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</si>
  <si>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</si>
  <si>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</si>
  <si>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</si>
  <si>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</si>
  <si>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</si>
  <si>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</si>
  <si>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</si>
  <si>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</si>
  <si>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</si>
  <si>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</si>
  <si>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</si>
  <si>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</si>
  <si>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</si>
  <si>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</si>
  <si>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</si>
  <si>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</si>
  <si>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</si>
  <si>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</si>
  <si>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</si>
  <si>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</si>
  <si>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</si>
  <si>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</si>
  <si>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</si>
  <si>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</si>
  <si>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</si>
  <si>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</si>
  <si>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</si>
  <si>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</si>
  <si>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</si>
  <si>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</si>
  <si>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</si>
  <si>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</si>
  <si>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</si>
  <si>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</si>
  <si>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</si>
  <si>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</si>
  <si>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</si>
  <si>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</si>
  <si>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</si>
  <si>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</si>
  <si>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</si>
  <si>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</si>
  <si>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</si>
  <si>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</si>
  <si>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</si>
  <si>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</si>
  <si>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</si>
  <si>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</si>
  <si>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</si>
  <si>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</si>
  <si>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</si>
  <si>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</si>
  <si>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</si>
  <si>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</si>
  <si>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</si>
  <si>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</si>
  <si>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</si>
  <si>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</si>
  <si>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</si>
  <si>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</si>
  <si>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</si>
  <si>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</si>
  <si>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</si>
  <si>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</si>
  <si>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</si>
  <si>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</si>
  <si>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</si>
  <si>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</si>
  <si>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</si>
  <si>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</si>
  <si>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</si>
  <si>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</si>
  <si>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</si>
  <si>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</si>
  <si>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</si>
  <si>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</si>
  <si>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</si>
  <si>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</si>
  <si>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</si>
  <si>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</si>
  <si>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</si>
  <si>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</si>
  <si>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</si>
  <si>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</si>
  <si>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</si>
  <si>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</si>
  <si>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</si>
  <si>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</si>
  <si>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</si>
  <si>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</si>
  <si>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</si>
  <si>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</si>
  <si>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</si>
  <si>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</si>
  <si>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</si>
  <si>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</si>
  <si>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</si>
  <si>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</si>
  <si>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</si>
  <si>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</si>
  <si>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</si>
  <si>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</si>
  <si>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</si>
  <si>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</si>
  <si>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</si>
  <si>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</si>
  <si>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</si>
  <si>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</si>
  <si>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</si>
  <si>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</si>
  <si>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</si>
  <si>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</si>
  <si>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</si>
  <si>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</si>
  <si>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</si>
  <si>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</si>
  <si>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</si>
  <si>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</si>
  <si>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</si>
  <si>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</si>
  <si>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</si>
  <si>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</si>
  <si>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</si>
  <si>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</si>
  <si>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</si>
  <si>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</si>
  <si>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</si>
  <si>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</si>
  <si>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</si>
  <si>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</si>
  <si>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</si>
  <si>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</si>
  <si>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</si>
  <si>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</si>
  <si>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</si>
  <si>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</si>
  <si>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</si>
  <si>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</si>
  <si>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</si>
  <si>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</si>
  <si>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</si>
  <si>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</si>
  <si>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</si>
  <si>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</si>
  <si>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</si>
  <si>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</si>
  <si>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</si>
  <si>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</si>
  <si>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</si>
  <si>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</si>
  <si>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</si>
  <si>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</si>
  <si>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</si>
  <si>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</si>
  <si>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</si>
  <si>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</si>
  <si>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</si>
  <si>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</si>
  <si>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</si>
  <si>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</si>
  <si>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</si>
  <si>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</si>
  <si>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</si>
  <si>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</si>
  <si>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</si>
  <si>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</si>
  <si>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</si>
  <si>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</si>
  <si>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</si>
  <si>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</si>
  <si>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</si>
  <si>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</si>
  <si>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</si>
  <si>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</si>
  <si>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</si>
  <si>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</si>
  <si>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</si>
  <si>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</si>
  <si>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</si>
  <si>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</si>
  <si>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</si>
  <si>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</si>
  <si>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</si>
  <si>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</si>
  <si>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</si>
  <si>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</si>
  <si>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</si>
  <si>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</si>
  <si>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</si>
  <si>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</si>
  <si>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</si>
  <si>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</si>
  <si>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</si>
  <si>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</si>
  <si>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</si>
  <si>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</si>
  <si>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</si>
  <si>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</si>
  <si>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</si>
  <si>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</si>
  <si>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</si>
  <si>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</si>
  <si>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</si>
  <si>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</si>
  <si>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</si>
  <si>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</si>
  <si>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</si>
  <si>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</si>
  <si>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</si>
  <si>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</si>
  <si>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</si>
  <si>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</si>
  <si>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</si>
  <si>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</si>
  <si>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</si>
  <si>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</si>
  <si>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</si>
  <si>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</si>
  <si>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</si>
  <si>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</si>
  <si>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</si>
  <si>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</si>
  <si>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</si>
  <si>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</si>
  <si>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</si>
  <si>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</si>
  <si>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</si>
  <si>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</si>
  <si>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</si>
  <si>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</si>
  <si>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</si>
  <si>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</si>
  <si>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</si>
  <si>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</si>
  <si>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</si>
  <si>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</si>
  <si>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</si>
  <si>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</si>
  <si>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</si>
  <si>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</si>
  <si>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</si>
  <si>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</si>
  <si>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</si>
  <si>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</si>
  <si>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</si>
  <si>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</si>
  <si>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</si>
  <si>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</si>
  <si>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</si>
  <si>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</si>
  <si>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</si>
  <si>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</si>
  <si>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</si>
  <si>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</si>
  <si>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</si>
  <si>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</si>
  <si>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</si>
  <si>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</si>
  <si>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</si>
  <si>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</si>
  <si>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</si>
  <si>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</si>
  <si>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</si>
  <si>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</si>
  <si>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</si>
  <si>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</si>
  <si>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</si>
  <si>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</si>
  <si>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</si>
  <si>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</si>
  <si>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</si>
  <si>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</si>
  <si>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</si>
  <si>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</si>
  <si>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</si>
  <si>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</si>
  <si>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</si>
  <si>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</si>
  <si>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</si>
  <si>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</si>
  <si>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</si>
  <si>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</si>
  <si>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</si>
  <si>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</si>
  <si>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</si>
  <si>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10/1/2026: Đã comemnt
Withdraw (nhưng không có mail)
10/23/2026: Update</t>
  </si>
  <si>
    <t>Request for Approval of Step 3 Design Personnel</t>
  </si>
  <si>
    <t>Đề nghị phê duyệt nhân sự thực hiện thiết kế bước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</si>
</sst>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1" fillId="0" borderId="0" xfId="0" applyFont="1" applyAlignment="1">
      <alignment horizontal="left" vertical="center"/>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2" fillId="0" borderId="23" xfId="0" applyFont="1" applyBorder="1" applyAlignment="1">
      <alignment horizontal="center" vertical="center" wrapText="1"/>
    </xf>
    <xf numFmtId="0" fontId="2" fillId="0" borderId="43"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2" fillId="0" borderId="22" xfId="0" applyFont="1" applyBorder="1" applyAlignment="1">
      <alignment horizontal="center" vertical="center" wrapText="1"/>
    </xf>
    <xf numFmtId="0" fontId="2" fillId="0" borderId="45"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printerSettings" Target="../printerSettings/printerSettings1.bin"/><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printerSettings" Target="../printerSettings/printerSettings2.bin"/><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printerSettings" Target="../printerSettings/printerSettings3.bin"/><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4"/>
  <sheetViews>
    <sheetView tabSelected="1" zoomScale="85" zoomScaleNormal="85" zoomScaleSheetLayoutView="115" workbookViewId="0">
      <pane xSplit="6" ySplit="6" topLeftCell="G136" activePane="bottomRight" state="frozen"/>
      <selection pane="topRight" activeCell="D1" sqref="D1"/>
      <selection pane="bottomLeft" activeCell="A7" sqref="A7"/>
      <selection pane="bottomRight" activeCell="O140" sqref="O140"/>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46321</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26" t="s">
        <v>0</v>
      </c>
      <c r="B4" s="348" t="s">
        <v>515</v>
      </c>
      <c r="C4" s="391" t="s">
        <v>45</v>
      </c>
      <c r="D4" s="385" t="s">
        <v>95</v>
      </c>
      <c r="E4" s="352" t="s">
        <v>46</v>
      </c>
      <c r="F4" s="430" t="s">
        <v>47</v>
      </c>
      <c r="G4" s="352" t="s">
        <v>4</v>
      </c>
      <c r="H4" s="428" t="s">
        <v>5</v>
      </c>
      <c r="I4" s="385" t="s">
        <v>48</v>
      </c>
      <c r="J4" s="385" t="s">
        <v>49</v>
      </c>
      <c r="K4" s="352" t="s">
        <v>78</v>
      </c>
      <c r="L4" s="385" t="s">
        <v>80</v>
      </c>
      <c r="M4" s="390" t="s">
        <v>53</v>
      </c>
      <c r="N4" s="379"/>
      <c r="O4" s="390" t="s">
        <v>55</v>
      </c>
      <c r="P4" s="379"/>
      <c r="Q4" s="389" t="s">
        <v>72</v>
      </c>
      <c r="R4" s="379"/>
      <c r="S4" s="390" t="s">
        <v>53</v>
      </c>
      <c r="T4" s="390"/>
      <c r="U4" s="379"/>
      <c r="V4" s="389" t="s">
        <v>55</v>
      </c>
      <c r="W4" s="390"/>
      <c r="X4" s="379"/>
      <c r="Y4" s="393" t="s">
        <v>72</v>
      </c>
      <c r="Z4" s="394"/>
      <c r="AA4" s="397" t="s">
        <v>112</v>
      </c>
      <c r="AB4" s="398"/>
      <c r="AC4" s="398"/>
      <c r="AD4" s="399"/>
      <c r="AE4" s="352" t="s">
        <v>79</v>
      </c>
      <c r="AG4" s="236"/>
    </row>
    <row r="5" spans="1:35" ht="78.75">
      <c r="A5" s="427"/>
      <c r="B5" s="349"/>
      <c r="C5" s="392"/>
      <c r="D5" s="386"/>
      <c r="E5" s="353"/>
      <c r="F5" s="431"/>
      <c r="G5" s="353"/>
      <c r="H5" s="429"/>
      <c r="I5" s="386"/>
      <c r="J5" s="386"/>
      <c r="K5" s="353"/>
      <c r="L5" s="386"/>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80"/>
      <c r="AG5" s="352" t="s">
        <v>119</v>
      </c>
      <c r="AH5" s="352" t="s">
        <v>120</v>
      </c>
      <c r="AI5" s="35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25"/>
      <c r="AH6" s="425"/>
      <c r="AI6" s="425"/>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_xlfn._xlws.FILTER($AG$7:$AG$4579,$L$7:$L$4579&lt;&gt;"X"),
_xlfn._xlws.FILTER($E$7:$E$4579,$L$7:$L$4579&lt;&gt;"X"),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_xlfn._xlws.FILTER($AG$7:$AG$4579,$L$7:$L$4579&lt;&gt;"X"),
_xlfn._xlws.FILTER($E$7:$E$4579,$L$7:$L$4579&lt;&gt;"X"),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_xlfn._xlws.FILTER($AG$7:$AG$4579,$L$7:$L$4579&lt;&gt;"X"),
_xlfn._xlws.FILTER($E$7:$E$4579,$L$7:$L$4579&lt;&gt;"X"),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_xlfn._xlws.FILTER($AG$7:$AG$4579,$L$7:$L$4579&lt;&gt;"X"),
_xlfn._xlws.FILTER($E$7:$E$4579,$L$7:$L$4579&lt;&gt;"X"),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_xlfn._xlws.FILTER($AG$7:$AG$4579,$L$7:$L$4579&lt;&gt;"X"),
_xlfn._xlws.FILTER($E$7:$E$4579,$L$7:$L$4579&lt;&gt;"X"),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_xlfn._xlws.FILTER($AG$7:$AG$4579,$L$7:$L$4579&lt;&gt;"X"),
_xlfn._xlws.FILTER($E$7:$E$4579,$L$7:$L$4579&lt;&gt;"X"),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_xlfn._xlws.FILTER($AG$7:$AG$4579,$L$7:$L$4579&lt;&gt;"X"),
_xlfn._xlws.FILTER($E$7:$E$4579,$L$7:$L$4579&lt;&gt;"X"),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858</v>
      </c>
      <c r="AE14" s="92"/>
      <c r="AG14" s="238" t="str">
        <f t="shared" si="8"/>
        <v>LTIA-5.10-VIETUR-70000-RFA-MAS-0088</v>
      </c>
      <c r="AH14" s="243" t="b" cm="1">
        <f t="array" ref="AH14">$E14=_xlfn.XLOOKUP(
AG14,
_xlfn._xlws.FILTER($AG$7:$AG$4579,$L$7:$L$4579&lt;&gt;"X"),
_xlfn._xlws.FILTER($E$7:$E$4579,$L$7:$L$4579&lt;&gt;"X"),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823</v>
      </c>
      <c r="AE15" s="92"/>
      <c r="AG15" s="238" t="str">
        <f t="shared" si="8"/>
        <v>LTIA-5.10-VIETUR-70000-RFA-MAS-0248</v>
      </c>
      <c r="AH15" s="243" t="b" cm="1">
        <f t="array" ref="AH15">$E15=_xlfn.XLOOKUP(
AG15,
_xlfn._xlws.FILTER($AG$7:$AG$4579,$L$7:$L$4579&lt;&gt;"X"),
_xlfn._xlws.FILTER($E$7:$E$4579,$L$7:$L$4579&lt;&gt;"X"),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_xlfn._xlws.FILTER($AG$7:$AG$4579,$L$7:$L$4579&lt;&gt;"X"),
_xlfn._xlws.FILTER($E$7:$E$4579,$L$7:$L$4579&lt;&gt;"X"),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_xlfn._xlws.FILTER($AG$7:$AG$4579,$L$7:$L$4579&lt;&gt;"X"),
_xlfn._xlws.FILTER($E$7:$E$4579,$L$7:$L$4579&lt;&gt;"X"),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_xlfn._xlws.FILTER($AG$7:$AG$4579,$L$7:$L$4579&lt;&gt;"X"),
_xlfn._xlws.FILTER($E$7:$E$4579,$L$7:$L$4579&lt;&gt;"X"),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_xlfn._xlws.FILTER($AG$7:$AG$4579,$L$7:$L$4579&lt;&gt;"X"),
_xlfn._xlws.FILTER($E$7:$E$4579,$L$7:$L$4579&lt;&gt;"X"),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_xlfn._xlws.FILTER($AG$7:$AG$4579,$L$7:$L$4579&lt;&gt;"X"),
_xlfn._xlws.FILTER($E$7:$E$4579,$L$7:$L$4579&lt;&gt;"X"),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_xlfn._xlws.FILTER($AG$7:$AG$4579,$L$7:$L$4579&lt;&gt;"X"),
_xlfn._xlws.FILTER($E$7:$E$4579,$L$7:$L$4579&lt;&gt;"X"),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_xlfn._xlws.FILTER($AG$7:$AG$4579,$L$7:$L$4579&lt;&gt;"X"),
_xlfn._xlws.FILTER($E$7:$E$4579,$L$7:$L$4579&lt;&gt;"X"),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_xlfn._xlws.FILTER($AG$7:$AG$4579,$L$7:$L$4579&lt;&gt;"X"),
_xlfn._xlws.FILTER($E$7:$E$4579,$L$7:$L$4579&lt;&gt;"X"),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873</v>
      </c>
      <c r="AG24" s="238" t="str">
        <f t="shared" si="8"/>
        <v>LTIA-5.10-VIETUR-70000-RFA-MAS-0318</v>
      </c>
      <c r="AH24" s="243" t="b" cm="1">
        <f t="array" ref="AH24">$E24=_xlfn.XLOOKUP(
AG24,
_xlfn._xlws.FILTER($AG$7:$AG$4579,$L$7:$L$4579&lt;&gt;"X"),
_xlfn._xlws.FILTER($E$7:$E$4579,$L$7:$L$4579&lt;&gt;"X"),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_xlfn._xlws.FILTER($AG$7:$AG$4579,$L$7:$L$4579&lt;&gt;"X"),
_xlfn._xlws.FILTER($E$7:$E$4579,$L$7:$L$4579&lt;&gt;"X"),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_xlfn._xlws.FILTER($AG$7:$AG$4579,$L$7:$L$4579&lt;&gt;"X"),
_xlfn._xlws.FILTER($E$7:$E$4579,$L$7:$L$4579&lt;&gt;"X"),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_xlfn._xlws.FILTER($AG$7:$AG$4579,$L$7:$L$4579&lt;&gt;"X"),
_xlfn._xlws.FILTER($E$7:$E$4579,$L$7:$L$4579&lt;&gt;"X"),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_xlfn._xlws.FILTER($AG$7:$AG$4579,$L$7:$L$4579&lt;&gt;"X"),
_xlfn._xlws.FILTER($E$7:$E$4579,$L$7:$L$4579&lt;&gt;"X"),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_xlfn._xlws.FILTER($AG$7:$AG$4579,$L$7:$L$4579&lt;&gt;"X"),
_xlfn._xlws.FILTER($E$7:$E$4579,$L$7:$L$4579&lt;&gt;"X"),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_xlfn._xlws.FILTER($AG$7:$AG$4579,$L$7:$L$4579&lt;&gt;"X"),
_xlfn._xlws.FILTER($E$7:$E$4579,$L$7:$L$4579&lt;&gt;"X"),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_xlfn._xlws.FILTER($AG$7:$AG$4579,$L$7:$L$4579&lt;&gt;"X"),
_xlfn._xlws.FILTER($E$7:$E$4579,$L$7:$L$4579&lt;&gt;"X"),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_xlfn._xlws.FILTER($AG$7:$AG$4579,$L$7:$L$4579&lt;&gt;"X"),
_xlfn._xlws.FILTER($E$7:$E$4579,$L$7:$L$4579&lt;&gt;"X"),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_xlfn._xlws.FILTER($AG$7:$AG$4579,$L$7:$L$4579&lt;&gt;"X"),
_xlfn._xlws.FILTER($E$7:$E$4579,$L$7:$L$4579&lt;&gt;"X"),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_xlfn._xlws.FILTER($AG$7:$AG$4579,$L$7:$L$4579&lt;&gt;"X"),
_xlfn._xlws.FILTER($E$7:$E$4579,$L$7:$L$4579&lt;&gt;"X"),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_xlfn._xlws.FILTER($AG$7:$AG$4579,$L$7:$L$4579&lt;&gt;"X"),
_xlfn._xlws.FILTER($E$7:$E$4579,$L$7:$L$4579&lt;&gt;"X"),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_xlfn._xlws.FILTER($AG$7:$AG$4579,$L$7:$L$4579&lt;&gt;"X"),
_xlfn._xlws.FILTER($E$7:$E$4579,$L$7:$L$4579&lt;&gt;"X"),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_xlfn._xlws.FILTER($AG$7:$AG$4579,$L$7:$L$4579&lt;&gt;"X"),
_xlfn._xlws.FILTER($E$7:$E$4579,$L$7:$L$4579&lt;&gt;"X"),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_xlfn._xlws.FILTER($AG$7:$AG$4579,$L$7:$L$4579&lt;&gt;"X"),
_xlfn._xlws.FILTER($E$7:$E$4579,$L$7:$L$4579&lt;&gt;"X"),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_xlfn._xlws.FILTER($AG$7:$AG$4579,$L$7:$L$4579&lt;&gt;"X"),
_xlfn._xlws.FILTER($E$7:$E$4579,$L$7:$L$4579&lt;&gt;"X"),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_xlfn._xlws.FILTER($AG$7:$AG$4579,$L$7:$L$4579&lt;&gt;"X"),
_xlfn._xlws.FILTER($E$7:$E$4579,$L$7:$L$4579&lt;&gt;"X"),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_xlfn._xlws.FILTER($AG$7:$AG$4579,$L$7:$L$4579&lt;&gt;"X"),
_xlfn._xlws.FILTER($E$7:$E$4579,$L$7:$L$4579&lt;&gt;"X"),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_xlfn._xlws.FILTER($AG$7:$AG$4579,$L$7:$L$4579&lt;&gt;"X"),
_xlfn._xlws.FILTER($E$7:$E$4579,$L$7:$L$4579&lt;&gt;"X"),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_xlfn._xlws.FILTER($AG$7:$AG$4579,$L$7:$L$4579&lt;&gt;"X"),
_xlfn._xlws.FILTER($E$7:$E$4579,$L$7:$L$4579&lt;&gt;"X"),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521</v>
      </c>
      <c r="AE44" s="92"/>
      <c r="AG44" s="238" t="str">
        <f t="shared" si="14"/>
        <v>LTIA-5.10-VIETUR-70000-RFA-OTH-0432</v>
      </c>
      <c r="AH44" s="243" t="b" cm="1">
        <f t="array" ref="AH44">$E44=_xlfn.XLOOKUP(
AG44,
_xlfn._xlws.FILTER($AG$7:$AG$4579,$L$7:$L$4579&lt;&gt;"X"),
_xlfn._xlws.FILTER($E$7:$E$4579,$L$7:$L$4579&lt;&gt;"X"),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_xlfn._xlws.FILTER($AG$7:$AG$4579,$L$7:$L$4579&lt;&gt;"X"),
_xlfn._xlws.FILTER($E$7:$E$4579,$L$7:$L$4579&lt;&gt;"X"),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402</v>
      </c>
      <c r="AE46" s="92"/>
      <c r="AG46" s="238" t="str">
        <f t="shared" si="14"/>
        <v>LTIA-5.10-VIETUR-70000-RFA-MAS-0277</v>
      </c>
      <c r="AH46" s="243" t="b" cm="1">
        <f t="array" ref="AH46">$E46=_xlfn.XLOOKUP(
AG46,
_xlfn._xlws.FILTER($AG$7:$AG$4579,$L$7:$L$4579&lt;&gt;"X"),
_xlfn._xlws.FILTER($E$7:$E$4579,$L$7:$L$4579&lt;&gt;"X"),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_xlfn._xlws.FILTER($AG$7:$AG$4579,$L$7:$L$4579&lt;&gt;"X"),
_xlfn._xlws.FILTER($E$7:$E$4579,$L$7:$L$4579&lt;&gt;"X"),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_xlfn._xlws.FILTER($AG$7:$AG$4579,$L$7:$L$4579&lt;&gt;"X"),
_xlfn._xlws.FILTER($E$7:$E$4579,$L$7:$L$4579&lt;&gt;"X"),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_xlfn._xlws.FILTER($AG$7:$AG$4579,$L$7:$L$4579&lt;&gt;"X"),
_xlfn._xlws.FILTER($E$7:$E$4579,$L$7:$L$4579&lt;&gt;"X"),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342</v>
      </c>
      <c r="AE50" s="92"/>
      <c r="AG50" s="238" t="str">
        <f t="shared" si="14"/>
        <v>LTIA-5.10-VIETUR-70000-RFA-OTH-0523</v>
      </c>
      <c r="AH50" s="243" t="b" cm="1">
        <f t="array" ref="AH50">$E50=_xlfn.XLOOKUP(
AG50,
_xlfn._xlws.FILTER($AG$7:$AG$4579,$L$7:$L$4579&lt;&gt;"X"),
_xlfn._xlws.FILTER($E$7:$E$4579,$L$7:$L$4579&lt;&gt;"X"),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439</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_xlfn._xlws.FILTER($AG$7:$AG$4579,$L$7:$L$4579&lt;&gt;"X"),
_xlfn._xlws.FILTER($E$7:$E$4579,$L$7:$L$4579&lt;&gt;"X"),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874</v>
      </c>
      <c r="AG52" s="238" t="str">
        <f t="shared" si="14"/>
        <v>LTIA-5.10-VIETUR-70000-RFA-MAS-0655</v>
      </c>
      <c r="AH52" s="243" t="b" cm="1">
        <f t="array" ref="AH52">$E52=_xlfn.XLOOKUP(
AG52,
_xlfn._xlws.FILTER($AG$7:$AG$4579,$L$7:$L$4579&lt;&gt;"X"),
_xlfn._xlws.FILTER($E$7:$E$4579,$L$7:$L$4579&lt;&gt;"X"),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875</v>
      </c>
      <c r="AG53" s="238" t="str">
        <f t="shared" si="14"/>
        <v>LTIA-5.10-VIETUR-70000-RFA-MAS-0660</v>
      </c>
      <c r="AH53" s="243" t="b" cm="1">
        <f t="array" ref="AH53">$E53=_xlfn.XLOOKUP(
AG53,
_xlfn._xlws.FILTER($AG$7:$AG$4579,$L$7:$L$4579&lt;&gt;"X"),
_xlfn._xlws.FILTER($E$7:$E$4579,$L$7:$L$4579&lt;&gt;"X"),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_xlfn._xlws.FILTER($AG$7:$AG$4579,$L$7:$L$4579&lt;&gt;"X"),
_xlfn._xlws.FILTER($E$7:$E$4579,$L$7:$L$4579&lt;&gt;"X"),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_xlfn._xlws.FILTER($AG$7:$AG$4579,$L$7:$L$4579&lt;&gt;"X"),
_xlfn._xlws.FILTER($E$7:$E$4579,$L$7:$L$4579&lt;&gt;"X"),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876</v>
      </c>
      <c r="AG56" s="238" t="str">
        <f t="shared" si="14"/>
        <v>LTIA-5.10-VIETUR-70000-RFA-MAS-0219</v>
      </c>
      <c r="AH56" s="243" t="b" cm="1">
        <f t="array" ref="AH56">$E56=_xlfn.XLOOKUP(
AG56,
_xlfn._xlws.FILTER($AG$7:$AG$4579,$L$7:$L$4579&lt;&gt;"X"),
_xlfn._xlws.FILTER($E$7:$E$4579,$L$7:$L$4579&lt;&gt;"X"),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_xlfn._xlws.FILTER($AG$7:$AG$4579,$L$7:$L$4579&lt;&gt;"X"),
_xlfn._xlws.FILTER($E$7:$E$4579,$L$7:$L$4579&lt;&gt;"X"),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319</v>
      </c>
      <c r="AE58" s="92"/>
      <c r="AG58" s="238" t="str">
        <f t="shared" si="14"/>
        <v>LTIA-5.10-VIETUR-70000-RFA-OTH-0589</v>
      </c>
      <c r="AH58" s="243" t="b" cm="1">
        <f t="array" ref="AH58">$E58=_xlfn.XLOOKUP(
AG58,
_xlfn._xlws.FILTER($AG$7:$AG$4579,$L$7:$L$4579&lt;&gt;"X"),
_xlfn._xlws.FILTER($E$7:$E$4579,$L$7:$L$4579&lt;&gt;"X"),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370</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_xlfn._xlws.FILTER($AG$7:$AG$4579,$L$7:$L$4579&lt;&gt;"X"),
_xlfn._xlws.FILTER($E$7:$E$4579,$L$7:$L$4579&lt;&gt;"X"),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877</v>
      </c>
      <c r="AG60" s="238" t="str">
        <f t="shared" si="14"/>
        <v>LTIA-5.10-VIETUR-70000-RFA-MAS-0696</v>
      </c>
      <c r="AH60" s="243" t="b" cm="1">
        <f t="array" ref="AH60">$E60=_xlfn.XLOOKUP(
AG60,
_xlfn._xlws.FILTER($AG$7:$AG$4579,$L$7:$L$4579&lt;&gt;"X"),
_xlfn._xlws.FILTER($E$7:$E$4579,$L$7:$L$4579&lt;&gt;"X"),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314</v>
      </c>
      <c r="AE61" s="92"/>
      <c r="AG61" s="238" t="str">
        <f t="shared" si="14"/>
        <v>LTIA-5.10-VIETUR-70000-RFA-MAS-0706</v>
      </c>
      <c r="AH61" s="243" t="b" cm="1">
        <f t="array" ref="AH61">$E61=_xlfn.XLOOKUP(
AG61,
_xlfn._xlws.FILTER($AG$7:$AG$4579,$L$7:$L$4579&lt;&gt;"X"),
_xlfn._xlws.FILTER($E$7:$E$4579,$L$7:$L$4579&lt;&gt;"X"),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_xlfn._xlws.FILTER($AG$7:$AG$4579,$L$7:$L$4579&lt;&gt;"X"),
_xlfn._xlws.FILTER($E$7:$E$4579,$L$7:$L$4579&lt;&gt;"X"),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878</v>
      </c>
      <c r="AG63" s="238" t="str">
        <f t="shared" si="14"/>
        <v>LTIA-5.10-VIETUR-70000-RFA-MAS-0720</v>
      </c>
      <c r="AH63" s="243" t="b" cm="1">
        <f t="array" ref="AH63">$E63=_xlfn.XLOOKUP(
AG63,
_xlfn._xlws.FILTER($AG$7:$AG$4579,$L$7:$L$4579&lt;&gt;"X"),
_xlfn._xlws.FILTER($E$7:$E$4579,$L$7:$L$4579&lt;&gt;"X"),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879</v>
      </c>
      <c r="AG64" s="238" t="str">
        <f t="shared" si="14"/>
        <v>LTIA-5.10-VIETUR-70000-RFA-MAS-0708</v>
      </c>
      <c r="AH64" s="243" t="b" cm="1">
        <f t="array" ref="AH64">$E64=_xlfn.XLOOKUP(
AG64,
_xlfn._xlws.FILTER($AG$7:$AG$4579,$L$7:$L$4579&lt;&gt;"X"),
_xlfn._xlws.FILTER($E$7:$E$4579,$L$7:$L$4579&lt;&gt;"X"),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880</v>
      </c>
      <c r="AG65" s="238" t="str">
        <f t="shared" si="14"/>
        <v>LTIA-5.10-VIETUR-70000-RFA-MAS-0734</v>
      </c>
      <c r="AH65" s="243" t="b" cm="1">
        <f t="array" ref="AH65">$E65=_xlfn.XLOOKUP(
AG65,
_xlfn._xlws.FILTER($AG$7:$AG$4579,$L$7:$L$4579&lt;&gt;"X"),
_xlfn._xlws.FILTER($E$7:$E$4579,$L$7:$L$4579&lt;&gt;"X"),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881</v>
      </c>
      <c r="AG66" s="238" t="str">
        <f t="shared" si="14"/>
        <v>LTIA-5.10-VIETUR-70000-RFA-MAS-0556</v>
      </c>
      <c r="AH66" s="243" t="b" cm="1">
        <f t="array" ref="AH66">$E66=_xlfn.XLOOKUP(
AG66,
_xlfn._xlws.FILTER($AG$7:$AG$4579,$L$7:$L$4579&lt;&gt;"X"),
_xlfn._xlws.FILTER($E$7:$E$4579,$L$7:$L$4579&lt;&gt;"X"),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_xlfn._xlws.FILTER($AG$7:$AG$4579,$L$7:$L$4579&lt;&gt;"X"),
_xlfn._xlws.FILTER($E$7:$E$4579,$L$7:$L$4579&lt;&gt;"X"),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151</v>
      </c>
      <c r="AE68" s="92"/>
      <c r="AG68" s="238" t="str">
        <f t="shared" si="14"/>
        <v>LTIA-5.10-VIETUR-70000-RFA-OTH-0654</v>
      </c>
      <c r="AH68" s="243" t="b" cm="1">
        <f t="array" ref="AH68">$E68=_xlfn.XLOOKUP(
AG68,
_xlfn._xlws.FILTER($AG$7:$AG$4579,$L$7:$L$4579&lt;&gt;"X"),
_xlfn._xlws.FILTER($E$7:$E$4579,$L$7:$L$4579&lt;&gt;"X"),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_xlfn._xlws.FILTER($AG$7:$AG$4579,$L$7:$L$4579&lt;&gt;"X"),
_xlfn._xlws.FILTER($E$7:$E$4579,$L$7:$L$4579&lt;&gt;"X"),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_xlfn._xlws.FILTER($AG$7:$AG$4579,$L$7:$L$4579&lt;&gt;"X"),
_xlfn._xlws.FILTER($E$7:$E$4579,$L$7:$L$4579&lt;&gt;"X"),
"",
0,
-1
)</f>
        <v>1</v>
      </c>
      <c r="AI70" s="75" t="str">
        <f t="shared" si="9"/>
        <v/>
      </c>
    </row>
    <row r="71" spans="1:35" s="9" customFormat="1" ht="47.25">
      <c r="A71" s="33">
        <f t="shared" ref="A71:A142"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_xlfn._xlws.FILTER($AG$7:$AG$4579,$L$7:$L$4579&lt;&gt;"X"),
_xlfn._xlws.FILTER($E$7:$E$4579,$L$7:$L$4579&lt;&gt;"X"),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_xlfn._xlws.FILTER($AG$7:$AG$4579,$L$7:$L$4579&lt;&gt;"X"),
_xlfn._xlws.FILTER($E$7:$E$4579,$L$7:$L$4579&lt;&gt;"X"),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_xlfn._xlws.FILTER($AG$7:$AG$4579,$L$7:$L$4579&lt;&gt;"X"),
_xlfn._xlws.FILTER($E$7:$E$4579,$L$7:$L$4579&lt;&gt;"X"),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_xlfn._xlws.FILTER($AG$7:$AG$4579,$L$7:$L$4579&lt;&gt;"X"),
_xlfn._xlws.FILTER($E$7:$E$4579,$L$7:$L$4579&lt;&gt;"X"),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_xlfn._xlws.FILTER($AG$7:$AG$4579,$L$7:$L$4579&lt;&gt;"X"),
_xlfn._xlws.FILTER($E$7:$E$4579,$L$7:$L$4579&lt;&gt;"X"),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_xlfn._xlws.FILTER($AG$7:$AG$4579,$L$7:$L$4579&lt;&gt;"X"),
_xlfn._xlws.FILTER($E$7:$E$4579,$L$7:$L$4579&lt;&gt;"X"),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_xlfn._xlws.FILTER($AG$7:$AG$4579,$L$7:$L$4579&lt;&gt;"X"),
_xlfn._xlws.FILTER($E$7:$E$4579,$L$7:$L$4579&lt;&gt;"X"),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_xlfn._xlws.FILTER($AG$7:$AG$4579,$L$7:$L$4579&lt;&gt;"X"),
_xlfn._xlws.FILTER($E$7:$E$4579,$L$7:$L$4579&lt;&gt;"X"),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_xlfn._xlws.FILTER($AG$7:$AG$4579,$L$7:$L$4579&lt;&gt;"X"),
_xlfn._xlws.FILTER($E$7:$E$4579,$L$7:$L$4579&lt;&gt;"X"),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933</v>
      </c>
      <c r="AG80" s="238" t="str">
        <f t="shared" si="14"/>
        <v>LTIA-5.11-LTICT-71110-RFA-MAS-0011</v>
      </c>
      <c r="AH80" s="243" t="b" cm="1">
        <f t="array" ref="AH80">$E80=_xlfn.XLOOKUP(
AG80,
_xlfn._xlws.FILTER($AG$7:$AG$4579,$L$7:$L$4579&lt;&gt;"X"),
_xlfn._xlws.FILTER($E$7:$E$4579,$L$7:$L$4579&lt;&gt;"X"),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_xlfn._xlws.FILTER($AG$7:$AG$4579,$L$7:$L$4579&lt;&gt;"X"),
_xlfn._xlws.FILTER($E$7:$E$4579,$L$7:$L$4579&lt;&gt;"X"),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_xlfn._xlws.FILTER($AG$7:$AG$4579,$L$7:$L$4579&lt;&gt;"X"),
_xlfn._xlws.FILTER($E$7:$E$4579,$L$7:$L$4579&lt;&gt;"X"),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_xlfn._xlws.FILTER($AG$7:$AG$4579,$L$7:$L$4579&lt;&gt;"X"),
_xlfn._xlws.FILTER($E$7:$E$4579,$L$7:$L$4579&lt;&gt;"X"),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917</v>
      </c>
      <c r="AG84" s="238" t="str">
        <f t="shared" si="14"/>
        <v>LTIA-5.11-LTICT-RFA-MAS-0014</v>
      </c>
      <c r="AH84" s="243" t="b" cm="1">
        <f t="array" ref="AH84">$E84=_xlfn.XLOOKUP(
AG84,
_xlfn._xlws.FILTER($AG$7:$AG$4579,$L$7:$L$4579&lt;&gt;"X"),
_xlfn._xlws.FILTER($E$7:$E$4579,$L$7:$L$4579&lt;&gt;"X"),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948</v>
      </c>
      <c r="AG85" s="238" t="str">
        <f t="shared" si="14"/>
        <v>LTIA-5.11-LTICT-72102-RFA-MAS-0015</v>
      </c>
      <c r="AH85" s="243" t="b" cm="1">
        <f t="array" ref="AH85">$E85=_xlfn.XLOOKUP(
AG85,
_xlfn._xlws.FILTER($AG$7:$AG$4579,$L$7:$L$4579&lt;&gt;"X"),
_xlfn._xlws.FILTER($E$7:$E$4579,$L$7:$L$4579&lt;&gt;"X"),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934</v>
      </c>
      <c r="AG86" s="238" t="str">
        <f t="shared" si="14"/>
        <v>LTIA-5.11-LTICT-71110-RFA-MAS-0016</v>
      </c>
      <c r="AH86" s="243" t="b" cm="1">
        <f t="array" ref="AH86">$E86=_xlfn.XLOOKUP(
AG86,
_xlfn._xlws.FILTER($AG$7:$AG$4579,$L$7:$L$4579&lt;&gt;"X"),
_xlfn._xlws.FILTER($E$7:$E$4579,$L$7:$L$4579&lt;&gt;"X"),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_xlfn._xlws.FILTER($AG$7:$AG$4579,$L$7:$L$4579&lt;&gt;"X"),
_xlfn._xlws.FILTER($E$7:$E$4579,$L$7:$L$4579&lt;&gt;"X"),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_xlfn._xlws.FILTER($AG$7:$AG$4579,$L$7:$L$4579&lt;&gt;"X"),
_xlfn._xlws.FILTER($E$7:$E$4579,$L$7:$L$4579&lt;&gt;"X"),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_xlfn._xlws.FILTER($AG$7:$AG$4579,$L$7:$L$4579&lt;&gt;"X"),
_xlfn._xlws.FILTER($E$7:$E$4579,$L$7:$L$4579&lt;&gt;"X"),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_xlfn._xlws.FILTER($AG$7:$AG$4579,$L$7:$L$4579&lt;&gt;"X"),
_xlfn._xlws.FILTER($E$7:$E$4579,$L$7:$L$4579&lt;&gt;"X"),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_xlfn._xlws.FILTER($AG$7:$AG$4579,$L$7:$L$4579&lt;&gt;"X"),
_xlfn._xlws.FILTER($E$7:$E$4579,$L$7:$L$4579&lt;&gt;"X"),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161</v>
      </c>
      <c r="K92" s="47">
        <f t="shared" ca="1" si="28"/>
        <v>140</v>
      </c>
      <c r="L92" s="164" t="s">
        <v>1001</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807</v>
      </c>
      <c r="AG92" s="238" t="str">
        <f t="shared" si="14"/>
        <v>LTIA-5.11-LTICT-10000-RFA-GEN-0005</v>
      </c>
      <c r="AH92" s="243" t="b" cm="1">
        <f t="array" ref="AH92">$E92=_xlfn.XLOOKUP(
AG92,
_xlfn._xlws.FILTER($AG$7:$AG$4579,$L$7:$L$4579&lt;&gt;"X"),
_xlfn._xlws.FILTER($E$7:$E$4579,$L$7:$L$4579&lt;&gt;"X"),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347</v>
      </c>
      <c r="K93" s="47">
        <f t="shared" ca="1" si="28"/>
        <v>326</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_xlfn._xlws.FILTER($AG$7:$AG$4579,$L$7:$L$4579&lt;&gt;"X"),
_xlfn._xlws.FILTER($E$7:$E$4579,$L$7:$L$4579&lt;&gt;"X"),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_xlfn._xlws.FILTER($AG$7:$AG$4579,$L$7:$L$4579&lt;&gt;"X"),
_xlfn._xlws.FILTER($E$7:$E$4579,$L$7:$L$4579&lt;&gt;"X"),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_xlfn._xlws.FILTER($AG$7:$AG$4579,$L$7:$L$4579&lt;&gt;"X"),
_xlfn._xlws.FILTER($E$7:$E$4579,$L$7:$L$4579&lt;&gt;"X"),
"",
0,
-1
)</f>
        <v>0</v>
      </c>
      <c r="AI95" s="75" t="str">
        <f t="shared" si="24"/>
        <v/>
      </c>
    </row>
    <row r="96" spans="1:35" s="9" customFormat="1" ht="47.25">
      <c r="A96" s="33">
        <f t="shared" si="19"/>
        <v>90</v>
      </c>
      <c r="B96" s="330" t="str">
        <f t="shared" si="20"/>
        <v>5.11</v>
      </c>
      <c r="C96" s="164" t="s">
        <v>725</v>
      </c>
      <c r="D96" s="137" t="s">
        <v>85</v>
      </c>
      <c r="E96" s="25" t="s">
        <v>811</v>
      </c>
      <c r="F96" s="174">
        <f t="shared" ref="F96:F142" si="29">IF($U96=0,$T96+22,$U96+21)</f>
        <v>46078</v>
      </c>
      <c r="G96" s="31" t="s">
        <v>826</v>
      </c>
      <c r="H96" s="21" t="s">
        <v>827</v>
      </c>
      <c r="I96" s="138" t="s">
        <v>1</v>
      </c>
      <c r="J96" s="164">
        <f t="shared" ref="J96:J142" si="30">IF(ISBLANK($W96),_xlfn.DAYS($J$1,$U96),_xlfn.DAYS($W96,$U96))</f>
        <v>48</v>
      </c>
      <c r="K96" s="47">
        <f t="shared" ref="K96:K142"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_xlfn._xlws.FILTER($AG$7:$AG$4579,$L$7:$L$4579&lt;&gt;"X"),
_xlfn._xlws.FILTER($E$7:$E$4579,$L$7:$L$4579&lt;&gt;"X"),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_xlfn._xlws.FILTER($AG$7:$AG$4579,$L$7:$L$4579&lt;&gt;"X"),
_xlfn._xlws.FILTER($E$7:$E$4579,$L$7:$L$4579&lt;&gt;"X"),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_xlfn._xlws.FILTER($AG$7:$AG$4579,$L$7:$L$4579&lt;&gt;"X"),
_xlfn._xlws.FILTER($E$7:$E$4579,$L$7:$L$4579&lt;&gt;"X"),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_xlfn._xlws.FILTER($AG$7:$AG$4579,$L$7:$L$4579&lt;&gt;"X"),
_xlfn._xlws.FILTER($E$7:$E$4579,$L$7:$L$4579&lt;&gt;"X"),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872</v>
      </c>
      <c r="AG100" s="238" t="str">
        <f t="shared" si="14"/>
        <v>LTIA-5.11-LTICT-RFA-OTH-0007</v>
      </c>
      <c r="AH100" s="243" t="b" cm="1">
        <f t="array" ref="AH100">$E100=_xlfn.XLOOKUP(
AG100,
_xlfn._xlws.FILTER($AG$7:$AG$4579,$L$7:$L$4579&lt;&gt;"X"),
_xlfn._xlws.FILTER($E$7:$E$4579,$L$7:$L$4579&lt;&gt;"X"),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_xlfn._xlws.FILTER($AG$7:$AG$4579,$L$7:$L$4579&lt;&gt;"X"),
_xlfn._xlws.FILTER($E$7:$E$4579,$L$7:$L$4579&lt;&gt;"X"),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944</v>
      </c>
      <c r="AG102" s="238" t="str">
        <f t="shared" si="14"/>
        <v>LTIA-5.11-LTICT-72120-RFA-MAS-0015</v>
      </c>
      <c r="AH102" s="243" t="b" cm="1">
        <f t="array" ref="AH102">$E102=_xlfn.XLOOKUP(
AG102,
_xlfn._xlws.FILTER($AG$7:$AG$4579,$L$7:$L$4579&lt;&gt;"X"),
_xlfn._xlws.FILTER($E$7:$E$4579,$L$7:$L$4579&lt;&gt;"X"),
"",
0,
-1
)</f>
        <v>0</v>
      </c>
      <c r="AI102" s="75" t="str">
        <f t="shared" si="24"/>
        <v/>
      </c>
    </row>
    <row r="103" spans="1:35" s="9" customFormat="1" ht="63">
      <c r="A103" s="33">
        <f t="shared" si="19"/>
        <v>97</v>
      </c>
      <c r="B103" s="330" t="str">
        <f t="shared" ref="B103" si="33">MID(E103, FIND("-", E103) + 1, 4)</f>
        <v>5.10</v>
      </c>
      <c r="C103" s="164" t="s">
        <v>144</v>
      </c>
      <c r="D103" s="137" t="s">
        <v>28</v>
      </c>
      <c r="E103" s="25" t="s">
        <v>868</v>
      </c>
      <c r="F103" s="174">
        <f t="shared" si="29"/>
        <v>46195</v>
      </c>
      <c r="G103" s="31" t="s">
        <v>869</v>
      </c>
      <c r="H103" s="21" t="s">
        <v>870</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871</v>
      </c>
      <c r="AG103" s="238" t="str">
        <f t="shared" si="14"/>
        <v>LTIA-5.10-VIETUR-70000-RFA-OTH-0712</v>
      </c>
      <c r="AH103" s="243" t="b" cm="1">
        <f t="array" ref="AH103">$E103=_xlfn.XLOOKUP(
AG103,
_xlfn._xlws.FILTER($AG$7:$AG$4579,$L$7:$L$4579&lt;&gt;"X"),
_xlfn._xlws.FILTER($E$7:$E$4579,$L$7:$L$4579&lt;&gt;"X"),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871</v>
      </c>
      <c r="AG104" s="238" t="str">
        <f t="shared" si="14"/>
        <v>LTIA-5.10-VIETUR-70000-RFA-OTH-0721</v>
      </c>
      <c r="AH104" s="243" t="b" cm="1">
        <f t="array" ref="AH104">$E104=_xlfn.XLOOKUP(
AG104,
_xlfn._xlws.FILTER($AG$7:$AG$4579,$L$7:$L$4579&lt;&gt;"X"),
_xlfn._xlws.FILTER($E$7:$E$4579,$L$7:$L$4579&lt;&gt;"X"),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871</v>
      </c>
      <c r="AG105" s="238" t="str">
        <f t="shared" si="14"/>
        <v>LTIA-5.10-VIETUR-70000-RFA-OTH-0725</v>
      </c>
      <c r="AH105" s="243" t="b" cm="1">
        <f t="array" ref="AH105">$E105=_xlfn.XLOOKUP(
AG105,
_xlfn._xlws.FILTER($AG$7:$AG$4579,$L$7:$L$4579&lt;&gt;"X"),
_xlfn._xlws.FILTER($E$7:$E$4579,$L$7:$L$4579&lt;&gt;"X"),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979</v>
      </c>
      <c r="AG106" s="238" t="str">
        <f t="shared" si="14"/>
        <v>LTIA-5.11-LTICT-10000-RFA-GEN-0004</v>
      </c>
      <c r="AH106" s="243" t="b" cm="1">
        <f t="array" ref="AH106">$E106=_xlfn.XLOOKUP(
AG106,
_xlfn._xlws.FILTER($AG$7:$AG$4579,$L$7:$L$4579&lt;&gt;"X"),
_xlfn._xlws.FILTER($E$7:$E$4579,$L$7:$L$4579&lt;&gt;"X"),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899</v>
      </c>
      <c r="AG107" s="238" t="str">
        <f t="shared" si="14"/>
        <v>LTIA-5.11-LTICT-OTH-RFA-0008</v>
      </c>
      <c r="AH107" s="243" t="b" cm="1">
        <f t="array" ref="AH107">$E107=_xlfn.XLOOKUP(
AG107,
_xlfn._xlws.FILTER($AG$7:$AG$4579,$L$7:$L$4579&lt;&gt;"X"),
_xlfn._xlws.FILTER($E$7:$E$4579,$L$7:$L$4579&lt;&gt;"X"),
"",
0,
-1
)</f>
        <v>0</v>
      </c>
      <c r="AI107" s="75" t="str">
        <f t="shared" si="24"/>
        <v/>
      </c>
    </row>
    <row r="108" spans="1:35" s="9" customFormat="1" ht="47.25">
      <c r="A108" s="33">
        <f t="shared" si="19"/>
        <v>102</v>
      </c>
      <c r="B108" s="330" t="str">
        <f t="shared" ref="B108" si="39">MID(E108, FIND("-", E108) + 1, 4)</f>
        <v>5.11</v>
      </c>
      <c r="C108" s="164" t="s">
        <v>342</v>
      </c>
      <c r="D108" s="137" t="s">
        <v>28</v>
      </c>
      <c r="E108" s="25" t="s">
        <v>882</v>
      </c>
      <c r="F108" s="174">
        <f t="shared" si="29"/>
        <v>46219</v>
      </c>
      <c r="G108" s="31" t="s">
        <v>883</v>
      </c>
      <c r="H108" s="21" t="s">
        <v>884</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935</v>
      </c>
      <c r="AG108" s="238" t="str">
        <f t="shared" si="14"/>
        <v>LTIA-5.11-LTICT-RFA-OTH-0009</v>
      </c>
      <c r="AH108" s="243" t="b" cm="1">
        <f t="array" ref="AH108">$E108=_xlfn.XLOOKUP(
AG108,
_xlfn._xlws.FILTER($AG$7:$AG$4579,$L$7:$L$4579&lt;&gt;"X"),
_xlfn._xlws.FILTER($E$7:$E$4579,$L$7:$L$4579&lt;&gt;"X"),
"",
0,
-1
)</f>
        <v>1</v>
      </c>
      <c r="AI108" s="75" t="str">
        <f t="shared" si="24"/>
        <v>YES</v>
      </c>
    </row>
    <row r="109" spans="1:35" s="9" customFormat="1" ht="63">
      <c r="A109" s="33">
        <f t="shared" si="19"/>
        <v>103</v>
      </c>
      <c r="B109" s="330" t="str">
        <f t="shared" ref="B109" si="41">MID(E109, FIND("-", E109) + 1, 4)</f>
        <v>5.11</v>
      </c>
      <c r="C109" s="164" t="s">
        <v>144</v>
      </c>
      <c r="D109" s="137" t="s">
        <v>28</v>
      </c>
      <c r="E109" s="25" t="s">
        <v>900</v>
      </c>
      <c r="F109" s="174">
        <f t="shared" si="29"/>
        <v>46300</v>
      </c>
      <c r="G109" s="31" t="s">
        <v>901</v>
      </c>
      <c r="H109" s="21" t="s">
        <v>902</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1011</v>
      </c>
      <c r="AG109" s="238" t="str">
        <f t="shared" si="14"/>
        <v>LTIA-5.11-LTICT-OTH-RFA-0010</v>
      </c>
      <c r="AH109" s="243" t="b" cm="1">
        <f t="array" ref="AH109">$E109=_xlfn.XLOOKUP(
AG109,
_xlfn._xlws.FILTER($AG$7:$AG$4579,$L$7:$L$4579&lt;&gt;"X"),
_xlfn._xlws.FILTER($E$7:$E$4579,$L$7:$L$4579&lt;&gt;"X"),
"",
0,
-1
)</f>
        <v>1</v>
      </c>
      <c r="AI109" s="75" t="str">
        <f t="shared" si="24"/>
        <v/>
      </c>
    </row>
    <row r="110" spans="1:35" s="9" customFormat="1" ht="47.25">
      <c r="A110" s="33">
        <f t="shared" si="19"/>
        <v>104</v>
      </c>
      <c r="B110" s="330" t="str">
        <f t="shared" ref="B110" si="43">MID(E110, FIND("-", E110) + 1, 4)</f>
        <v>5.11</v>
      </c>
      <c r="C110" s="164" t="s">
        <v>656</v>
      </c>
      <c r="D110" s="137" t="s">
        <v>30</v>
      </c>
      <c r="E110" s="25" t="s">
        <v>911</v>
      </c>
      <c r="F110" s="174">
        <f t="shared" si="29"/>
        <v>46219</v>
      </c>
      <c r="G110" s="31" t="s">
        <v>775</v>
      </c>
      <c r="H110" s="21" t="s">
        <v>912</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_xlfn._xlws.FILTER($AG$7:$AG$4579,$L$7:$L$4579&lt;&gt;"X"),
_xlfn._xlws.FILTER($E$7:$E$4579,$L$7:$L$4579&lt;&gt;"X"),
"",
0,
-1
)</f>
        <v>1</v>
      </c>
      <c r="AI110" s="75" t="str">
        <f t="shared" si="24"/>
        <v/>
      </c>
    </row>
    <row r="111" spans="1:35" s="9" customFormat="1" ht="63">
      <c r="A111" s="33">
        <f t="shared" si="19"/>
        <v>105</v>
      </c>
      <c r="B111" s="330" t="str">
        <f t="shared" ref="B111" si="45">MID(E111, FIND("-", E111) + 1, 4)</f>
        <v>5.11</v>
      </c>
      <c r="C111" s="164" t="s">
        <v>725</v>
      </c>
      <c r="D111" s="137" t="s">
        <v>85</v>
      </c>
      <c r="E111" s="25" t="s">
        <v>913</v>
      </c>
      <c r="F111" s="174">
        <f t="shared" si="29"/>
        <v>46224</v>
      </c>
      <c r="G111" s="31" t="s">
        <v>914</v>
      </c>
      <c r="H111" s="21" t="s">
        <v>915</v>
      </c>
      <c r="I111" s="23"/>
      <c r="J111" s="164">
        <f t="shared" ca="1" si="30"/>
        <v>118</v>
      </c>
      <c r="K111" s="47">
        <f t="shared" ca="1" si="31"/>
        <v>97</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1000</v>
      </c>
      <c r="AG111" s="238" t="str">
        <f t="shared" si="14"/>
        <v>LTIA-5.11-LTICT-PPS-71000-RFA-ICD-0001</v>
      </c>
      <c r="AH111" s="243" t="b" cm="1">
        <f t="array" ref="AH111">$E111=_xlfn.XLOOKUP(
AG111,
_xlfn._xlws.FILTER($AG$7:$AG$4579,$L$7:$L$4579&lt;&gt;"X"),
_xlfn._xlws.FILTER($E$7:$E$4579,$L$7:$L$4579&lt;&gt;"X"),
"",
0,
-1
)</f>
        <v>0</v>
      </c>
      <c r="AI111" s="75" t="str">
        <f t="shared" si="24"/>
        <v/>
      </c>
    </row>
    <row r="112" spans="1:35" s="9" customFormat="1" ht="47.25">
      <c r="A112" s="33">
        <f t="shared" si="19"/>
        <v>106</v>
      </c>
      <c r="B112" s="330" t="str">
        <f t="shared" ref="B112" si="47">MID(E112, FIND("-", E112) + 1, 4)</f>
        <v>5.10</v>
      </c>
      <c r="C112" s="164" t="s">
        <v>184</v>
      </c>
      <c r="D112" s="137" t="s">
        <v>28</v>
      </c>
      <c r="E112" s="25" t="s">
        <v>918</v>
      </c>
      <c r="F112" s="174">
        <f t="shared" si="29"/>
        <v>46231</v>
      </c>
      <c r="G112" s="31" t="s">
        <v>919</v>
      </c>
      <c r="H112" s="21" t="s">
        <v>920</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937</v>
      </c>
      <c r="AG112" s="238" t="str">
        <f t="shared" si="14"/>
        <v>LTIA-5.10-VIETUR-70000-RFA-OTH-0732</v>
      </c>
      <c r="AH112" s="243" t="b" cm="1">
        <f t="array" ref="AH112">$E112=_xlfn.XLOOKUP(
AG112,
_xlfn._xlws.FILTER($AG$7:$AG$4579,$L$7:$L$4579&lt;&gt;"X"),
_xlfn._xlws.FILTER($E$7:$E$4579,$L$7:$L$4579&lt;&gt;"X"),
"",
0,
-1
)</f>
        <v>1</v>
      </c>
      <c r="AI112" s="75" t="str">
        <f t="shared" si="24"/>
        <v>YES</v>
      </c>
    </row>
    <row r="113" spans="1:35" s="9" customFormat="1" ht="110.25">
      <c r="A113" s="33">
        <f t="shared" si="19"/>
        <v>107</v>
      </c>
      <c r="B113" s="330" t="str">
        <f t="shared" ref="B113" si="49">MID(E113, FIND("-", E113) + 1, 4)</f>
        <v>5.10</v>
      </c>
      <c r="C113" s="164" t="s">
        <v>131</v>
      </c>
      <c r="D113" s="137" t="s">
        <v>28</v>
      </c>
      <c r="E113" s="25" t="s">
        <v>922</v>
      </c>
      <c r="F113" s="174">
        <f t="shared" si="29"/>
        <v>46234</v>
      </c>
      <c r="G113" s="31" t="s">
        <v>992</v>
      </c>
      <c r="H113" s="21" t="s">
        <v>923</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670</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_xlfn._xlws.FILTER($AG$7:$AG$4579,$L$7:$L$4579&lt;&gt;"X"),
_xlfn._xlws.FILTER($E$7:$E$4579,$L$7:$L$4579&lt;&gt;"X"),
"",
0,
-1
)</f>
        <v>0</v>
      </c>
      <c r="AI113" s="75" t="str">
        <f t="shared" si="24"/>
        <v/>
      </c>
    </row>
    <row r="114" spans="1:35" s="9" customFormat="1" ht="47.25">
      <c r="A114" s="33">
        <f t="shared" si="19"/>
        <v>108</v>
      </c>
      <c r="B114" s="330" t="str">
        <f t="shared" ref="B114" si="51">MID(E114, FIND("-", E114) + 1, 4)</f>
        <v>5.11</v>
      </c>
      <c r="C114" s="164" t="s">
        <v>725</v>
      </c>
      <c r="D114" s="137" t="s">
        <v>30</v>
      </c>
      <c r="E114" s="25" t="s">
        <v>945</v>
      </c>
      <c r="F114" s="174">
        <f t="shared" si="29"/>
        <v>46251</v>
      </c>
      <c r="G114" s="31" t="s">
        <v>946</v>
      </c>
      <c r="H114" s="21" t="s">
        <v>947</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1017</v>
      </c>
      <c r="AG114" s="238" t="str">
        <f t="shared" si="14"/>
        <v>LTIA-5.11-LTICT-71000-RFA-MAS-0019</v>
      </c>
      <c r="AH114" s="243" t="b" cm="1">
        <f t="array" ref="AH114">$E114=_xlfn.XLOOKUP(
AG114,
_xlfn._xlws.FILTER($AG$7:$AG$4579,$L$7:$L$4579&lt;&gt;"X"),
_xlfn._xlws.FILTER($E$7:$E$4579,$L$7:$L$4579&lt;&gt;"X"),
"",
0,
-1
)</f>
        <v>1</v>
      </c>
      <c r="AI114" s="75" t="str">
        <f t="shared" si="24"/>
        <v/>
      </c>
    </row>
    <row r="115" spans="1:35" s="9" customFormat="1" ht="94.5">
      <c r="A115" s="33">
        <f t="shared" si="19"/>
        <v>109</v>
      </c>
      <c r="B115" s="330" t="str">
        <f t="shared" ref="B115" si="53">MID(E115, FIND("-", E115) + 1, 4)</f>
        <v>5.10</v>
      </c>
      <c r="C115" s="164" t="s">
        <v>195</v>
      </c>
      <c r="D115" s="137" t="s">
        <v>28</v>
      </c>
      <c r="E115" s="25" t="s">
        <v>956</v>
      </c>
      <c r="F115" s="174">
        <f t="shared" si="29"/>
        <v>46310</v>
      </c>
      <c r="G115" s="31" t="s">
        <v>855</v>
      </c>
      <c r="H115" s="21" t="s">
        <v>856</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1110</v>
      </c>
      <c r="AG115" s="238" t="str">
        <f t="shared" si="14"/>
        <v>LTIA-5.10-VIETUR-70000-RFA-OTH-0725</v>
      </c>
      <c r="AH115" s="243" t="b" cm="1">
        <f t="array" ref="AH115">$E115=_xlfn.XLOOKUP(
AG115,
_xlfn._xlws.FILTER($AG$7:$AG$4579,$L$7:$L$4579&lt;&gt;"X"),
_xlfn._xlws.FILTER($E$7:$E$4579,$L$7:$L$4579&lt;&gt;"X"),
"",
0,
-1
)</f>
        <v>1</v>
      </c>
      <c r="AI115" s="75" t="str">
        <f t="shared" si="24"/>
        <v/>
      </c>
    </row>
    <row r="116" spans="1:35" s="9" customFormat="1" ht="63">
      <c r="A116" s="33">
        <f t="shared" si="19"/>
        <v>110</v>
      </c>
      <c r="B116" s="330" t="str">
        <f t="shared" ref="B116" si="55">MID(E116, FIND("-", E116) + 1, 4)</f>
        <v>5.10</v>
      </c>
      <c r="C116" s="164" t="s">
        <v>144</v>
      </c>
      <c r="D116" s="137" t="s">
        <v>28</v>
      </c>
      <c r="E116" s="25" t="s">
        <v>957</v>
      </c>
      <c r="F116" s="174">
        <f t="shared" si="29"/>
        <v>46268</v>
      </c>
      <c r="G116" s="31" t="s">
        <v>869</v>
      </c>
      <c r="H116" s="21" t="s">
        <v>870</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1014</v>
      </c>
      <c r="AG116" s="238" t="str">
        <f t="shared" si="14"/>
        <v>LTIA-5.10-VIETUR-70000-RFA-OTH-0712</v>
      </c>
      <c r="AH116" s="243" t="b" cm="1">
        <f t="array" ref="AH116">$E116=_xlfn.XLOOKUP(
AG116,
_xlfn._xlws.FILTER($AG$7:$AG$4579,$L$7:$L$4579&lt;&gt;"X"),
_xlfn._xlws.FILTER($E$7:$E$4579,$L$7:$L$4579&lt;&gt;"X"),
"",
0,
-1
)</f>
        <v>1</v>
      </c>
      <c r="AI116" s="75" t="str">
        <f t="shared" si="24"/>
        <v/>
      </c>
    </row>
    <row r="117" spans="1:35" s="9" customFormat="1" ht="94.5">
      <c r="A117" s="33">
        <f t="shared" si="19"/>
        <v>111</v>
      </c>
      <c r="B117" s="330" t="str">
        <f t="shared" ref="B117" si="57">MID(E117, FIND("-", E117) + 1, 4)</f>
        <v>5.11</v>
      </c>
      <c r="C117" s="164"/>
      <c r="D117" s="137" t="s">
        <v>28</v>
      </c>
      <c r="E117" s="25" t="s">
        <v>958</v>
      </c>
      <c r="F117" s="174">
        <f t="shared" si="29"/>
        <v>46268</v>
      </c>
      <c r="G117" s="31" t="s">
        <v>959</v>
      </c>
      <c r="H117" s="21" t="s">
        <v>960</v>
      </c>
      <c r="I117" s="138"/>
      <c r="J117" s="164">
        <f t="shared" ca="1" si="30"/>
        <v>74</v>
      </c>
      <c r="K117" s="47">
        <f t="shared" ca="1" si="31"/>
        <v>53</v>
      </c>
      <c r="L117" s="164" t="s">
        <v>1001</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999</v>
      </c>
      <c r="AG117" s="238" t="str">
        <f t="shared" si="14"/>
        <v>LTIA-5.11-LTICT-RFA-OTH-0011</v>
      </c>
      <c r="AH117" s="243" t="b" cm="1">
        <f t="array" ref="AH117">$E117=_xlfn.XLOOKUP(
AG117,
_xlfn._xlws.FILTER($AG$7:$AG$4579,$L$7:$L$4579&lt;&gt;"X"),
_xlfn._xlws.FILTER($E$7:$E$4579,$L$7:$L$4579&lt;&gt;"X"),
"",
0,
-1
)</f>
        <v>1</v>
      </c>
      <c r="AI117" s="75" t="str">
        <f t="shared" si="24"/>
        <v/>
      </c>
    </row>
    <row r="118" spans="1:35" s="9" customFormat="1" ht="78.75">
      <c r="A118" s="33">
        <f t="shared" si="19"/>
        <v>112</v>
      </c>
      <c r="B118" s="330" t="str">
        <f t="shared" ref="B118" si="59">MID(E118, FIND("-", E118) + 1, 4)</f>
        <v>5.10</v>
      </c>
      <c r="C118" s="164" t="s">
        <v>131</v>
      </c>
      <c r="D118" s="137" t="s">
        <v>30</v>
      </c>
      <c r="E118" s="25" t="s">
        <v>961</v>
      </c>
      <c r="F118" s="174">
        <f t="shared" si="29"/>
        <v>46268</v>
      </c>
      <c r="G118" s="31" t="s">
        <v>962</v>
      </c>
      <c r="H118" s="21" t="s">
        <v>963</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_xlfn._xlws.FILTER($AG$7:$AG$4579,$L$7:$L$4579&lt;&gt;"X"),
_xlfn._xlws.FILTER($E$7:$E$4579,$L$7:$L$4579&lt;&gt;"X"),
"",
0,
-1
)</f>
        <v>1</v>
      </c>
      <c r="AI118" s="75" t="str">
        <f t="shared" si="24"/>
        <v/>
      </c>
    </row>
    <row r="119" spans="1:35" s="9" customFormat="1" ht="47.25">
      <c r="A119" s="33">
        <f t="shared" si="19"/>
        <v>113</v>
      </c>
      <c r="B119" s="330" t="str">
        <f t="shared" ref="B119" si="61">MID(E119, FIND("-", E119) + 1, 4)</f>
        <v>5.11</v>
      </c>
      <c r="C119" s="164" t="s">
        <v>621</v>
      </c>
      <c r="D119" s="137" t="s">
        <v>28</v>
      </c>
      <c r="E119" s="25" t="s">
        <v>1059</v>
      </c>
      <c r="F119" s="174">
        <f t="shared" si="29"/>
        <v>46275</v>
      </c>
      <c r="G119" s="31" t="s">
        <v>964</v>
      </c>
      <c r="H119" s="21" t="s">
        <v>965</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1010</v>
      </c>
      <c r="AG119" s="238" t="str">
        <f t="shared" si="14"/>
        <v>LTIA-5.11-LTICT- 71110 -RFA-OTH-0012</v>
      </c>
      <c r="AH119" s="243" t="b" cm="1">
        <f t="array" ref="AH119">$E119=_xlfn.XLOOKUP(
AG119,
_xlfn._xlws.FILTER($AG$7:$AG$4579,$L$7:$L$4579&lt;&gt;"X"),
_xlfn._xlws.FILTER($E$7:$E$4579,$L$7:$L$4579&lt;&gt;"X"),
"",
0,
-1
)</f>
        <v>0</v>
      </c>
      <c r="AI119" s="75" t="str">
        <f t="shared" si="24"/>
        <v/>
      </c>
    </row>
    <row r="120" spans="1:35" s="9" customFormat="1" ht="63">
      <c r="A120" s="33">
        <f t="shared" si="19"/>
        <v>114</v>
      </c>
      <c r="B120" s="330" t="str">
        <f t="shared" ref="B120" si="63">MID(E120, FIND("-", E120) + 1, 4)</f>
        <v>5.10</v>
      </c>
      <c r="C120" s="164" t="s">
        <v>197</v>
      </c>
      <c r="D120" s="137" t="s">
        <v>28</v>
      </c>
      <c r="E120" s="25" t="s">
        <v>966</v>
      </c>
      <c r="F120" s="174">
        <f t="shared" si="29"/>
        <v>46276</v>
      </c>
      <c r="G120" s="31" t="s">
        <v>967</v>
      </c>
      <c r="H120" s="21" t="s">
        <v>968</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c r="AC120" s="229" t="str">
        <f t="shared" ca="1" si="22"/>
        <v>Not submit yet</v>
      </c>
      <c r="AD120" s="337">
        <f t="shared" ref="AD120" ca="1" si="64">IF(AC120="Late Resubmission",IF(AB120="","",AB120-AA120),IF(AC120="Not submit yet",IF(AA120="","",$J$1-AA120),""))</f>
        <v>31</v>
      </c>
      <c r="AE120" s="92" t="s">
        <v>1012</v>
      </c>
      <c r="AG120" s="238" t="str">
        <f t="shared" si="14"/>
        <v>LTIA-5.10-VIETUR-72150-RFA-OTH-0750</v>
      </c>
      <c r="AH120" s="243" t="b" cm="1">
        <f t="array" ref="AH120">$E120=_xlfn.XLOOKUP(
AG120,
_xlfn._xlws.FILTER($AG$7:$AG$4579,$L$7:$L$4579&lt;&gt;"X"),
_xlfn._xlws.FILTER($E$7:$E$4579,$L$7:$L$4579&lt;&gt;"X"),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972</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994</v>
      </c>
      <c r="AG121" s="238" t="str">
        <f t="shared" si="14"/>
        <v>LTIA-5.10-VIETUR-70000-RFA-OTH-0754</v>
      </c>
      <c r="AH121" s="243" t="b" cm="1">
        <f t="array" ref="AH121">$E121=_xlfn.XLOOKUP(
AG121,
_xlfn._xlws.FILTER($AG$7:$AG$4579,$L$7:$L$4579&lt;&gt;"X"),
_xlfn._xlws.FILTER($E$7:$E$4579,$L$7:$L$4579&lt;&gt;"X"),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973</v>
      </c>
      <c r="F122" s="174">
        <f t="shared" si="29"/>
        <v>46283</v>
      </c>
      <c r="G122" s="31" t="s">
        <v>847</v>
      </c>
      <c r="H122" s="21" t="s">
        <v>848</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4"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_xlfn._xlws.FILTER($AG$7:$AG$4579,$L$7:$L$4579&lt;&gt;"X"),
_xlfn._xlws.FILTER($E$7:$E$4579,$L$7:$L$4579&lt;&gt;"X"),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976</v>
      </c>
      <c r="F123" s="174">
        <f t="shared" si="29"/>
        <v>46293</v>
      </c>
      <c r="G123" s="31" t="s">
        <v>977</v>
      </c>
      <c r="H123" s="21" t="s">
        <v>923</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997</v>
      </c>
      <c r="AG123" s="238" t="str">
        <f t="shared" si="14"/>
        <v>LTIA-5.10-VIETUR-70000-RFA-OTH-0757</v>
      </c>
      <c r="AH123" s="243" t="b" cm="1">
        <f t="array" ref="AH123">$E123=_xlfn.XLOOKUP(
AG123,
_xlfn._xlws.FILTER($AG$7:$AG$4579,$L$7:$L$4579&lt;&gt;"X"),
_xlfn._xlws.FILTER($E$7:$E$4579,$L$7:$L$4579&lt;&gt;"X"),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1111</v>
      </c>
      <c r="F124" s="174">
        <f t="shared" si="29"/>
        <v>46324</v>
      </c>
      <c r="G124" s="31" t="s">
        <v>980</v>
      </c>
      <c r="H124" s="21" t="s">
        <v>981</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1052</v>
      </c>
      <c r="AG124" s="238" t="str">
        <f t="shared" si="14"/>
        <v>LTIA-5.10-VIETUR-70000-RFA-MAS-0821</v>
      </c>
      <c r="AH124" s="243" t="b" cm="1">
        <f t="array" ref="AH124">$E124=_xlfn.XLOOKUP(
AG124,
_xlfn._xlws.FILTER($AG$7:$AG$4579,$L$7:$L$4579&lt;&gt;"X"),
_xlfn._xlws.FILTER($E$7:$E$4579,$L$7:$L$4579&lt;&gt;"X"),
"",
0,
-1
)</f>
        <v>1</v>
      </c>
      <c r="AI124" s="75" t="str">
        <f t="shared" ref="AI124:AI144" si="74">IF($AH124,IF(OR($R124="B",$R124="C"),"YES",IF($R124="",IF(OR($I124="B",$I124="C"),"YES",""),"")),"")</f>
        <v/>
      </c>
    </row>
    <row r="125" spans="1:35" s="9" customFormat="1" ht="47.25">
      <c r="A125" s="33">
        <f t="shared" si="19"/>
        <v>119</v>
      </c>
      <c r="B125" s="330" t="str">
        <f t="shared" si="72"/>
        <v>5.11</v>
      </c>
      <c r="C125" s="164" t="s">
        <v>656</v>
      </c>
      <c r="D125" s="137" t="s">
        <v>30</v>
      </c>
      <c r="E125" s="25" t="s">
        <v>995</v>
      </c>
      <c r="F125" s="174">
        <f t="shared" si="29"/>
        <v>46310</v>
      </c>
      <c r="G125" s="31" t="s">
        <v>996</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1022</v>
      </c>
      <c r="AG125" s="238" t="str">
        <f t="shared" ref="AG125:AG142" si="75">IF(AND(RIGHT($E125,1)&gt;="A",RIGHT($E125,1)&lt;="Z"),LEFT($E125,LEN($E125)-1),$E125)</f>
        <v xml:space="preserve"> LTIA-5.11-LTICT-71110-RFA-MAS-0021</v>
      </c>
      <c r="AH125" s="243" t="b" cm="1">
        <f t="array" ref="AH125">$E125=_xlfn.XLOOKUP(
AG125,
_xlfn._xlws.FILTER($AG$7:$AG$4580,$L$7:$L$4580&lt;&gt;"X"),
_xlfn._xlws.FILTER($E$7:$E$4580,$L$7:$L$4580&lt;&gt;"X"),
"",
0,
-1
)</f>
        <v>1</v>
      </c>
      <c r="AI125" s="75" t="str">
        <f t="shared" si="74"/>
        <v/>
      </c>
    </row>
    <row r="126" spans="1:35" s="9" customFormat="1" ht="110.25">
      <c r="A126" s="33">
        <f t="shared" si="19"/>
        <v>120</v>
      </c>
      <c r="B126" s="330" t="str">
        <f t="shared" ref="B126:B129" si="76">MID(E126, FIND("-", E126) + 1, 4)</f>
        <v>5.10</v>
      </c>
      <c r="C126" s="164" t="s">
        <v>131</v>
      </c>
      <c r="D126" s="137" t="s">
        <v>28</v>
      </c>
      <c r="E126" s="25" t="s">
        <v>998</v>
      </c>
      <c r="F126" s="174">
        <f t="shared" si="29"/>
        <v>46310</v>
      </c>
      <c r="G126" s="31" t="s">
        <v>977</v>
      </c>
      <c r="H126" s="21" t="s">
        <v>923</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1029</v>
      </c>
      <c r="AG126" s="238" t="str">
        <f t="shared" si="75"/>
        <v>LTIA-5.10-VIETUR-70000-RFA-OTH-0733</v>
      </c>
      <c r="AH126" s="243" t="b" cm="1">
        <f t="array" ref="AH126">$E126=_xlfn.XLOOKUP(
AG126,
_xlfn._xlws.FILTER($AG$7:$AG$4580,$L$7:$L$4580&lt;&gt;"X"),
_xlfn._xlws.FILTER($E$7:$E$4580,$L$7:$L$4580&lt;&gt;"X"),
"",
0,
-1
)</f>
        <v>1</v>
      </c>
      <c r="AI126" s="75" t="str">
        <f t="shared" si="74"/>
        <v>YES</v>
      </c>
    </row>
    <row r="127" spans="1:35" s="9" customFormat="1" ht="78.75">
      <c r="A127" s="33">
        <f t="shared" si="19"/>
        <v>121</v>
      </c>
      <c r="B127" s="330" t="str">
        <f t="shared" si="76"/>
        <v>5.10</v>
      </c>
      <c r="C127" s="164" t="s">
        <v>131</v>
      </c>
      <c r="D127" s="137" t="s">
        <v>30</v>
      </c>
      <c r="E127" s="25" t="s">
        <v>961</v>
      </c>
      <c r="F127" s="174">
        <f t="shared" si="29"/>
        <v>46314</v>
      </c>
      <c r="G127" s="31" t="s">
        <v>962</v>
      </c>
      <c r="H127" s="21" t="s">
        <v>963</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1027</v>
      </c>
      <c r="AG127" s="238" t="str">
        <f t="shared" si="75"/>
        <v>LTIA-5.10-VIETUR-70000-RFA-MAS-0814</v>
      </c>
      <c r="AH127" s="243" t="b" cm="1">
        <f t="array" ref="AH127">$E127=_xlfn.XLOOKUP(
AG127,
_xlfn._xlws.FILTER($AG$7:$AG$4580,$L$7:$L$4580&lt;&gt;"X"),
_xlfn._xlws.FILTER($E$7:$E$4580,$L$7:$L$4580&lt;&gt;"X"),
"",
0,
-1
)</f>
        <v>1</v>
      </c>
      <c r="AI127" s="75" t="str">
        <f t="shared" si="74"/>
        <v/>
      </c>
    </row>
    <row r="128" spans="1:35" s="9" customFormat="1" ht="47.25">
      <c r="A128" s="33">
        <f t="shared" si="19"/>
        <v>122</v>
      </c>
      <c r="B128" s="330" t="str">
        <f t="shared" si="76"/>
        <v>5.10</v>
      </c>
      <c r="C128" s="164" t="s">
        <v>131</v>
      </c>
      <c r="D128" s="137" t="s">
        <v>30</v>
      </c>
      <c r="E128" s="25" t="s">
        <v>1003</v>
      </c>
      <c r="F128" s="174">
        <f t="shared" si="29"/>
        <v>46339</v>
      </c>
      <c r="G128" s="31" t="s">
        <v>1004</v>
      </c>
      <c r="H128" s="21" t="s">
        <v>1005</v>
      </c>
      <c r="I128" s="138"/>
      <c r="J128" s="164">
        <f t="shared" ca="1" si="30"/>
        <v>3</v>
      </c>
      <c r="K128" s="47">
        <f t="shared" ca="1" si="31"/>
        <v>0</v>
      </c>
      <c r="L128" s="164"/>
      <c r="M128" s="40" t="s">
        <v>8</v>
      </c>
      <c r="N128" s="41"/>
      <c r="O128" s="40"/>
      <c r="P128" s="41"/>
      <c r="Q128" s="40"/>
      <c r="R128" s="155"/>
      <c r="S128" s="27">
        <v>46295</v>
      </c>
      <c r="T128" s="27">
        <v>46295</v>
      </c>
      <c r="U128" s="188">
        <v>46318</v>
      </c>
      <c r="V128" s="29"/>
      <c r="W128" s="188"/>
      <c r="X128" s="235"/>
      <c r="Y128" s="230"/>
      <c r="Z128" s="227"/>
      <c r="AA128" s="29" t="str">
        <f t="shared" si="68"/>
        <v/>
      </c>
      <c r="AB128" s="229"/>
      <c r="AC128" s="229"/>
      <c r="AD128" s="337"/>
      <c r="AE128" s="92" t="s">
        <v>1120</v>
      </c>
      <c r="AG128" s="238" t="str">
        <f t="shared" si="75"/>
        <v>LTIA-5.10-VIETUR-70000-RFA-MAS-0696</v>
      </c>
      <c r="AH128" s="243" t="b" cm="1">
        <f t="array" ref="AH128">$E128=_xlfn.XLOOKUP(
AG128,
_xlfn._xlws.FILTER($AG$7:$AG$4580,$L$7:$L$4580&lt;&gt;"X"),
_xlfn._xlws.FILTER($E$7:$E$4580,$L$7:$L$4580&lt;&gt;"X"),
"",
0,
-1
)</f>
        <v>1</v>
      </c>
      <c r="AI128" s="75" t="str">
        <f t="shared" si="74"/>
        <v/>
      </c>
    </row>
    <row r="129" spans="1:35" s="9" customFormat="1" ht="47.25">
      <c r="A129" s="33">
        <f t="shared" si="19"/>
        <v>123</v>
      </c>
      <c r="B129" s="330" t="str">
        <f t="shared" si="76"/>
        <v>5.11</v>
      </c>
      <c r="C129" s="164" t="s">
        <v>372</v>
      </c>
      <c r="D129" s="137" t="s">
        <v>32</v>
      </c>
      <c r="E129" s="25" t="s">
        <v>1024</v>
      </c>
      <c r="F129" s="174">
        <f t="shared" si="29"/>
        <v>46323</v>
      </c>
      <c r="G129" s="31" t="s">
        <v>1025</v>
      </c>
      <c r="H129" s="21" t="s">
        <v>1026</v>
      </c>
      <c r="I129" s="138" t="s">
        <v>1</v>
      </c>
      <c r="J129" s="164">
        <f t="shared" ca="1" si="30"/>
        <v>19</v>
      </c>
      <c r="K129" s="47">
        <f t="shared" ca="1" si="31"/>
        <v>0</v>
      </c>
      <c r="L129" s="164"/>
      <c r="M129" s="40" t="s">
        <v>8</v>
      </c>
      <c r="N129" s="41"/>
      <c r="O129" s="40"/>
      <c r="P129" s="41"/>
      <c r="Q129" s="40"/>
      <c r="R129" s="155"/>
      <c r="S129" s="27">
        <v>46298</v>
      </c>
      <c r="T129" s="27">
        <v>46298</v>
      </c>
      <c r="U129" s="188">
        <v>46302</v>
      </c>
      <c r="V129" s="29"/>
      <c r="W129" s="188"/>
      <c r="X129" s="235" t="s">
        <v>240</v>
      </c>
      <c r="Y129" s="230"/>
      <c r="Z129" s="227"/>
      <c r="AA129" s="29" t="str">
        <f t="shared" si="68"/>
        <v/>
      </c>
      <c r="AB129" s="229"/>
      <c r="AC129" s="229"/>
      <c r="AD129" s="337"/>
      <c r="AE129" s="92" t="s">
        <v>1112</v>
      </c>
      <c r="AG129" s="238" t="str">
        <f t="shared" si="75"/>
        <v>LTIA-5.11- LTICT- 72100-RFA-MSS-0002</v>
      </c>
      <c r="AH129" s="243" t="b" cm="1">
        <f t="array" ref="AH129">$E129=_xlfn.XLOOKUP(
AG129,
_xlfn._xlws.FILTER($AG$7:$AG$4580,$L$7:$L$4580&lt;&gt;"X"),
_xlfn._xlws.FILTER($E$7:$E$4580,$L$7:$L$4580&lt;&gt;"X"),
"",
0,
-1
)</f>
        <v>1</v>
      </c>
      <c r="AI129" s="75" t="str">
        <f t="shared" si="74"/>
        <v>YES</v>
      </c>
    </row>
    <row r="130" spans="1:35" s="9" customFormat="1" ht="47.25">
      <c r="A130" s="33">
        <f t="shared" si="19"/>
        <v>124</v>
      </c>
      <c r="B130" s="330" t="str">
        <f t="shared" ref="B130" si="78">MID(E130, FIND("-", E130) + 1, 4)</f>
        <v>5.11</v>
      </c>
      <c r="C130" s="164" t="s">
        <v>144</v>
      </c>
      <c r="D130" s="137" t="s">
        <v>32</v>
      </c>
      <c r="E130" s="25" t="s">
        <v>1032</v>
      </c>
      <c r="F130" s="174">
        <f t="shared" si="29"/>
        <v>46323</v>
      </c>
      <c r="G130" s="31" t="s">
        <v>1030</v>
      </c>
      <c r="H130" s="21" t="s">
        <v>1031</v>
      </c>
      <c r="I130" s="138" t="s">
        <v>1</v>
      </c>
      <c r="J130" s="164">
        <f t="shared" ca="1" si="30"/>
        <v>19</v>
      </c>
      <c r="K130" s="47">
        <f t="shared" ca="1" si="31"/>
        <v>0</v>
      </c>
      <c r="L130" s="164"/>
      <c r="M130" s="40" t="s">
        <v>8</v>
      </c>
      <c r="N130" s="41"/>
      <c r="O130" s="40"/>
      <c r="P130" s="41"/>
      <c r="Q130" s="40"/>
      <c r="R130" s="155"/>
      <c r="S130" s="27">
        <v>46300</v>
      </c>
      <c r="T130" s="27">
        <v>46300</v>
      </c>
      <c r="U130" s="188">
        <v>46302</v>
      </c>
      <c r="V130" s="29"/>
      <c r="W130" s="188"/>
      <c r="X130" s="235" t="s">
        <v>240</v>
      </c>
      <c r="Y130" s="230"/>
      <c r="Z130" s="227"/>
      <c r="AA130" s="29" t="str">
        <f t="shared" si="68"/>
        <v/>
      </c>
      <c r="AB130" s="229"/>
      <c r="AC130" s="229"/>
      <c r="AD130" s="337"/>
      <c r="AE130" s="92" t="s">
        <v>1113</v>
      </c>
      <c r="AG130" s="238" t="str">
        <f t="shared" si="75"/>
        <v>LTIA-5.11-LTICT- 72010 -RFA-MSS-0003</v>
      </c>
      <c r="AH130" s="243" t="b" cm="1">
        <f t="array" ref="AH130">$E130=_xlfn.XLOOKUP(
AG130,
_xlfn._xlws.FILTER($AG$7:$AG$4580,$L$7:$L$4580&lt;&gt;"X"),
_xlfn._xlws.FILTER($E$7:$E$4580,$L$7:$L$4580&lt;&gt;"X"),
"",
0,
-1
)</f>
        <v>1</v>
      </c>
      <c r="AI130" s="75" t="str">
        <f t="shared" si="74"/>
        <v>YES</v>
      </c>
    </row>
    <row r="131" spans="1:35" s="9" customFormat="1" ht="47.25">
      <c r="A131" s="33">
        <f t="shared" si="19"/>
        <v>125</v>
      </c>
      <c r="B131" s="330" t="str">
        <f t="shared" ref="B131" si="79">MID(E131, FIND("-", E131) + 1, 4)</f>
        <v>5.11</v>
      </c>
      <c r="C131" s="164" t="s">
        <v>637</v>
      </c>
      <c r="D131" s="137" t="s">
        <v>32</v>
      </c>
      <c r="E131" s="25" t="s">
        <v>1033</v>
      </c>
      <c r="F131" s="174">
        <f t="shared" si="29"/>
        <v>46321</v>
      </c>
      <c r="G131" s="31" t="s">
        <v>1034</v>
      </c>
      <c r="H131" s="21" t="s">
        <v>1035</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1067</v>
      </c>
      <c r="AG131" s="238" t="str">
        <f t="shared" si="75"/>
        <v>LTIA-5.11-LTICT- 72120 -RFA-MSS-0004</v>
      </c>
      <c r="AH131" s="243" t="b" cm="1">
        <f t="array" ref="AH131">$E131=_xlfn.XLOOKUP(
AG131,
_xlfn._xlws.FILTER($AG$7:$AG$4580,$L$7:$L$4580&lt;&gt;"X"),
_xlfn._xlws.FILTER($E$7:$E$4580,$L$7:$L$4580&lt;&gt;"X"),
"",
0,
-1
)</f>
        <v>1</v>
      </c>
      <c r="AI131" s="75" t="str">
        <f t="shared" si="74"/>
        <v>YES</v>
      </c>
    </row>
    <row r="132" spans="1:35" s="9" customFormat="1" ht="47.25">
      <c r="A132" s="33">
        <f t="shared" si="19"/>
        <v>126</v>
      </c>
      <c r="B132" s="330" t="str">
        <f t="shared" ref="B132" si="80">MID(E132, FIND("-", E132) + 1, 4)</f>
        <v>5.11</v>
      </c>
      <c r="C132" s="164" t="s">
        <v>633</v>
      </c>
      <c r="D132" s="137" t="s">
        <v>32</v>
      </c>
      <c r="E132" s="25" t="s">
        <v>1036</v>
      </c>
      <c r="F132" s="174">
        <f t="shared" si="29"/>
        <v>46323</v>
      </c>
      <c r="G132" s="31" t="s">
        <v>1037</v>
      </c>
      <c r="H132" s="21" t="s">
        <v>1038</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1093</v>
      </c>
      <c r="AG132" s="238" t="str">
        <f t="shared" si="75"/>
        <v>LTIA-5.11-LTICT-70100-RFA-MSS-0007</v>
      </c>
      <c r="AH132" s="243" t="b" cm="1">
        <f t="array" ref="AH132">$E132=_xlfn.XLOOKUP(
AG132,
_xlfn._xlws.FILTER($AG$7:$AG$4580,$L$7:$L$4580&lt;&gt;"X"),
_xlfn._xlws.FILTER($E$7:$E$4580,$L$7:$L$4580&lt;&gt;"X"),
"",
0,
-1
)</f>
        <v>1</v>
      </c>
      <c r="AI132" s="75" t="str">
        <f t="shared" si="74"/>
        <v>YES</v>
      </c>
    </row>
    <row r="133" spans="1:35" s="9" customFormat="1" ht="47.25">
      <c r="A133" s="33">
        <f t="shared" si="19"/>
        <v>127</v>
      </c>
      <c r="B133" s="330" t="str">
        <f t="shared" ref="B133" si="81">MID(E133, FIND("-", E133) + 1, 4)</f>
        <v>5.11</v>
      </c>
      <c r="C133" s="164" t="s">
        <v>621</v>
      </c>
      <c r="D133" s="137" t="s">
        <v>32</v>
      </c>
      <c r="E133" s="25" t="s">
        <v>1039</v>
      </c>
      <c r="F133" s="174">
        <f t="shared" si="29"/>
        <v>46322</v>
      </c>
      <c r="G133" s="31" t="s">
        <v>1040</v>
      </c>
      <c r="H133" s="21" t="s">
        <v>1041</v>
      </c>
      <c r="I133" s="138" t="s">
        <v>1</v>
      </c>
      <c r="J133" s="164">
        <f t="shared" ca="1" si="30"/>
        <v>20</v>
      </c>
      <c r="K133" s="47">
        <f t="shared" ca="1" si="31"/>
        <v>0</v>
      </c>
      <c r="L133" s="164"/>
      <c r="M133" s="40" t="s">
        <v>8</v>
      </c>
      <c r="N133" s="41"/>
      <c r="O133" s="40"/>
      <c r="P133" s="41"/>
      <c r="Q133" s="40"/>
      <c r="R133" s="155"/>
      <c r="S133" s="27">
        <v>46301</v>
      </c>
      <c r="T133" s="27">
        <v>46301</v>
      </c>
      <c r="U133" s="188">
        <v>46301</v>
      </c>
      <c r="V133" s="29"/>
      <c r="W133" s="188"/>
      <c r="X133" s="235" t="s">
        <v>240</v>
      </c>
      <c r="Y133" s="230"/>
      <c r="Z133" s="227"/>
      <c r="AA133" s="29" t="str">
        <f t="shared" si="68"/>
        <v/>
      </c>
      <c r="AB133" s="229"/>
      <c r="AC133" s="229"/>
      <c r="AD133" s="337"/>
      <c r="AE133" s="92" t="s">
        <v>1113</v>
      </c>
      <c r="AG133" s="238" t="str">
        <f t="shared" si="75"/>
        <v>LTIA-5.11-LTICT- 72190 -RFA-MSS-0005</v>
      </c>
      <c r="AH133" s="243" t="b" cm="1">
        <f t="array" ref="AH133">$E133=_xlfn.XLOOKUP(
AG133,
_xlfn._xlws.FILTER($AG$7:$AG$4580,$L$7:$L$4580&lt;&gt;"X"),
_xlfn._xlws.FILTER($E$7:$E$4580,$L$7:$L$4580&lt;&gt;"X"),
"",
0,
-1
)</f>
        <v>1</v>
      </c>
      <c r="AI133" s="75" t="str">
        <f t="shared" si="74"/>
        <v>YES</v>
      </c>
    </row>
    <row r="134" spans="1:35" s="9" customFormat="1" ht="47.25">
      <c r="A134" s="33">
        <f t="shared" si="19"/>
        <v>128</v>
      </c>
      <c r="B134" s="330" t="str">
        <f t="shared" ref="B134" si="82">MID(E134, FIND("-", E134) + 1, 4)</f>
        <v>5.11</v>
      </c>
      <c r="C134" s="164" t="s">
        <v>656</v>
      </c>
      <c r="D134" s="137" t="s">
        <v>32</v>
      </c>
      <c r="E134" s="25" t="s">
        <v>1042</v>
      </c>
      <c r="F134" s="174">
        <f t="shared" si="29"/>
        <v>46322</v>
      </c>
      <c r="G134" s="31" t="s">
        <v>1043</v>
      </c>
      <c r="H134" s="21" t="s">
        <v>1044</v>
      </c>
      <c r="I134" s="138" t="s">
        <v>1</v>
      </c>
      <c r="J134" s="164">
        <f t="shared" ca="1" si="30"/>
        <v>20</v>
      </c>
      <c r="K134" s="47">
        <f t="shared" ca="1" si="31"/>
        <v>0</v>
      </c>
      <c r="L134" s="164"/>
      <c r="M134" s="40" t="s">
        <v>8</v>
      </c>
      <c r="N134" s="41"/>
      <c r="O134" s="40"/>
      <c r="P134" s="41"/>
      <c r="Q134" s="40"/>
      <c r="R134" s="155"/>
      <c r="S134" s="27">
        <v>46301</v>
      </c>
      <c r="T134" s="27">
        <v>46301</v>
      </c>
      <c r="U134" s="188">
        <v>46301</v>
      </c>
      <c r="V134" s="29"/>
      <c r="W134" s="188"/>
      <c r="X134" s="235" t="s">
        <v>240</v>
      </c>
      <c r="Y134" s="230"/>
      <c r="Z134" s="227"/>
      <c r="AA134" s="29" t="str">
        <f t="shared" si="68"/>
        <v/>
      </c>
      <c r="AB134" s="229"/>
      <c r="AC134" s="229"/>
      <c r="AD134" s="337"/>
      <c r="AE134" s="92" t="s">
        <v>1113</v>
      </c>
      <c r="AG134" s="238" t="str">
        <f t="shared" si="75"/>
        <v>LTIA-5.11-LTICT- 71110 -RFA-MSS-0006</v>
      </c>
      <c r="AH134" s="243" t="b" cm="1">
        <f t="array" ref="AH134">$E134=_xlfn.XLOOKUP(
AG134,
_xlfn._xlws.FILTER($AG$7:$AG$4580,$L$7:$L$4580&lt;&gt;"X"),
_xlfn._xlws.FILTER($E$7:$E$4580,$L$7:$L$4580&lt;&gt;"X"),
"",
0,
-1
)</f>
        <v>1</v>
      </c>
      <c r="AI134" s="75" t="str">
        <f t="shared" si="74"/>
        <v>YES</v>
      </c>
    </row>
    <row r="135" spans="1:35" s="9" customFormat="1" ht="47.25">
      <c r="A135" s="33">
        <f t="shared" si="19"/>
        <v>129</v>
      </c>
      <c r="B135" s="330" t="str">
        <f t="shared" ref="B135:B136" si="83">MID(E135, FIND("-", E135) + 1, 4)</f>
        <v>5.11</v>
      </c>
      <c r="C135" s="164" t="s">
        <v>621</v>
      </c>
      <c r="D135" s="137" t="s">
        <v>28</v>
      </c>
      <c r="E135" s="25" t="s">
        <v>1045</v>
      </c>
      <c r="F135" s="174">
        <f t="shared" si="29"/>
        <v>46322</v>
      </c>
      <c r="G135" s="31" t="s">
        <v>1046</v>
      </c>
      <c r="H135" s="21" t="s">
        <v>1047</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1065</v>
      </c>
      <c r="AG135" s="238" t="str">
        <f t="shared" si="75"/>
        <v>LTIA-5.11-LTICT- 71110 -RFA-OTH-0012</v>
      </c>
      <c r="AH135" s="243" t="b" cm="1">
        <f t="array" ref="AH135">$E135=_xlfn.XLOOKUP(
AG135,
_xlfn._xlws.FILTER($AG$7:$AG$4580,$L$7:$L$4580&lt;&gt;"X"),
_xlfn._xlws.FILTER($E$7:$E$4580,$L$7:$L$4580&lt;&gt;"X"),
"",
0,
-1
)</f>
        <v>1</v>
      </c>
      <c r="AI135" s="75" t="str">
        <f t="shared" si="74"/>
        <v/>
      </c>
    </row>
    <row r="136" spans="1:35" s="9" customFormat="1" ht="47.25">
      <c r="A136" s="33">
        <f t="shared" si="19"/>
        <v>130</v>
      </c>
      <c r="B136" s="330" t="str">
        <f t="shared" si="83"/>
        <v>5.11</v>
      </c>
      <c r="C136" s="164" t="s">
        <v>751</v>
      </c>
      <c r="D136" s="137" t="s">
        <v>32</v>
      </c>
      <c r="E136" s="25" t="s">
        <v>1068</v>
      </c>
      <c r="F136" s="174">
        <f t="shared" si="29"/>
        <v>46330</v>
      </c>
      <c r="G136" s="31" t="s">
        <v>1069</v>
      </c>
      <c r="H136" s="21" t="s">
        <v>1070</v>
      </c>
      <c r="I136" s="138"/>
      <c r="J136" s="164">
        <f t="shared" ca="1" si="30"/>
        <v>12</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_xlfn._xlws.FILTER($AG$7:$AG$4580,$L$7:$L$4580&lt;&gt;"X"),
_xlfn._xlws.FILTER($E$7:$E$4580,$L$7:$L$4580&lt;&gt;"X"),
"",
0,
-1
)</f>
        <v>1</v>
      </c>
      <c r="AI136" s="75" t="str">
        <f t="shared" si="74"/>
        <v/>
      </c>
    </row>
    <row r="137" spans="1:35" s="9" customFormat="1" ht="47.25">
      <c r="A137" s="33">
        <f t="shared" si="19"/>
        <v>131</v>
      </c>
      <c r="B137" s="330" t="str">
        <f t="shared" ref="B137" si="84">MID(E137, FIND("-", E137) + 1, 4)</f>
        <v>5.11</v>
      </c>
      <c r="C137" s="164" t="s">
        <v>342</v>
      </c>
      <c r="D137" s="137" t="s">
        <v>32</v>
      </c>
      <c r="E137" s="25" t="s">
        <v>1071</v>
      </c>
      <c r="F137" s="174">
        <f t="shared" si="29"/>
        <v>46330</v>
      </c>
      <c r="G137" s="31" t="s">
        <v>1072</v>
      </c>
      <c r="H137" s="21" t="s">
        <v>1073</v>
      </c>
      <c r="I137" s="138"/>
      <c r="J137" s="164">
        <f t="shared" ca="1" si="30"/>
        <v>12</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_xlfn._xlws.FILTER($AG$7:$AG$4580,$L$7:$L$4580&lt;&gt;"X"),
_xlfn._xlws.FILTER($E$7:$E$4580,$L$7:$L$4580&lt;&gt;"X"),
"",
0,
-1
)</f>
        <v>1</v>
      </c>
      <c r="AI137" s="75" t="str">
        <f t="shared" si="74"/>
        <v/>
      </c>
    </row>
    <row r="138" spans="1:35" s="9" customFormat="1" ht="78.75">
      <c r="A138" s="33">
        <f t="shared" si="19"/>
        <v>132</v>
      </c>
      <c r="B138" s="330" t="str">
        <f t="shared" ref="B138" si="85">MID(E138, FIND("-", E138) + 1, 4)</f>
        <v>5.11</v>
      </c>
      <c r="C138" s="164" t="s">
        <v>1077</v>
      </c>
      <c r="D138" s="137" t="s">
        <v>32</v>
      </c>
      <c r="E138" s="25" t="s">
        <v>1074</v>
      </c>
      <c r="F138" s="174">
        <f t="shared" si="29"/>
        <v>46330</v>
      </c>
      <c r="G138" s="31" t="s">
        <v>1075</v>
      </c>
      <c r="H138" s="21" t="s">
        <v>1076</v>
      </c>
      <c r="I138" s="138"/>
      <c r="J138" s="164">
        <f t="shared" ca="1" si="30"/>
        <v>12</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_xlfn._xlws.FILTER($AG$7:$AG$4580,$L$7:$L$4580&lt;&gt;"X"),
_xlfn._xlws.FILTER($E$7:$E$4580,$L$7:$L$4580&lt;&gt;"X"),
"",
0,
-1
)</f>
        <v>1</v>
      </c>
      <c r="AI138" s="75" t="str">
        <f t="shared" si="74"/>
        <v/>
      </c>
    </row>
    <row r="139" spans="1:35" s="9" customFormat="1" ht="78.75">
      <c r="A139" s="33">
        <f t="shared" si="19"/>
        <v>133</v>
      </c>
      <c r="B139" s="330" t="str">
        <f t="shared" ref="B139" si="86">MID(E139, FIND("-", E139) + 1, 4)</f>
        <v>5.11</v>
      </c>
      <c r="C139" s="164" t="s">
        <v>1081</v>
      </c>
      <c r="D139" s="137" t="s">
        <v>32</v>
      </c>
      <c r="E139" s="25" t="s">
        <v>1078</v>
      </c>
      <c r="F139" s="174">
        <f t="shared" si="29"/>
        <v>46330</v>
      </c>
      <c r="G139" s="31" t="s">
        <v>1079</v>
      </c>
      <c r="H139" s="21" t="s">
        <v>1080</v>
      </c>
      <c r="I139" s="138"/>
      <c r="J139" s="164">
        <f t="shared" ca="1" si="30"/>
        <v>12</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_xlfn._xlws.FILTER($AG$7:$AG$4580,$L$7:$L$4580&lt;&gt;"X"),
_xlfn._xlws.FILTER($E$7:$E$4580,$L$7:$L$4580&lt;&gt;"X"),
"",
0,
-1
)</f>
        <v>1</v>
      </c>
      <c r="AI139" s="75" t="str">
        <f t="shared" si="74"/>
        <v/>
      </c>
    </row>
    <row r="140" spans="1:35" s="9" customFormat="1" ht="63">
      <c r="A140" s="33">
        <f t="shared" si="19"/>
        <v>134</v>
      </c>
      <c r="B140" s="330" t="str">
        <f t="shared" ref="B140" si="87">MID(E140, FIND("-", E140) + 1, 4)</f>
        <v>5.10</v>
      </c>
      <c r="C140" s="164" t="s">
        <v>180</v>
      </c>
      <c r="D140" s="137" t="s">
        <v>32</v>
      </c>
      <c r="E140" s="25" t="s">
        <v>1082</v>
      </c>
      <c r="F140" s="174">
        <f t="shared" si="29"/>
        <v>46331</v>
      </c>
      <c r="G140" s="31" t="s">
        <v>1083</v>
      </c>
      <c r="H140" s="21" t="s">
        <v>1084</v>
      </c>
      <c r="I140" s="138"/>
      <c r="J140" s="164">
        <f t="shared" ca="1" si="30"/>
        <v>11</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_xlfn._xlws.FILTER($AG$7:$AG$4580,$L$7:$L$4580&lt;&gt;"X"),
_xlfn._xlws.FILTER($E$7:$E$4580,$L$7:$L$4580&lt;&gt;"X"),
"",
0,
-1
)</f>
        <v>1</v>
      </c>
      <c r="AI140" s="75" t="str">
        <f t="shared" si="74"/>
        <v/>
      </c>
    </row>
    <row r="141" spans="1:35" s="9" customFormat="1" ht="47.25">
      <c r="A141" s="33">
        <f t="shared" si="19"/>
        <v>135</v>
      </c>
      <c r="B141" s="330" t="str">
        <f t="shared" ref="B141" si="88">MID(E141, FIND("-", E141) + 1, 4)</f>
        <v>5.11</v>
      </c>
      <c r="C141" s="164" t="s">
        <v>342</v>
      </c>
      <c r="D141" s="137" t="s">
        <v>28</v>
      </c>
      <c r="E141" s="25" t="s">
        <v>1088</v>
      </c>
      <c r="F141" s="174">
        <f t="shared" si="29"/>
        <v>46333</v>
      </c>
      <c r="G141" s="31" t="s">
        <v>1089</v>
      </c>
      <c r="H141" s="21" t="s">
        <v>1090</v>
      </c>
      <c r="I141" s="138"/>
      <c r="J141" s="164">
        <f t="shared" ca="1" si="30"/>
        <v>9</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_xlfn._xlws.FILTER($AG$7:$AG$4580,$L$7:$L$4580&lt;&gt;"X"),
_xlfn._xlws.FILTER($E$7:$E$4580,$L$7:$L$4580&lt;&gt;"X"),
"",
0,
-1
)</f>
        <v>1</v>
      </c>
      <c r="AI141" s="75" t="str">
        <f t="shared" si="74"/>
        <v/>
      </c>
    </row>
    <row r="142" spans="1:35" s="9" customFormat="1" ht="47.25">
      <c r="A142" s="33">
        <f t="shared" si="19"/>
        <v>136</v>
      </c>
      <c r="B142" s="330" t="str">
        <f t="shared" ref="B142" si="89">MID(E142, FIND("-", E142) + 1, 4)</f>
        <v>5.11</v>
      </c>
      <c r="C142" s="164"/>
      <c r="D142" s="137" t="s">
        <v>24</v>
      </c>
      <c r="E142" s="25" t="s">
        <v>794</v>
      </c>
      <c r="F142" s="174">
        <f t="shared" si="29"/>
        <v>46339</v>
      </c>
      <c r="G142" s="31" t="s">
        <v>1121</v>
      </c>
      <c r="H142" s="21" t="s">
        <v>1122</v>
      </c>
      <c r="I142" s="138"/>
      <c r="J142" s="164">
        <f t="shared" ca="1" si="30"/>
        <v>3</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c r="AG142" s="238" t="str">
        <f t="shared" si="75"/>
        <v>LTIA-5.11-LTICT-10000-RFA-GEN-0005</v>
      </c>
      <c r="AH142" s="243" t="b" cm="1">
        <f t="array" ref="AH142">$E142=_xlfn.XLOOKUP(
AG142,
_xlfn._xlws.FILTER($AG$7:$AG$4580,$L$7:$L$4580&lt;&gt;"X"),
_xlfn._xlws.FILTER($E$7:$E$4580,$L$7:$L$4580&lt;&gt;"X"),
"",
0,
-1
)</f>
        <v>1</v>
      </c>
      <c r="AI142" s="75" t="str">
        <f t="shared" si="74"/>
        <v/>
      </c>
    </row>
    <row r="143" spans="1:35" s="9" customFormat="1">
      <c r="A143" s="33"/>
      <c r="B143" s="330"/>
      <c r="C143" s="164"/>
      <c r="D143" s="137"/>
      <c r="E143" s="25"/>
      <c r="F143" s="174"/>
      <c r="G143" s="31"/>
      <c r="H143" s="21"/>
      <c r="I143" s="138"/>
      <c r="J143" s="164"/>
      <c r="K143" s="47"/>
      <c r="L143" s="164"/>
      <c r="M143" s="40"/>
      <c r="N143" s="41"/>
      <c r="O143" s="40"/>
      <c r="P143" s="41"/>
      <c r="Q143" s="40"/>
      <c r="R143" s="155"/>
      <c r="S143" s="27"/>
      <c r="T143" s="27"/>
      <c r="U143" s="188"/>
      <c r="V143" s="29"/>
      <c r="W143" s="188"/>
      <c r="X143" s="235"/>
      <c r="Y143" s="230"/>
      <c r="Z143" s="227"/>
      <c r="AA143" s="29" t="str">
        <f t="shared" si="68"/>
        <v/>
      </c>
      <c r="AB143" s="229"/>
      <c r="AC143" s="229"/>
      <c r="AD143" s="337"/>
      <c r="AE143" s="92"/>
      <c r="AG143" s="238"/>
      <c r="AH143" s="243"/>
      <c r="AI143" s="75" t="str">
        <f t="shared" si="74"/>
        <v/>
      </c>
    </row>
    <row r="144" spans="1:35" s="9" customFormat="1" ht="16.5" thickBot="1">
      <c r="A144" s="347"/>
      <c r="B144" s="338"/>
      <c r="C144" s="178"/>
      <c r="D144" s="139"/>
      <c r="E144" s="339"/>
      <c r="F144" s="340"/>
      <c r="G144" s="32"/>
      <c r="H144" s="22"/>
      <c r="I144" s="139"/>
      <c r="J144" s="178"/>
      <c r="K144" s="49"/>
      <c r="L144" s="178"/>
      <c r="M144" s="341"/>
      <c r="N144" s="342"/>
      <c r="O144" s="341"/>
      <c r="P144" s="342"/>
      <c r="Q144" s="341"/>
      <c r="R144" s="343"/>
      <c r="S144" s="344"/>
      <c r="T144" s="344"/>
      <c r="U144" s="345"/>
      <c r="V144" s="232"/>
      <c r="W144" s="345"/>
      <c r="X144" s="258"/>
      <c r="Y144" s="232"/>
      <c r="Z144" s="228"/>
      <c r="AA144" s="232" t="str">
        <f t="shared" si="68"/>
        <v/>
      </c>
      <c r="AB144" s="233"/>
      <c r="AC144" s="233"/>
      <c r="AD144" s="346"/>
      <c r="AE144" s="93"/>
      <c r="AG144" s="239"/>
      <c r="AH144" s="244"/>
      <c r="AI144" s="241" t="str">
        <f t="shared" si="74"/>
        <v/>
      </c>
    </row>
    <row r="145" spans="1:35" ht="16.5" thickBot="1"/>
    <row r="146" spans="1:35" ht="16.5" thickBot="1">
      <c r="A146" s="128"/>
      <c r="B146" s="128"/>
      <c r="C146" s="166" t="s">
        <v>20</v>
      </c>
      <c r="D146" s="403" t="s">
        <v>21</v>
      </c>
      <c r="E146" s="403"/>
      <c r="F146" s="404"/>
      <c r="G146" s="46"/>
      <c r="H146" s="68"/>
      <c r="I146" s="356" t="s">
        <v>14</v>
      </c>
      <c r="J146" s="357"/>
      <c r="K146" s="357"/>
      <c r="L146" s="357"/>
      <c r="M146" s="357"/>
      <c r="N146" s="358"/>
      <c r="O146" s="350" t="s">
        <v>7</v>
      </c>
      <c r="P146" s="351"/>
      <c r="Q146" s="350" t="s">
        <v>109</v>
      </c>
      <c r="R146" s="351"/>
      <c r="S146" s="1"/>
      <c r="T146" s="1"/>
      <c r="U146" s="140"/>
      <c r="V146" s="1"/>
      <c r="X146" s="11"/>
      <c r="Y146" s="11"/>
      <c r="Z146" s="11"/>
      <c r="AA146" s="11"/>
      <c r="AB146" s="11"/>
      <c r="AC146" s="11"/>
      <c r="AD146" s="11"/>
      <c r="AG146" s="11"/>
      <c r="AH146" s="11"/>
      <c r="AI146" s="11"/>
    </row>
    <row r="147" spans="1:35" ht="16.5" thickBot="1">
      <c r="A147" s="128"/>
      <c r="B147" s="128"/>
      <c r="C147" s="167" t="s">
        <v>109</v>
      </c>
      <c r="D147" s="395" t="s">
        <v>111</v>
      </c>
      <c r="E147" s="395"/>
      <c r="F147" s="396"/>
      <c r="G147" s="46"/>
      <c r="H147" s="46"/>
      <c r="I147" s="356" t="s">
        <v>19</v>
      </c>
      <c r="J147" s="357"/>
      <c r="K147" s="357"/>
      <c r="L147" s="358"/>
      <c r="M147" s="105">
        <f t="shared" ref="M147:M152" ca="1" si="90">N147/$N$147</f>
        <v>1</v>
      </c>
      <c r="N147" s="106">
        <f ca="1">SUM($N$148:$N$152)</f>
        <v>145</v>
      </c>
      <c r="O147" s="102" t="s">
        <v>15</v>
      </c>
      <c r="P147" s="103" t="s">
        <v>16</v>
      </c>
      <c r="Q147" s="105">
        <f ca="1">R147/$R$147</f>
        <v>1</v>
      </c>
      <c r="R147" s="220">
        <f ca="1">SUM(R148:R151)</f>
        <v>122</v>
      </c>
      <c r="S147" s="1"/>
      <c r="T147" s="1"/>
      <c r="U147" s="140"/>
      <c r="V147" s="1"/>
      <c r="X147" s="11"/>
      <c r="Y147" s="11"/>
      <c r="Z147" s="11"/>
      <c r="AA147" s="11"/>
      <c r="AB147" s="11"/>
      <c r="AC147" s="11"/>
      <c r="AD147" s="11"/>
      <c r="AG147" s="11"/>
      <c r="AH147" s="11"/>
      <c r="AI147" s="11"/>
    </row>
    <row r="148" spans="1:35">
      <c r="A148" s="128"/>
      <c r="B148" s="128"/>
      <c r="C148" s="167" t="s">
        <v>22</v>
      </c>
      <c r="D148" s="395" t="s">
        <v>23</v>
      </c>
      <c r="E148" s="395"/>
      <c r="F148" s="396"/>
      <c r="G148" s="70"/>
      <c r="H148" s="6"/>
      <c r="I148" s="405" t="s">
        <v>66</v>
      </c>
      <c r="J148" s="406"/>
      <c r="K148" s="406"/>
      <c r="L148" s="407"/>
      <c r="M148" s="107">
        <f t="shared" ca="1" si="90"/>
        <v>0.47586206896551725</v>
      </c>
      <c r="N148" s="108">
        <f>COUNTIF($I$7:$I$144,"A")</f>
        <v>69</v>
      </c>
      <c r="O148" s="100">
        <f ca="1">COUNTIFS($J$7:$J$144,"&lt;=21",$I$7:$I$144,"A")</f>
        <v>56</v>
      </c>
      <c r="P148" s="101">
        <f ca="1">COUNTIFS($J$7:$J$144,"&gt;21",$I$7:$I$144,"A")</f>
        <v>12</v>
      </c>
      <c r="Q148" s="107">
        <f ca="1">R148/$R$147</f>
        <v>0.4344262295081967</v>
      </c>
      <c r="R148" s="108">
        <f>COUNTIF($R$7:$R$144,"A")</f>
        <v>53</v>
      </c>
      <c r="S148" s="1"/>
      <c r="T148" s="1"/>
      <c r="U148" s="140"/>
      <c r="V148" s="1"/>
      <c r="X148" s="11"/>
      <c r="Y148" s="11"/>
      <c r="Z148" s="11"/>
      <c r="AA148" s="11"/>
      <c r="AB148" s="11"/>
      <c r="AC148" s="11"/>
      <c r="AD148" s="11"/>
      <c r="AG148" s="11"/>
      <c r="AH148" s="11"/>
      <c r="AI148" s="11"/>
    </row>
    <row r="149" spans="1:35">
      <c r="A149" s="128"/>
      <c r="B149" s="128"/>
      <c r="C149" s="167" t="s">
        <v>24</v>
      </c>
      <c r="D149" s="395" t="s">
        <v>25</v>
      </c>
      <c r="E149" s="395"/>
      <c r="F149" s="396"/>
      <c r="H149" s="6"/>
      <c r="I149" s="408" t="s">
        <v>67</v>
      </c>
      <c r="J149" s="409"/>
      <c r="K149" s="409"/>
      <c r="L149" s="410"/>
      <c r="M149" s="109">
        <f t="shared" ca="1" si="90"/>
        <v>9.6551724137931033E-2</v>
      </c>
      <c r="N149" s="110">
        <f>COUNTIF($I$7:$I$144,"B")</f>
        <v>14</v>
      </c>
      <c r="O149" s="98">
        <f ca="1">COUNTIFS($J$7:$J$144,"&lt;=21",$I$7:$I$144,"B")</f>
        <v>7</v>
      </c>
      <c r="P149" s="50">
        <f ca="1">COUNTIFS($J$7:$J$144,"&gt;21",$I$7:$I$144,"B")</f>
        <v>7</v>
      </c>
      <c r="Q149" s="109">
        <f t="shared" ref="Q149:Q151" ca="1" si="91">R149/$R$147</f>
        <v>7.3770491803278687E-2</v>
      </c>
      <c r="R149" s="110">
        <f>COUNTIF($R$7:$R$144,"B")</f>
        <v>9</v>
      </c>
      <c r="S149" s="1"/>
      <c r="T149" s="1"/>
      <c r="U149" s="140"/>
      <c r="V149" s="1"/>
      <c r="X149" s="11"/>
      <c r="Y149" s="11"/>
      <c r="Z149" s="11"/>
      <c r="AA149" s="11"/>
      <c r="AB149" s="11"/>
      <c r="AC149" s="11"/>
      <c r="AD149" s="11"/>
      <c r="AG149" s="11"/>
      <c r="AH149" s="11"/>
      <c r="AI149" s="11"/>
    </row>
    <row r="150" spans="1:35">
      <c r="A150" s="129"/>
      <c r="B150" s="129"/>
      <c r="C150" s="167" t="s">
        <v>26</v>
      </c>
      <c r="D150" s="395" t="s">
        <v>27</v>
      </c>
      <c r="E150" s="395"/>
      <c r="F150" s="396"/>
      <c r="G150" s="71"/>
      <c r="H150" s="6"/>
      <c r="I150" s="411" t="s">
        <v>68</v>
      </c>
      <c r="J150" s="412"/>
      <c r="K150" s="412"/>
      <c r="L150" s="413"/>
      <c r="M150" s="111">
        <f t="shared" ca="1" si="90"/>
        <v>0.22758620689655173</v>
      </c>
      <c r="N150" s="112">
        <f>COUNTIF($I$7:$I$144,"C")</f>
        <v>33</v>
      </c>
      <c r="O150" s="98">
        <f ca="1">COUNTIFS($J$7:$J$144,"&lt;=21",$I$7:$I$144,"C")</f>
        <v>19</v>
      </c>
      <c r="P150" s="50">
        <f ca="1">COUNTIFS($J$7:$J$144,"&gt;21",$I$7:$I$144,"C")</f>
        <v>14</v>
      </c>
      <c r="Q150" s="111">
        <f t="shared" ca="1" si="91"/>
        <v>0.18032786885245902</v>
      </c>
      <c r="R150" s="112">
        <f>COUNTIF($R$7:$R$144,"C")</f>
        <v>22</v>
      </c>
      <c r="S150" s="1"/>
      <c r="T150" s="1"/>
      <c r="U150" s="140"/>
      <c r="V150" s="1"/>
      <c r="X150" s="11"/>
      <c r="Y150" s="11"/>
      <c r="Z150" s="11"/>
      <c r="AA150" s="11"/>
      <c r="AB150" s="11"/>
      <c r="AC150" s="11"/>
      <c r="AD150" s="11"/>
      <c r="AG150" s="11"/>
      <c r="AH150" s="11"/>
      <c r="AI150" s="11"/>
    </row>
    <row r="151" spans="1:35">
      <c r="A151" s="129"/>
      <c r="B151" s="129"/>
      <c r="C151" s="168" t="s">
        <v>28</v>
      </c>
      <c r="D151" s="395" t="s">
        <v>29</v>
      </c>
      <c r="E151" s="395"/>
      <c r="F151" s="396"/>
      <c r="G151" s="72"/>
      <c r="I151" s="365" t="s">
        <v>70</v>
      </c>
      <c r="J151" s="366"/>
      <c r="K151" s="366"/>
      <c r="L151" s="367"/>
      <c r="M151" s="114">
        <f t="shared" ca="1" si="90"/>
        <v>9.6551724137931033E-2</v>
      </c>
      <c r="N151" s="115">
        <f ca="1">SUM(O151:P151)</f>
        <v>14</v>
      </c>
      <c r="O151" s="98">
        <f ca="1">COUNTIFS($J$7:$J$144,"&lt;=21",$V$7:$V$144,"",$L$7:$L$144,"&lt;&gt;X")</f>
        <v>12</v>
      </c>
      <c r="P151" s="50">
        <f ca="1">COUNTIFS($J$7:$J$144,"&gt;21",$V$7:$V$144,"",$L$7:$L$144,"&lt;&gt;X")</f>
        <v>2</v>
      </c>
      <c r="Q151" s="114">
        <f t="shared" ca="1" si="91"/>
        <v>0.31147540983606559</v>
      </c>
      <c r="R151" s="115">
        <f ca="1">COUNTIFS($J$7:$J$144,"&gt;=0",$Q$7:$Q$144,"",$L$7:$L$144,"&lt;&gt;X")</f>
        <v>38</v>
      </c>
      <c r="S151" s="1" t="s">
        <v>10</v>
      </c>
      <c r="T151" s="1"/>
      <c r="U151" s="140"/>
      <c r="V151" s="1"/>
      <c r="X151" s="11"/>
      <c r="Y151" s="11"/>
      <c r="Z151" s="11"/>
      <c r="AA151" s="11"/>
      <c r="AB151" s="11"/>
      <c r="AC151" s="11"/>
      <c r="AD151" s="11"/>
      <c r="AG151" s="11"/>
      <c r="AH151" s="11"/>
      <c r="AI151" s="11"/>
    </row>
    <row r="152" spans="1:35" ht="16.5" thickBot="1">
      <c r="A152" s="129"/>
      <c r="B152" s="129"/>
      <c r="C152" s="168" t="s">
        <v>30</v>
      </c>
      <c r="D152" s="395" t="s">
        <v>31</v>
      </c>
      <c r="E152" s="395"/>
      <c r="F152" s="396"/>
      <c r="H152" s="6"/>
      <c r="I152" s="368" t="s">
        <v>71</v>
      </c>
      <c r="J152" s="369"/>
      <c r="K152" s="369"/>
      <c r="L152" s="370"/>
      <c r="M152" s="113">
        <f t="shared" ca="1" si="90"/>
        <v>0.10344827586206896</v>
      </c>
      <c r="N152" s="97">
        <f>COUNTIFS($L$7:$L$144,"X")</f>
        <v>15</v>
      </c>
      <c r="O152" s="99"/>
      <c r="P152" s="51"/>
      <c r="Q152" s="221"/>
      <c r="R152" s="222"/>
    </row>
    <row r="153" spans="1:35">
      <c r="A153" s="128"/>
      <c r="B153" s="128"/>
      <c r="C153" s="168" t="s">
        <v>32</v>
      </c>
      <c r="D153" s="395" t="s">
        <v>33</v>
      </c>
      <c r="E153" s="395"/>
      <c r="F153" s="396"/>
      <c r="H153" s="1" t="s">
        <v>11</v>
      </c>
    </row>
    <row r="154" spans="1:35">
      <c r="C154" s="167" t="s">
        <v>34</v>
      </c>
      <c r="D154" s="395" t="s">
        <v>35</v>
      </c>
      <c r="E154" s="395"/>
      <c r="F154" s="396"/>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c r="C155" s="373" t="s">
        <v>75</v>
      </c>
      <c r="D155" s="375" t="s">
        <v>76</v>
      </c>
      <c r="E155" s="375"/>
      <c r="F155" s="376"/>
      <c r="H155" s="13"/>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374"/>
      <c r="D156" s="377"/>
      <c r="E156" s="377"/>
      <c r="F156" s="378"/>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361" t="s">
        <v>41</v>
      </c>
      <c r="D158" s="361"/>
      <c r="E158" s="361"/>
      <c r="F158" s="361"/>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14" t="s">
        <v>91</v>
      </c>
      <c r="E159" s="414"/>
      <c r="F159" s="414"/>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14" t="s">
        <v>92</v>
      </c>
      <c r="E160" s="414"/>
      <c r="F160" s="414"/>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169" t="s">
        <v>8</v>
      </c>
      <c r="D161" s="414" t="s">
        <v>93</v>
      </c>
      <c r="E161" s="414"/>
      <c r="F161" s="414"/>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ht="16.5" thickBot="1">
      <c r="C163" s="420" t="s">
        <v>96</v>
      </c>
      <c r="D163" s="421"/>
      <c r="E163" s="421"/>
      <c r="F163" s="422"/>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2" t="s">
        <v>81</v>
      </c>
      <c r="D164" s="423" t="s">
        <v>97</v>
      </c>
      <c r="E164" s="423"/>
      <c r="F164" s="424"/>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c r="C165" s="213" t="s">
        <v>82</v>
      </c>
      <c r="D165" s="415" t="s">
        <v>98</v>
      </c>
      <c r="E165" s="415"/>
      <c r="F165" s="416"/>
    </row>
    <row r="166" spans="3:35">
      <c r="C166" s="213" t="s">
        <v>83</v>
      </c>
      <c r="D166" s="415" t="s">
        <v>99</v>
      </c>
      <c r="E166" s="415"/>
      <c r="F166" s="416"/>
    </row>
    <row r="167" spans="3:35">
      <c r="C167" s="214" t="s">
        <v>84</v>
      </c>
      <c r="D167" s="415" t="s">
        <v>100</v>
      </c>
      <c r="E167" s="415"/>
      <c r="F167" s="416"/>
    </row>
    <row r="168" spans="3:35">
      <c r="C168" s="214" t="s">
        <v>85</v>
      </c>
      <c r="D168" s="415" t="s">
        <v>101</v>
      </c>
      <c r="E168" s="415"/>
      <c r="F168" s="416"/>
    </row>
    <row r="169" spans="3:35" ht="18.75">
      <c r="C169" s="214" t="s">
        <v>86</v>
      </c>
      <c r="D169" s="415" t="s">
        <v>102</v>
      </c>
      <c r="E169" s="415"/>
      <c r="F169" s="416"/>
    </row>
    <row r="170" spans="3:35" ht="18.75">
      <c r="C170" s="213" t="s">
        <v>87</v>
      </c>
      <c r="D170" s="415" t="s">
        <v>103</v>
      </c>
      <c r="E170" s="415"/>
      <c r="F170" s="416"/>
    </row>
    <row r="171" spans="3:35">
      <c r="C171" s="215" t="s">
        <v>88</v>
      </c>
      <c r="D171" s="417" t="s">
        <v>104</v>
      </c>
      <c r="E171" s="418"/>
      <c r="F171" s="419"/>
    </row>
    <row r="172" spans="3:35" ht="18.75">
      <c r="C172" s="215" t="s">
        <v>89</v>
      </c>
      <c r="D172" s="415" t="s">
        <v>105</v>
      </c>
      <c r="E172" s="415"/>
      <c r="F172" s="416"/>
    </row>
    <row r="173" spans="3:35">
      <c r="C173" s="213" t="s">
        <v>90</v>
      </c>
      <c r="D173" s="415" t="s">
        <v>106</v>
      </c>
      <c r="E173" s="415"/>
      <c r="F173" s="416"/>
    </row>
    <row r="174" spans="3:35" ht="16.5" thickBot="1">
      <c r="C174" s="216" t="s">
        <v>94</v>
      </c>
      <c r="D174" s="400" t="s">
        <v>107</v>
      </c>
      <c r="E174" s="401"/>
      <c r="F174" s="402"/>
    </row>
  </sheetData>
  <autoFilter ref="A6:AE144"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3:F173"/>
    <mergeCell ref="D160:F160"/>
    <mergeCell ref="D161:F161"/>
    <mergeCell ref="D168:F168"/>
    <mergeCell ref="D169:F169"/>
    <mergeCell ref="D170:F170"/>
    <mergeCell ref="D171:F171"/>
    <mergeCell ref="D172:F172"/>
    <mergeCell ref="C163:F163"/>
    <mergeCell ref="D164:F164"/>
    <mergeCell ref="D165:F165"/>
    <mergeCell ref="D166:F166"/>
    <mergeCell ref="D167:F167"/>
    <mergeCell ref="D174:F174"/>
    <mergeCell ref="D146:F146"/>
    <mergeCell ref="C158:F158"/>
    <mergeCell ref="O146:P146"/>
    <mergeCell ref="I146:N146"/>
    <mergeCell ref="I148:L148"/>
    <mergeCell ref="I149:L149"/>
    <mergeCell ref="I150:L150"/>
    <mergeCell ref="I151:L151"/>
    <mergeCell ref="I152:L152"/>
    <mergeCell ref="C155:C156"/>
    <mergeCell ref="D148:F148"/>
    <mergeCell ref="D149:F149"/>
    <mergeCell ref="D150:F150"/>
    <mergeCell ref="D151:F151"/>
    <mergeCell ref="D159:F159"/>
    <mergeCell ref="B4:B5"/>
    <mergeCell ref="D155:F156"/>
    <mergeCell ref="D147:F147"/>
    <mergeCell ref="I147:L147"/>
    <mergeCell ref="AA4:AD4"/>
    <mergeCell ref="Q146:R146"/>
    <mergeCell ref="D152:F152"/>
    <mergeCell ref="D153:F153"/>
    <mergeCell ref="D154:F154"/>
    <mergeCell ref="S4:U4"/>
    <mergeCell ref="L4:L5"/>
    <mergeCell ref="Q4:R4"/>
    <mergeCell ref="K4:K5"/>
    <mergeCell ref="Y4:Z4"/>
  </mergeCells>
  <phoneticPr fontId="5" type="noConversion"/>
  <conditionalFormatting sqref="AG7:AI144 A7:AE144">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9" r:id="rId237" xr:uid="{8E310CD5-A28F-4463-BCF0-54C44E66ED53}"/>
    <hyperlink ref="C160" r:id="rId238" xr:uid="{5182D641-FE70-4AC5-A684-B03DCC409CD2}"/>
    <hyperlink ref="C161"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s>
  <pageMargins left="0.25" right="0.17" top="0.5" bottom="0.25" header="0.3" footer="0.3"/>
  <pageSetup paperSize="9" scale="28" orientation="landscape" horizontalDpi="300" verticalDpi="300" r:id="rId51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8"/>
  <sheetViews>
    <sheetView zoomScale="85" zoomScaleNormal="85" zoomScaleSheetLayoutView="85" workbookViewId="0">
      <pane xSplit="5" ySplit="6" topLeftCell="V39" activePane="bottomRight" state="frozen"/>
      <selection pane="topRight" activeCell="D1" sqref="D1"/>
      <selection pane="bottomLeft" activeCell="A7" sqref="A7"/>
      <selection pane="bottomRight" activeCell="AD41" sqref="AD41"/>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46321</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26" t="s">
        <v>0</v>
      </c>
      <c r="B4" s="348" t="s">
        <v>515</v>
      </c>
      <c r="C4" s="391" t="s">
        <v>45</v>
      </c>
      <c r="D4" s="352" t="s">
        <v>46</v>
      </c>
      <c r="E4" s="430" t="s">
        <v>47</v>
      </c>
      <c r="F4" s="352" t="s">
        <v>4</v>
      </c>
      <c r="G4" s="428" t="s">
        <v>5</v>
      </c>
      <c r="H4" s="385" t="s">
        <v>48</v>
      </c>
      <c r="I4" s="385" t="s">
        <v>49</v>
      </c>
      <c r="J4" s="352" t="s">
        <v>78</v>
      </c>
      <c r="K4" s="385" t="s">
        <v>80</v>
      </c>
      <c r="L4" s="390" t="s">
        <v>53</v>
      </c>
      <c r="M4" s="379"/>
      <c r="N4" s="389" t="s">
        <v>55</v>
      </c>
      <c r="O4" s="379"/>
      <c r="P4" s="389" t="s">
        <v>72</v>
      </c>
      <c r="Q4" s="379"/>
      <c r="R4" s="390" t="s">
        <v>53</v>
      </c>
      <c r="S4" s="390"/>
      <c r="T4" s="379"/>
      <c r="U4" s="389" t="s">
        <v>55</v>
      </c>
      <c r="V4" s="390"/>
      <c r="W4" s="379"/>
      <c r="X4" s="393" t="s">
        <v>72</v>
      </c>
      <c r="Y4" s="432"/>
      <c r="Z4" s="393" t="s">
        <v>112</v>
      </c>
      <c r="AA4" s="398"/>
      <c r="AB4" s="398"/>
      <c r="AC4" s="399"/>
      <c r="AD4" s="352" t="s">
        <v>79</v>
      </c>
      <c r="AG4" s="236"/>
    </row>
    <row r="5" spans="1:35" ht="78.75">
      <c r="A5" s="427"/>
      <c r="B5" s="349"/>
      <c r="C5" s="392"/>
      <c r="D5" s="353"/>
      <c r="E5" s="431"/>
      <c r="F5" s="353"/>
      <c r="G5" s="429"/>
      <c r="H5" s="386"/>
      <c r="I5" s="386"/>
      <c r="J5" s="353"/>
      <c r="K5" s="386"/>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80"/>
      <c r="AG5" s="437" t="s">
        <v>119</v>
      </c>
      <c r="AH5" s="439" t="s">
        <v>120</v>
      </c>
      <c r="AI5" s="441"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38"/>
      <c r="AH6" s="440"/>
      <c r="AI6" s="442"/>
    </row>
    <row r="7" spans="1:35" s="9" customFormat="1" ht="47.25">
      <c r="A7" s="33">
        <f t="shared" ref="A7:A45" si="0">A6+1</f>
        <v>1</v>
      </c>
      <c r="B7" s="33" t="str">
        <f t="shared" ref="B7:B33" si="1">MID(D7, FIND("-", D7) + 1, 4)</f>
        <v>5.10</v>
      </c>
      <c r="C7" s="164" t="s">
        <v>522</v>
      </c>
      <c r="D7" s="25" t="s">
        <v>519</v>
      </c>
      <c r="E7" s="174">
        <f t="shared" ref="E7:E45"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_xlfn._xlws.FILTER($AG$7:$AG$4874,$K$7:$K$4874&lt;&gt;"X"),
_xlfn._xlws.FILTER($D$7:$D$4874,$K$7:$K$4874&lt;&gt;"X"),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5"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7" si="5">IF(AND($Q8="",$H8=""),"",IF(OR($Q8="B",$Q8="C"),IF($Y8&lt;&gt;"",$Y8+7,IF($X8&lt;&gt;"",$X8+8,"")),IF($Q8="",IF(OR($H8="B",$H8="C"),IF($V8&lt;&gt;"",$V8+7,IF($U8&lt;&gt;"",$U8+8,""))),"")))</f>
        <v>45681</v>
      </c>
      <c r="AA8" s="229">
        <v>45850</v>
      </c>
      <c r="AB8" s="229" t="str">
        <f t="shared" ref="AB8:AB45" si="6">IF(OR($Q8="B",$Q8="C"),IF($Z8="","",IF($AA8="",IF($Z8&gt;=$I$1,"In progress","Not submit yet"),IF($Z8&gt;=$AA8,"Timely Response","Late Resubmission"))),"")</f>
        <v>Late Resubmission</v>
      </c>
      <c r="AC8" s="183">
        <f t="shared" ref="AC8:AC33" si="7">IF(AB8="Late Resubmission",IF(AA8="","",AA8-Z8),IF(AB8="Not submit yet",IF(Z8="","",$I$1-Z8),""))</f>
        <v>169</v>
      </c>
      <c r="AD8" s="92"/>
      <c r="AG8" s="238" t="str">
        <f t="shared" ref="AG8:AG45" si="8">IF(AND(RIGHT($D8,1)&gt;="A",RIGHT($D8,1)&lt;="Z"),LEFT($D8,LEN($D8)-1),$D8)</f>
        <v>LTIA-5.10-VIETUR-80000-RFA-SDS-0122</v>
      </c>
      <c r="AH8" s="243" t="b" cm="1">
        <f t="array" ref="AH8">$D8=_xlfn.XLOOKUP(
AG8,
_xlfn._xlws.FILTER($AG$7:$AG$4874,$K$7:$K$4874&lt;&gt;"X"),
_xlfn._xlws.FILTER($D$7:$D$4874,$K$7:$K$4874&lt;&gt;"X"),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_xlfn._xlws.FILTER($AG$7:$AG$4874,$K$7:$K$4874&lt;&gt;"X"),
_xlfn._xlws.FILTER($D$7:$D$4874,$K$7:$K$4874&lt;&gt;"X"),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_xlfn._xlws.FILTER($AG$7:$AG$4874,$K$7:$K$4874&lt;&gt;"X"),
_xlfn._xlws.FILTER($D$7:$D$4874,$K$7:$K$4874&lt;&gt;"X"),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_xlfn._xlws.FILTER($AG$7:$AG$4874,$K$7:$K$4874&lt;&gt;"X"),
_xlfn._xlws.FILTER($D$7:$D$4874,$K$7:$K$4874&lt;&gt;"X"),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558</v>
      </c>
      <c r="AD12" s="92"/>
      <c r="AG12" s="238" t="str">
        <f t="shared" si="8"/>
        <v>LTIA-5.10-VIETUR-80000-RFA-SDS-0214</v>
      </c>
      <c r="AH12" s="243" t="b" cm="1">
        <f t="array" ref="AH12">$D12=_xlfn.XLOOKUP(
AG12,
_xlfn._xlws.FILTER($AG$7:$AG$4874,$K$7:$K$4874&lt;&gt;"X"),
_xlfn._xlws.FILTER($D$7:$D$4874,$K$7:$K$4874&lt;&gt;"X"),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_xlfn._xlws.FILTER($AG$7:$AG$4874,$K$7:$K$4874&lt;&gt;"X"),
_xlfn._xlws.FILTER($D$7:$D$4874,$K$7:$K$4874&lt;&gt;"X"),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5"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468</v>
      </c>
      <c r="AD14" s="92"/>
      <c r="AG14" s="238" t="str">
        <f t="shared" si="8"/>
        <v>LTIA-5.10-VIETUR-80000-RFA-SDS-0297</v>
      </c>
      <c r="AH14" s="243" t="b" cm="1">
        <f t="array" ref="AH14">$D14=_xlfn.XLOOKUP(
AG14,
_xlfn._xlws.FILTER($AG$7:$AG$4874,$K$7:$K$4874&lt;&gt;"X"),
_xlfn._xlws.FILTER($D$7:$D$4874,$K$7:$K$4874&lt;&gt;"X"),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_xlfn._xlws.FILTER($AG$7:$AG$4874,$K$7:$K$4874&lt;&gt;"X"),
_xlfn._xlws.FILTER($D$7:$D$4874,$K$7:$K$4874&lt;&gt;"X"),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357</v>
      </c>
      <c r="AD16" s="92"/>
      <c r="AG16" s="238" t="str">
        <f t="shared" si="8"/>
        <v>LTIA-5.10-VIETUR-80000-RFA-SDS-0330</v>
      </c>
      <c r="AH16" s="243" t="b" cm="1">
        <f t="array" ref="AH16">$D16=_xlfn.XLOOKUP(
AG16,
_xlfn._xlws.FILTER($AG$7:$AG$4874,$K$7:$K$4874&lt;&gt;"X"),
_xlfn._xlws.FILTER($D$7:$D$4874,$K$7:$K$4874&lt;&gt;"X"),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_xlfn._xlws.FILTER($AG$7:$AG$4874,$K$7:$K$4874&lt;&gt;"X"),
_xlfn._xlws.FILTER($D$7:$D$4874,$K$7:$K$4874&lt;&gt;"X"),
"",
0,
-1
)</f>
        <v>0</v>
      </c>
      <c r="AI17" s="75" t="str">
        <f t="shared" si="9"/>
        <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_xlfn._xlws.FILTER($AG$7:$AG$4874,$K$7:$K$4874&lt;&gt;"X"),
_xlfn._xlws.FILTER($D$7:$D$4874,$K$7:$K$4874&lt;&gt;"X"),
"",
0,
-1
)</f>
        <v>0</v>
      </c>
      <c r="AI18" s="75" t="str">
        <f t="shared" si="9"/>
        <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_xlfn._xlws.FILTER($AG$7:$AG$4874,$K$7:$K$4874&lt;&gt;"X"),
_xlfn._xlws.FILTER($D$7:$D$4874,$K$7:$K$4874&lt;&gt;"X"),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_xlfn._xlws.FILTER($AG$7:$AG$4874,$K$7:$K$4874&lt;&gt;"X"),
_xlfn._xlws.FILTER($D$7:$D$4874,$K$7:$K$4874&lt;&gt;"X"),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_xlfn._xlws.FILTER($AG$7:$AG$4874,$K$7:$K$4874&lt;&gt;"X"),
_xlfn._xlws.FILTER($D$7:$D$4874,$K$7:$K$4874&lt;&gt;"X"),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885</v>
      </c>
      <c r="AG22" s="238" t="str">
        <f t="shared" si="8"/>
        <v>LTIA-5.10-VIETUR-80000-RFA-SDS-0310</v>
      </c>
      <c r="AH22" s="243" t="b" cm="1">
        <f t="array" ref="AH22">$D22=_xlfn.XLOOKUP(
AG22,
_xlfn._xlws.FILTER($AG$7:$AG$4874,$K$7:$K$4874&lt;&gt;"X"),
_xlfn._xlws.FILTER($D$7:$D$4874,$K$7:$K$4874&lt;&gt;"X"),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357</v>
      </c>
      <c r="AD23" s="92"/>
      <c r="AG23" s="238" t="str">
        <f t="shared" si="8"/>
        <v>LTIA-5.10-VIETUR-80000-RFA-SDS-0350</v>
      </c>
      <c r="AH23" s="243" t="b" cm="1">
        <f t="array" ref="AH23">$D23=_xlfn.XLOOKUP(
AG23,
_xlfn._xlws.FILTER($AG$7:$AG$4874,$K$7:$K$4874&lt;&gt;"X"),
_xlfn._xlws.FILTER($D$7:$D$4874,$K$7:$K$4874&lt;&gt;"X"),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357</v>
      </c>
      <c r="AD24" s="92"/>
      <c r="AG24" s="238" t="str">
        <f t="shared" si="8"/>
        <v>LTIA-5.10-VIETUR-80000-RFA-SDS-0140</v>
      </c>
      <c r="AH24" s="243" t="b" cm="1">
        <f t="array" ref="AH24">$D24=_xlfn.XLOOKUP(
AG24,
_xlfn._xlws.FILTER($AG$7:$AG$4874,$K$7:$K$4874&lt;&gt;"X"),
_xlfn._xlws.FILTER($D$7:$D$4874,$K$7:$K$4874&lt;&gt;"X"),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v>46311</v>
      </c>
      <c r="AB25" s="229" t="str">
        <f t="shared" si="6"/>
        <v>Late Resubmission</v>
      </c>
      <c r="AC25" s="183">
        <f t="shared" si="7"/>
        <v>274</v>
      </c>
      <c r="AD25" s="92" t="s">
        <v>886</v>
      </c>
      <c r="AG25" s="238" t="str">
        <f t="shared" si="8"/>
        <v>LTIA-5.10-VIETUR-80000-RFA-SDS-0222</v>
      </c>
      <c r="AH25" s="243" t="b" cm="1">
        <f t="array" ref="AH25">$D25=_xlfn.XLOOKUP(
AG25,
_xlfn._xlws.FILTER($AG$7:$AG$4874,$K$7:$K$4874&lt;&gt;"X"),
_xlfn._xlws.FILTER($D$7:$D$4874,$K$7:$K$4874&lt;&gt;"X"),
"",
0,
-1
)</f>
        <v>0</v>
      </c>
      <c r="AI25" s="75" t="str">
        <f t="shared" si="9"/>
        <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335</v>
      </c>
      <c r="AD26" s="92"/>
      <c r="AG26" s="238" t="str">
        <f t="shared" si="8"/>
        <v>LTIA-5.10-VIETUR-80000-RFA-SDS-0371</v>
      </c>
      <c r="AH26" s="243" t="b" cm="1">
        <f t="array" ref="AH26">$D26=_xlfn.XLOOKUP(
AG26,
_xlfn._xlws.FILTER($AG$7:$AG$4874,$K$7:$K$4874&lt;&gt;"X"),
_xlfn._xlws.FILTER($D$7:$D$4874,$K$7:$K$4874&lt;&gt;"X"),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_xlfn._xlws.FILTER($AG$7:$AG$4874,$K$7:$K$4874&lt;&gt;"X"),
_xlfn._xlws.FILTER($D$7:$D$4874,$K$7:$K$4874&lt;&gt;"X"),
"",
0,
-1
)</f>
        <v>0</v>
      </c>
      <c r="AI27" s="75" t="str">
        <f t="shared" si="9"/>
        <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_xlfn._xlws.FILTER($AG$7:$AG$4874,$K$7:$K$4874&lt;&gt;"X"),
_xlfn._xlws.FILTER($D$7:$D$4874,$K$7:$K$4874&lt;&gt;"X"),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1002</v>
      </c>
      <c r="AG29" s="238" t="str">
        <f t="shared" si="8"/>
        <v>LTIA-5.10-VIETUR-80000-RFA-SDS-0372</v>
      </c>
      <c r="AH29" s="243" t="b" cm="1">
        <f t="array" ref="AH29">$D29=_xlfn.XLOOKUP(
AG29,
_xlfn._xlws.FILTER($AG$7:$AG$4874,$K$7:$K$4874&lt;&gt;"X"),
_xlfn._xlws.FILTER($D$7:$D$4874,$K$7:$K$4874&lt;&gt;"X"),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315</v>
      </c>
      <c r="AD30" s="92" t="s">
        <v>593</v>
      </c>
      <c r="AG30" s="238" t="str">
        <f t="shared" si="8"/>
        <v>LTIA-5.10-VIETUR-80000-RFA-SDS-0160</v>
      </c>
      <c r="AH30" s="243" t="b" cm="1">
        <f t="array" ref="AH30">$D30=_xlfn.XLOOKUP(
AG30,
_xlfn._xlws.FILTER($AG$7:$AG$4874,$K$7:$K$4874&lt;&gt;"X"),
_xlfn._xlws.FILTER($D$7:$D$4874,$K$7:$K$4874&lt;&gt;"X"),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102</v>
      </c>
      <c r="AD31" s="92" t="s">
        <v>597</v>
      </c>
      <c r="AG31" s="238" t="str">
        <f t="shared" si="8"/>
        <v>LTIA-5.10-VIETUR-80000-RFA-SDS-0415</v>
      </c>
      <c r="AH31" s="243" t="b" cm="1">
        <f t="array" ref="AH31">$D31=_xlfn.XLOOKUP(
AG31,
_xlfn._xlws.FILTER($AG$7:$AG$4874,$K$7:$K$4874&lt;&gt;"X"),
_xlfn._xlws.FILTER($D$7:$D$4874,$K$7:$K$4874&lt;&gt;"X"),
"",
0,
-1
)</f>
        <v>1</v>
      </c>
      <c r="AI31" s="75" t="str">
        <f t="shared" si="9"/>
        <v>YES</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_xlfn._xlws.FILTER($AG$7:$AG$4874,$K$7:$K$4874&lt;&gt;"X"),
_xlfn._xlws.FILTER($D$7:$D$4874,$K$7:$K$4874&lt;&gt;"X"),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_xlfn._xlws.FILTER($AG$7:$AG$4874,$K$7:$K$4874&lt;&gt;"X"),
_xlfn._xlws.FILTER($D$7:$D$4874,$K$7:$K$4874&lt;&gt;"X"),
"",
0,
-1
)</f>
        <v>1</v>
      </c>
      <c r="AI33" s="75" t="str">
        <f t="shared" si="9"/>
        <v/>
      </c>
    </row>
    <row r="34" spans="1:35" s="9" customFormat="1" ht="78.75">
      <c r="A34" s="33">
        <f t="shared" si="0"/>
        <v>28</v>
      </c>
      <c r="B34" s="33" t="str">
        <f>MID(D34, FIND("-", D34) + 1, 4)</f>
        <v>5.11</v>
      </c>
      <c r="C34" s="164" t="s">
        <v>342</v>
      </c>
      <c r="D34" s="25" t="s">
        <v>908</v>
      </c>
      <c r="E34" s="174"/>
      <c r="F34" s="31" t="s">
        <v>909</v>
      </c>
      <c r="G34" s="21" t="s">
        <v>910</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916</v>
      </c>
      <c r="AG34" s="238" t="str">
        <f t="shared" si="8"/>
        <v>LTIA-5.11-LTICT-72020-RFA-SDS-0001</v>
      </c>
      <c r="AH34" s="243" t="b" cm="1">
        <f t="array" ref="AH34">$D34=_xlfn.XLOOKUP(
AG34,
_xlfn._xlws.FILTER($AG$7:$AG$4874,$K$7:$K$4874&lt;&gt;"X"),
_xlfn._xlws.FILTER($D$7:$D$4874,$K$7:$K$4874&lt;&gt;"X"),
"",
0,
-1
)</f>
        <v>0</v>
      </c>
      <c r="AI34" s="75" t="str">
        <f t="shared" si="9"/>
        <v/>
      </c>
    </row>
    <row r="35" spans="1:35" s="9" customFormat="1" ht="47.25">
      <c r="A35" s="33">
        <f t="shared" si="0"/>
        <v>29</v>
      </c>
      <c r="B35" s="33" t="str">
        <f t="shared" ref="B35" si="12">MID(D35, FIND("-", D35) + 1, 4)</f>
        <v>5.10</v>
      </c>
      <c r="C35" s="164" t="s">
        <v>197</v>
      </c>
      <c r="D35" s="25" t="s">
        <v>974</v>
      </c>
      <c r="E35" s="174">
        <f t="shared" si="2"/>
        <v>46325</v>
      </c>
      <c r="F35" s="31" t="s">
        <v>975</v>
      </c>
      <c r="G35" s="21" t="s">
        <v>600</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1063</v>
      </c>
      <c r="AG35" s="238" t="str">
        <f t="shared" si="8"/>
        <v>LTIA-5.10-VIETUR-80000-RFA-SDS-0417</v>
      </c>
      <c r="AH35" s="243" t="b" cm="1">
        <f t="array" ref="AH35">$D35=_xlfn.XLOOKUP(
AG35,
_xlfn._xlws.FILTER($AG$7:$AG$4874,$K$7:$K$4874&lt;&gt;"X"),
_xlfn._xlws.FILTER($D$7:$D$4874,$K$7:$K$4874&lt;&gt;"X"),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982</v>
      </c>
      <c r="G36" s="21" t="s">
        <v>983</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1009</v>
      </c>
      <c r="AG36" s="238" t="str">
        <f t="shared" si="8"/>
        <v>LTIA-5.10-VIETUR-80000-RFA-SDS-0372</v>
      </c>
      <c r="AH36" s="243" t="b" cm="1">
        <f t="array" ref="AH36">$D36=_xlfn.XLOOKUP(
AG36,
_xlfn._xlws.FILTER($AG$7:$AG$4874,$K$7:$K$4874&lt;&gt;"X"),
_xlfn._xlws.FILTER($D$7:$D$4874,$K$7:$K$4874&lt;&gt;"X"),
"",
0,
-1
)</f>
        <v>1</v>
      </c>
      <c r="AI36" s="75" t="str">
        <f t="shared" si="9"/>
        <v/>
      </c>
    </row>
    <row r="37" spans="1:35" s="9" customFormat="1" ht="47.25">
      <c r="A37" s="33">
        <f t="shared" si="0"/>
        <v>31</v>
      </c>
      <c r="B37" s="33" t="str">
        <f t="shared" ref="B37" si="15">MID(D37, FIND("-", D37) + 1, 4)</f>
        <v>5.10</v>
      </c>
      <c r="C37" s="164"/>
      <c r="D37" s="25" t="s">
        <v>984</v>
      </c>
      <c r="E37" s="174">
        <f t="shared" si="2"/>
        <v>46302</v>
      </c>
      <c r="F37" s="31" t="s">
        <v>985</v>
      </c>
      <c r="G37" s="21" t="s">
        <v>986</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1023</v>
      </c>
      <c r="AG37" s="238" t="str">
        <f t="shared" si="8"/>
        <v>LTIA-5.10-VIETUR-80000-RFA-SDS-0484</v>
      </c>
      <c r="AH37" s="243" t="b" cm="1">
        <f t="array" ref="AH37">$D37=_xlfn.XLOOKUP(
AG37,
_xlfn._xlws.FILTER($AG$7:$AG$4874,$K$7:$K$4874&lt;&gt;"X"),
_xlfn._xlws.FILTER($D$7:$D$4874,$K$7:$K$4874&lt;&gt;"X"),
"",
0,
-1
)</f>
        <v>1</v>
      </c>
      <c r="AI37" s="75" t="str">
        <f t="shared" si="9"/>
        <v/>
      </c>
    </row>
    <row r="38" spans="1:35" s="9" customFormat="1" ht="47.25">
      <c r="A38" s="33">
        <f t="shared" si="0"/>
        <v>32</v>
      </c>
      <c r="B38" s="33" t="str">
        <f t="shared" ref="B38" si="17">MID(D38, FIND("-", D38) + 1, 4)</f>
        <v>5.11</v>
      </c>
      <c r="C38" s="164" t="s">
        <v>372</v>
      </c>
      <c r="D38" s="25" t="s">
        <v>987</v>
      </c>
      <c r="E38" s="174">
        <f t="shared" si="2"/>
        <v>46304</v>
      </c>
      <c r="F38" s="31" t="s">
        <v>988</v>
      </c>
      <c r="G38" s="21" t="s">
        <v>989</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1051</v>
      </c>
      <c r="AG38" s="238" t="str">
        <f t="shared" si="8"/>
        <v>LTIA-5.11-LTICT-72100-RFA-SDS-0001</v>
      </c>
      <c r="AH38" s="243" t="b" cm="1">
        <f t="array" ref="AH38">$D38=_xlfn.XLOOKUP(
AG38,
_xlfn._xlws.FILTER($AG$7:$AG$4874,$K$7:$K$4874&lt;&gt;"X"),
_xlfn._xlws.FILTER($D$7:$D$4874,$K$7:$K$4874&lt;&gt;"X"),
"",
0,
-1
)</f>
        <v>1</v>
      </c>
      <c r="AI38" s="75" t="str">
        <f t="shared" si="9"/>
        <v>YES</v>
      </c>
    </row>
    <row r="39" spans="1:35" s="9" customFormat="1" ht="63">
      <c r="A39" s="33">
        <f t="shared" si="0"/>
        <v>33</v>
      </c>
      <c r="B39" s="33" t="str">
        <f t="shared" ref="B39" si="19">MID(D39, FIND("-", D39) + 1, 4)</f>
        <v>5.10</v>
      </c>
      <c r="C39" s="164" t="s">
        <v>197</v>
      </c>
      <c r="D39" s="25" t="s">
        <v>990</v>
      </c>
      <c r="E39" s="174">
        <f t="shared" si="2"/>
        <v>46325</v>
      </c>
      <c r="F39" s="31" t="s">
        <v>991</v>
      </c>
      <c r="G39" s="21" t="s">
        <v>588</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1063</v>
      </c>
      <c r="AG39" s="238" t="str">
        <f t="shared" si="8"/>
        <v xml:space="preserve">  LTIA-5.10-VIETUR-80000-RFA-SDS-0394</v>
      </c>
      <c r="AH39" s="243" t="b" cm="1">
        <f t="array" ref="AH39">$D39=_xlfn.XLOOKUP(
AG39,
_xlfn._xlws.FILTER($AG$7:$AG$4874,$K$7:$K$4874&lt;&gt;"X"),
_xlfn._xlws.FILTER($D$7:$D$4874,$K$7:$K$4874&lt;&gt;"X"),
"",
0,
-1
)</f>
        <v>1</v>
      </c>
      <c r="AI39" s="75" t="str">
        <f t="shared" ref="AI39:AI45" si="21">IF(AND($AH39,OR($Q39="B",$Q39="C")),"YES","")</f>
        <v/>
      </c>
    </row>
    <row r="40" spans="1:35" s="9" customFormat="1" ht="63">
      <c r="A40" s="33">
        <f t="shared" si="0"/>
        <v>34</v>
      </c>
      <c r="B40" s="33" t="str">
        <f t="shared" ref="B40" si="22">MID(D40, FIND("-", D40) + 1, 4)</f>
        <v>5.10</v>
      </c>
      <c r="C40" s="164"/>
      <c r="D40" s="25" t="s">
        <v>1056</v>
      </c>
      <c r="E40" s="174">
        <f t="shared" si="2"/>
        <v>46330</v>
      </c>
      <c r="F40" s="31" t="s">
        <v>1057</v>
      </c>
      <c r="G40" s="21" t="s">
        <v>1058</v>
      </c>
      <c r="H40" s="138"/>
      <c r="I40" s="164">
        <f t="shared" ca="1" si="10"/>
        <v>12</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3">IF(AB40="Late Resubmission",IF(AA40="","",AA40-Z40),IF(AB40="Not submit yet",IF(Z40="","",$I$1-Z40),""))</f>
        <v/>
      </c>
      <c r="AD40" s="92" t="s">
        <v>1118</v>
      </c>
      <c r="AG40" s="238" t="str">
        <f t="shared" si="8"/>
        <v>LTIA-5.10-VIETUR-80000-RFA-SDS-0493</v>
      </c>
      <c r="AH40" s="243" t="b" cm="1">
        <f t="array" ref="AH40">$D40=_xlfn.XLOOKUP(
AG40,
_xlfn._xlws.FILTER($AG$7:$AG$4874,$K$7:$K$4874&lt;&gt;"X"),
_xlfn._xlws.FILTER($D$7:$D$4874,$K$7:$K$4874&lt;&gt;"X"),
"",
0,
-1
)</f>
        <v>1</v>
      </c>
      <c r="AI40" s="75" t="str">
        <f t="shared" si="21"/>
        <v/>
      </c>
    </row>
    <row r="41" spans="1:35" s="9" customFormat="1" ht="63">
      <c r="A41" s="33">
        <f t="shared" si="0"/>
        <v>35</v>
      </c>
      <c r="B41" s="33" t="str">
        <f t="shared" ref="B41" si="24">MID(D41, FIND("-", D41) + 1, 4)</f>
        <v>5.10</v>
      </c>
      <c r="C41" s="164"/>
      <c r="D41" s="25" t="s">
        <v>1091</v>
      </c>
      <c r="E41" s="174">
        <f t="shared" si="2"/>
        <v>46332</v>
      </c>
      <c r="F41" s="31" t="s">
        <v>1092</v>
      </c>
      <c r="G41" s="21" t="s">
        <v>547</v>
      </c>
      <c r="H41" s="138"/>
      <c r="I41" s="164">
        <f t="shared" ca="1" si="10"/>
        <v>10</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1118</v>
      </c>
      <c r="AG41" s="238" t="str">
        <f t="shared" si="8"/>
        <v>LTIA-5.10-VIETUR-80000-RFA-SDS-0222</v>
      </c>
      <c r="AH41" s="243" t="b" cm="1">
        <f t="array" ref="AH41">$D41=_xlfn.XLOOKUP(
AG41,
_xlfn._xlws.FILTER($AG$7:$AG$4874,$K$7:$K$4874&lt;&gt;"X"),
_xlfn._xlws.FILTER($D$7:$D$4874,$K$7:$K$4874&lt;&gt;"X"),
"",
0,
-1
)</f>
        <v>1</v>
      </c>
      <c r="AI41" s="75" t="str">
        <f t="shared" si="21"/>
        <v/>
      </c>
    </row>
    <row r="42" spans="1:35" s="9" customFormat="1" ht="47.25">
      <c r="A42" s="33">
        <f t="shared" si="0"/>
        <v>36</v>
      </c>
      <c r="B42" s="33" t="str">
        <f t="shared" ref="B42" si="26">MID(D42, FIND("-", D42) + 1, 4)</f>
        <v>5.10</v>
      </c>
      <c r="C42" s="164"/>
      <c r="D42" s="25" t="s">
        <v>1096</v>
      </c>
      <c r="E42" s="174">
        <f t="shared" si="2"/>
        <v>46338</v>
      </c>
      <c r="F42" s="31" t="s">
        <v>1097</v>
      </c>
      <c r="G42" s="21" t="s">
        <v>538</v>
      </c>
      <c r="H42" s="138"/>
      <c r="I42" s="164">
        <f t="shared" ca="1" si="10"/>
        <v>4</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1119</v>
      </c>
      <c r="AG42" s="238" t="str">
        <f t="shared" si="8"/>
        <v>LTIA-5.10-VIETUR-80000-RFA-SDS-0197</v>
      </c>
      <c r="AH42" s="243" t="b" cm="1">
        <f t="array" ref="AH42">$D42=_xlfn.XLOOKUP(
AG42,
_xlfn._xlws.FILTER($AG$7:$AG$4874,$K$7:$K$4874&lt;&gt;"X"),
_xlfn._xlws.FILTER($D$7:$D$4874,$K$7:$K$4874&lt;&gt;"X"),
"",
0,
-1
)</f>
        <v>1</v>
      </c>
      <c r="AI42" s="75" t="str">
        <f t="shared" si="21"/>
        <v/>
      </c>
    </row>
    <row r="43" spans="1:35" s="9" customFormat="1" ht="47.25">
      <c r="A43" s="33">
        <f t="shared" si="0"/>
        <v>37</v>
      </c>
      <c r="B43" s="33" t="str">
        <f t="shared" ref="B43" si="28">MID(D43, FIND("-", D43) + 1, 4)</f>
        <v>5.10</v>
      </c>
      <c r="C43" s="164"/>
      <c r="D43" s="25" t="s">
        <v>1098</v>
      </c>
      <c r="E43" s="174">
        <f t="shared" si="2"/>
        <v>46337</v>
      </c>
      <c r="F43" s="31" t="s">
        <v>1099</v>
      </c>
      <c r="G43" s="21" t="s">
        <v>521</v>
      </c>
      <c r="H43" s="138"/>
      <c r="I43" s="164">
        <f t="shared" ca="1" si="10"/>
        <v>5</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_xlfn._xlws.FILTER($AG$7:$AG$4874,$K$7:$K$4874&lt;&gt;"X"),
_xlfn._xlws.FILTER($D$7:$D$4874,$K$7:$K$4874&lt;&gt;"X"),
"",
0,
-1
)</f>
        <v>1</v>
      </c>
      <c r="AI43" s="75" t="str">
        <f t="shared" si="21"/>
        <v/>
      </c>
    </row>
    <row r="44" spans="1:35" s="9" customFormat="1" ht="47.25">
      <c r="A44" s="33">
        <f t="shared" si="0"/>
        <v>38</v>
      </c>
      <c r="B44" s="33" t="str">
        <f t="shared" ref="B44" si="30">MID(D44, FIND("-", D44) + 1, 4)</f>
        <v>5.10</v>
      </c>
      <c r="C44" s="164"/>
      <c r="D44" s="25" t="s">
        <v>1100</v>
      </c>
      <c r="E44" s="174">
        <f t="shared" si="2"/>
        <v>46337</v>
      </c>
      <c r="F44" s="31" t="s">
        <v>1101</v>
      </c>
      <c r="G44" s="21" t="s">
        <v>526</v>
      </c>
      <c r="H44" s="138"/>
      <c r="I44" s="164">
        <f t="shared" ca="1" si="10"/>
        <v>5</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_xlfn._xlws.FILTER($AG$7:$AG$4874,$K$7:$K$4874&lt;&gt;"X"),
_xlfn._xlws.FILTER($D$7:$D$4874,$K$7:$K$4874&lt;&gt;"X"),
"",
0,
-1
)</f>
        <v>1</v>
      </c>
      <c r="AI44" s="75" t="str">
        <f t="shared" si="21"/>
        <v/>
      </c>
    </row>
    <row r="45" spans="1:35" s="9" customFormat="1" ht="47.25">
      <c r="A45" s="33">
        <f t="shared" si="0"/>
        <v>39</v>
      </c>
      <c r="B45" s="33" t="str">
        <f t="shared" ref="B45" si="32">MID(D45, FIND("-", D45) + 1, 4)</f>
        <v>5.11</v>
      </c>
      <c r="C45" s="164" t="s">
        <v>656</v>
      </c>
      <c r="D45" s="25" t="s">
        <v>1102</v>
      </c>
      <c r="E45" s="174">
        <f t="shared" si="2"/>
        <v>46337</v>
      </c>
      <c r="F45" s="31" t="s">
        <v>1103</v>
      </c>
      <c r="G45" s="21" t="s">
        <v>1104</v>
      </c>
      <c r="H45" s="138"/>
      <c r="I45" s="164">
        <f t="shared" ca="1" si="10"/>
        <v>5</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_xlfn._xlws.FILTER($AG$7:$AG$4874,$K$7:$K$4874&lt;&gt;"X"),
_xlfn._xlws.FILTER($D$7:$D$4874,$K$7:$K$4874&lt;&gt;"X"),
"",
0,
-1
)</f>
        <v>1</v>
      </c>
      <c r="AI45" s="75" t="str">
        <f t="shared" si="21"/>
        <v/>
      </c>
    </row>
    <row r="46" spans="1:35" s="9" customFormat="1">
      <c r="A46" s="23"/>
      <c r="B46" s="33"/>
      <c r="C46" s="137"/>
      <c r="D46" s="25"/>
      <c r="E46" s="174"/>
      <c r="F46" s="31"/>
      <c r="G46" s="21"/>
      <c r="H46" s="138"/>
      <c r="I46" s="177"/>
      <c r="J46" s="47"/>
      <c r="K46" s="164"/>
      <c r="L46" s="52"/>
      <c r="M46" s="66"/>
      <c r="N46" s="40"/>
      <c r="O46" s="37"/>
      <c r="P46" s="17"/>
      <c r="Q46" s="183"/>
      <c r="R46" s="27"/>
      <c r="S46" s="27"/>
      <c r="T46" s="187"/>
      <c r="U46" s="29"/>
      <c r="V46" s="188"/>
      <c r="W46" s="227"/>
      <c r="X46" s="230"/>
      <c r="Y46" s="227"/>
      <c r="Z46" s="29" t="str">
        <f t="shared" si="5"/>
        <v/>
      </c>
      <c r="AA46" s="229"/>
      <c r="AB46" s="229"/>
      <c r="AC46" s="19"/>
      <c r="AD46" s="92"/>
      <c r="AG46" s="238"/>
      <c r="AH46" s="243"/>
      <c r="AI46" s="75"/>
    </row>
    <row r="47" spans="1:35" s="9" customFormat="1" ht="16.5" thickBot="1">
      <c r="A47" s="24"/>
      <c r="B47" s="329"/>
      <c r="C47" s="165"/>
      <c r="D47" s="45"/>
      <c r="E47" s="175"/>
      <c r="F47" s="32"/>
      <c r="G47" s="22"/>
      <c r="H47" s="139"/>
      <c r="I47" s="178"/>
      <c r="J47" s="132"/>
      <c r="K47" s="199"/>
      <c r="L47" s="53"/>
      <c r="M47" s="67"/>
      <c r="N47" s="18"/>
      <c r="O47" s="38"/>
      <c r="P47" s="18"/>
      <c r="Q47" s="184"/>
      <c r="R47" s="44"/>
      <c r="S47" s="44"/>
      <c r="T47" s="189"/>
      <c r="U47" s="43"/>
      <c r="V47" s="194"/>
      <c r="W47" s="228"/>
      <c r="X47" s="232"/>
      <c r="Y47" s="228"/>
      <c r="Z47" s="43" t="str">
        <f t="shared" si="5"/>
        <v/>
      </c>
      <c r="AA47" s="233"/>
      <c r="AB47" s="233"/>
      <c r="AC47" s="20"/>
      <c r="AD47" s="93"/>
      <c r="AG47" s="239"/>
      <c r="AH47" s="244"/>
      <c r="AI47" s="241"/>
    </row>
    <row r="48" spans="1:35" ht="16.5" thickBot="1"/>
    <row r="49" spans="3:35" ht="16.5" thickBot="1">
      <c r="C49" s="166" t="s">
        <v>20</v>
      </c>
      <c r="D49" s="403" t="s">
        <v>21</v>
      </c>
      <c r="E49" s="404"/>
      <c r="F49" s="46"/>
      <c r="G49" s="46"/>
      <c r="H49" s="356" t="s">
        <v>14</v>
      </c>
      <c r="I49" s="357"/>
      <c r="J49" s="357"/>
      <c r="K49" s="357"/>
      <c r="L49" s="357"/>
      <c r="M49" s="358"/>
      <c r="N49" s="350" t="s">
        <v>7</v>
      </c>
      <c r="O49" s="351"/>
      <c r="P49" s="350" t="s">
        <v>109</v>
      </c>
      <c r="Q49" s="351"/>
      <c r="R49" s="1"/>
      <c r="S49" s="1"/>
      <c r="T49" s="140"/>
      <c r="U49" s="1"/>
      <c r="W49" s="11"/>
      <c r="X49" s="11"/>
      <c r="Y49" s="11"/>
      <c r="Z49" s="11"/>
      <c r="AA49" s="11"/>
      <c r="AB49" s="11"/>
      <c r="AC49" s="11"/>
      <c r="AG49" s="11"/>
      <c r="AH49" s="11"/>
      <c r="AI49" s="11"/>
    </row>
    <row r="50" spans="3:35" ht="16.5" thickBot="1">
      <c r="C50" s="195" t="s">
        <v>109</v>
      </c>
      <c r="D50" s="435" t="s">
        <v>111</v>
      </c>
      <c r="E50" s="436"/>
      <c r="F50" s="46"/>
      <c r="H50" s="356" t="s">
        <v>18</v>
      </c>
      <c r="I50" s="357"/>
      <c r="J50" s="357"/>
      <c r="K50" s="358"/>
      <c r="L50" s="105">
        <f ca="1">M50/$M$50</f>
        <v>1</v>
      </c>
      <c r="M50" s="106">
        <f ca="1">SUM($M$51:$M$55)</f>
        <v>39</v>
      </c>
      <c r="N50" s="102" t="s">
        <v>15</v>
      </c>
      <c r="O50" s="103" t="s">
        <v>16</v>
      </c>
      <c r="P50" s="105">
        <f ca="1">Q50/$Q$50</f>
        <v>1</v>
      </c>
      <c r="Q50" s="220">
        <f ca="1">SUM(Q51:Q54)</f>
        <v>37</v>
      </c>
      <c r="R50" s="1"/>
      <c r="S50" s="1"/>
      <c r="T50" s="140"/>
      <c r="U50" s="1"/>
      <c r="W50" s="11"/>
      <c r="X50" s="11"/>
      <c r="Y50" s="11"/>
      <c r="Z50" s="11"/>
      <c r="AA50" s="11"/>
      <c r="AB50" s="11"/>
      <c r="AC50" s="11"/>
      <c r="AG50" s="11"/>
      <c r="AH50" s="11"/>
      <c r="AI50" s="11"/>
    </row>
    <row r="51" spans="3:35">
      <c r="C51" s="195" t="s">
        <v>36</v>
      </c>
      <c r="D51" s="433" t="s">
        <v>37</v>
      </c>
      <c r="E51" s="434"/>
      <c r="F51" s="69"/>
      <c r="G51" s="6"/>
      <c r="H51" s="405" t="s">
        <v>66</v>
      </c>
      <c r="I51" s="406"/>
      <c r="J51" s="406"/>
      <c r="K51" s="407"/>
      <c r="L51" s="107">
        <f ca="1">M51/$M$50</f>
        <v>7.6923076923076927E-2</v>
      </c>
      <c r="M51" s="108">
        <f>COUNTIF($H$7:$H$47,"A")</f>
        <v>3</v>
      </c>
      <c r="N51" s="100">
        <f ca="1">COUNTIFS($I$7:$I$47,"&lt;=21",$H$7:$H$47,"A")</f>
        <v>3</v>
      </c>
      <c r="O51" s="101">
        <f ca="1">COUNTIFS($I$7:$I$47,"&gt;21",$H$7:$H$47,"A")</f>
        <v>0</v>
      </c>
      <c r="P51" s="107">
        <f ca="1">Q51/$Q$50</f>
        <v>2.7027027027027029E-2</v>
      </c>
      <c r="Q51" s="108">
        <f>COUNTIF($Q$7:$Q$47,"A")</f>
        <v>1</v>
      </c>
      <c r="R51" s="1"/>
      <c r="S51" s="1"/>
      <c r="T51" s="140"/>
      <c r="U51" s="1"/>
      <c r="W51" s="11"/>
      <c r="X51" s="11"/>
      <c r="Y51" s="11"/>
      <c r="Z51" s="11"/>
      <c r="AA51" s="11"/>
      <c r="AB51" s="11"/>
      <c r="AC51" s="11"/>
      <c r="AG51" s="11"/>
      <c r="AH51" s="11"/>
      <c r="AI51" s="11"/>
    </row>
    <row r="52" spans="3:35">
      <c r="C52" s="373" t="s">
        <v>75</v>
      </c>
      <c r="D52" s="375" t="s">
        <v>76</v>
      </c>
      <c r="E52" s="376"/>
      <c r="F52" s="70"/>
      <c r="G52" s="6"/>
      <c r="H52" s="408" t="s">
        <v>67</v>
      </c>
      <c r="I52" s="409"/>
      <c r="J52" s="409"/>
      <c r="K52" s="410"/>
      <c r="L52" s="109">
        <f t="shared" ref="L52:L55" ca="1" si="34">M52/$M$50</f>
        <v>0.51282051282051277</v>
      </c>
      <c r="M52" s="110">
        <f>COUNTIF($H$7:$H$47,"B")</f>
        <v>20</v>
      </c>
      <c r="N52" s="98">
        <f ca="1">COUNTIFS($I$7:$I$47,"&lt;=21",$H$7:$H$47,"B")</f>
        <v>8</v>
      </c>
      <c r="O52" s="50">
        <f ca="1">COUNTIFS($I$7:$I$47,"&gt;21",$H$7:$H$47,"B")</f>
        <v>12</v>
      </c>
      <c r="P52" s="109">
        <f t="shared" ref="P52:P54" ca="1" si="35">Q52/$Q$50</f>
        <v>0.54054054054054057</v>
      </c>
      <c r="Q52" s="110">
        <f>COUNTIF($Q$7:$Q$47,"B")</f>
        <v>20</v>
      </c>
      <c r="R52" s="1"/>
      <c r="S52" s="1"/>
      <c r="T52" s="140"/>
      <c r="U52" s="1"/>
      <c r="W52" s="11"/>
      <c r="X52" s="11"/>
      <c r="Y52" s="11"/>
      <c r="Z52" s="11"/>
      <c r="AA52" s="11"/>
      <c r="AB52" s="11"/>
      <c r="AC52" s="11"/>
      <c r="AG52" s="11"/>
      <c r="AH52" s="11"/>
      <c r="AI52" s="11"/>
    </row>
    <row r="53" spans="3:35" ht="16.5" thickBot="1">
      <c r="C53" s="374"/>
      <c r="D53" s="377"/>
      <c r="E53" s="378"/>
      <c r="F53" s="71"/>
      <c r="G53" s="6"/>
      <c r="H53" s="411" t="s">
        <v>68</v>
      </c>
      <c r="I53" s="412"/>
      <c r="J53" s="412"/>
      <c r="K53" s="413"/>
      <c r="L53" s="111">
        <f t="shared" ca="1" si="34"/>
        <v>0.20512820512820512</v>
      </c>
      <c r="M53" s="112">
        <f>COUNTIF($H$7:$H$47,"C")</f>
        <v>8</v>
      </c>
      <c r="N53" s="98">
        <f ca="1">COUNTIFS($I$7:$I$47,"&lt;=21",$H$7:$H$47,"C")</f>
        <v>4</v>
      </c>
      <c r="O53" s="50">
        <f ca="1">COUNTIFS($I$7:$I$47,"&gt;21",$H$7:$H$47,"C")</f>
        <v>4</v>
      </c>
      <c r="P53" s="111">
        <f t="shared" ca="1" si="35"/>
        <v>0.13513513513513514</v>
      </c>
      <c r="Q53" s="112">
        <f>COUNTIF($Q$7:$Q$47,"C")</f>
        <v>5</v>
      </c>
      <c r="R53" s="1"/>
      <c r="S53" s="1"/>
      <c r="T53" s="140"/>
      <c r="U53" s="1"/>
      <c r="W53" s="11"/>
      <c r="X53" s="11"/>
      <c r="Y53" s="11"/>
      <c r="Z53" s="11"/>
      <c r="AA53" s="11"/>
      <c r="AB53" s="11"/>
      <c r="AC53" s="11"/>
      <c r="AG53" s="11"/>
      <c r="AH53" s="11"/>
      <c r="AI53" s="11"/>
    </row>
    <row r="54" spans="3:35">
      <c r="F54" s="72"/>
      <c r="G54" s="6"/>
      <c r="H54" s="365" t="s">
        <v>70</v>
      </c>
      <c r="I54" s="366"/>
      <c r="J54" s="366"/>
      <c r="K54" s="367"/>
      <c r="L54" s="114">
        <f t="shared" ca="1" si="34"/>
        <v>0.15384615384615385</v>
      </c>
      <c r="M54" s="115">
        <f ca="1">SUM(N54:O54)</f>
        <v>6</v>
      </c>
      <c r="N54" s="98">
        <f ca="1">COUNTIFS($I$7:$I$47,"&lt;=21",$U$7:$U$47,"",$K$7:$K$47,"&lt;&gt;X")</f>
        <v>6</v>
      </c>
      <c r="O54" s="50">
        <f ca="1">COUNTIFS($I$7:$I$47,"&gt;21",$U$7:$U$47,"",$K$7:$K$47,"&lt;&gt;X")</f>
        <v>0</v>
      </c>
      <c r="P54" s="114">
        <f t="shared" ca="1" si="35"/>
        <v>0.29729729729729731</v>
      </c>
      <c r="Q54" s="115">
        <f ca="1">COUNTIFS($I$7:$I$47,"&gt;=0",$P$7:$P$47,"",$K$7:$K$47,"&lt;&gt;X")</f>
        <v>11</v>
      </c>
      <c r="R54" s="1" t="s">
        <v>10</v>
      </c>
      <c r="S54" s="1"/>
      <c r="T54" s="140"/>
      <c r="U54" s="1"/>
      <c r="W54" s="11"/>
      <c r="X54" s="11"/>
      <c r="Y54" s="11"/>
      <c r="Z54" s="11"/>
      <c r="AA54" s="11"/>
      <c r="AB54" s="11"/>
      <c r="AC54" s="11"/>
      <c r="AG54" s="11"/>
      <c r="AH54" s="11"/>
      <c r="AI54" s="11"/>
    </row>
    <row r="55" spans="3:35" ht="16.5" thickBot="1">
      <c r="C55" s="361" t="s">
        <v>41</v>
      </c>
      <c r="D55" s="361"/>
      <c r="E55" s="361"/>
      <c r="H55" s="368" t="s">
        <v>71</v>
      </c>
      <c r="I55" s="369"/>
      <c r="J55" s="369"/>
      <c r="K55" s="370"/>
      <c r="L55" s="113">
        <f t="shared" ca="1" si="34"/>
        <v>5.128205128205128E-2</v>
      </c>
      <c r="M55" s="97">
        <f>COUNTIFS($K$7:$K$47,"X")</f>
        <v>2</v>
      </c>
      <c r="N55" s="99"/>
      <c r="O55" s="51"/>
      <c r="P55" s="221"/>
      <c r="Q55" s="222"/>
    </row>
    <row r="56" spans="3:35">
      <c r="C56" s="169" t="s">
        <v>8</v>
      </c>
      <c r="D56" s="1" t="s">
        <v>42</v>
      </c>
    </row>
    <row r="57" spans="3:35">
      <c r="C57" s="169" t="s">
        <v>8</v>
      </c>
      <c r="D57" s="127" t="s">
        <v>43</v>
      </c>
    </row>
    <row r="58" spans="3:35">
      <c r="C58" s="169" t="s">
        <v>8</v>
      </c>
      <c r="D58" s="1" t="s">
        <v>44</v>
      </c>
    </row>
  </sheetData>
  <autoFilter ref="A6:AD47" xr:uid="{4D8E8261-1CEF-42DB-8488-C430D415EC88}">
    <sortState xmlns:xlrd2="http://schemas.microsoft.com/office/spreadsheetml/2017/richdata2" ref="A7:AD33">
      <sortCondition ref="S6:S33"/>
    </sortState>
  </autoFilter>
  <mergeCells count="37">
    <mergeCell ref="AG5:AG6"/>
    <mergeCell ref="AH5:AH6"/>
    <mergeCell ref="AI5:AI6"/>
    <mergeCell ref="H55:K55"/>
    <mergeCell ref="H50:K50"/>
    <mergeCell ref="N49:O49"/>
    <mergeCell ref="AD4:AD5"/>
    <mergeCell ref="H4:H5"/>
    <mergeCell ref="I4:I5"/>
    <mergeCell ref="L4:M4"/>
    <mergeCell ref="N4:O4"/>
    <mergeCell ref="R4:T4"/>
    <mergeCell ref="U4:W4"/>
    <mergeCell ref="K4:K5"/>
    <mergeCell ref="P4:Q4"/>
    <mergeCell ref="J4:J5"/>
    <mergeCell ref="D51:E51"/>
    <mergeCell ref="C55:E55"/>
    <mergeCell ref="H51:K51"/>
    <mergeCell ref="H52:K52"/>
    <mergeCell ref="H49:M49"/>
    <mergeCell ref="H53:K53"/>
    <mergeCell ref="H54:K54"/>
    <mergeCell ref="C52:C53"/>
    <mergeCell ref="D52:E53"/>
    <mergeCell ref="D50:E50"/>
    <mergeCell ref="P49:Q49"/>
    <mergeCell ref="X4:Y4"/>
    <mergeCell ref="Z4:AC4"/>
    <mergeCell ref="A4:A5"/>
    <mergeCell ref="D4:D5"/>
    <mergeCell ref="E4:E5"/>
    <mergeCell ref="F4:F5"/>
    <mergeCell ref="G4:G5"/>
    <mergeCell ref="C4:C5"/>
    <mergeCell ref="D49:E49"/>
    <mergeCell ref="B4:B5"/>
  </mergeCells>
  <phoneticPr fontId="5" type="noConversion"/>
  <conditionalFormatting sqref="A7:AD47 AG7:AI47">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6" r:id="rId103" xr:uid="{BDBBB1AA-41DD-4769-B198-E0D4B6B569E2}"/>
    <hyperlink ref="C57" r:id="rId104" xr:uid="{174B2EE8-A853-4328-A727-C5D3FC38F2B6}"/>
    <hyperlink ref="C58"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s>
  <pageMargins left="0.25" right="0.17" top="0.5" bottom="0.25" header="0.3" footer="0.3"/>
  <pageSetup paperSize="9" scale="29" orientation="landscape" horizontalDpi="300" verticalDpi="300" r:id="rId15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zoomScale="85" zoomScaleNormal="85" zoomScaleSheetLayoutView="85" workbookViewId="0">
      <pane xSplit="5" ySplit="6" topLeftCell="F127" activePane="bottomRight" state="frozen"/>
      <selection pane="topRight" activeCell="D1" sqref="D1"/>
      <selection pane="bottomLeft" activeCell="A7" sqref="A7"/>
      <selection pane="bottomRight" activeCell="O131" sqref="O131"/>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46321</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391" t="s">
        <v>45</v>
      </c>
      <c r="D4" s="352" t="s">
        <v>46</v>
      </c>
      <c r="E4" s="381" t="s">
        <v>47</v>
      </c>
      <c r="F4" s="352" t="s">
        <v>4</v>
      </c>
      <c r="G4" s="383" t="s">
        <v>5</v>
      </c>
      <c r="H4" s="385" t="s">
        <v>48</v>
      </c>
      <c r="I4" s="387" t="s">
        <v>49</v>
      </c>
      <c r="J4" s="352" t="s">
        <v>78</v>
      </c>
      <c r="K4" s="385" t="s">
        <v>80</v>
      </c>
      <c r="L4" s="389" t="s">
        <v>53</v>
      </c>
      <c r="M4" s="379"/>
      <c r="N4" s="389" t="s">
        <v>55</v>
      </c>
      <c r="O4" s="379"/>
      <c r="P4" s="389" t="s">
        <v>72</v>
      </c>
      <c r="Q4" s="379"/>
      <c r="R4" s="390" t="s">
        <v>53</v>
      </c>
      <c r="S4" s="390"/>
      <c r="T4" s="379"/>
      <c r="U4" s="389" t="s">
        <v>55</v>
      </c>
      <c r="V4" s="390"/>
      <c r="W4" s="390"/>
      <c r="X4" s="393" t="s">
        <v>72</v>
      </c>
      <c r="Y4" s="394"/>
      <c r="Z4" s="379" t="s">
        <v>79</v>
      </c>
    </row>
    <row r="5" spans="1:26" ht="72" customHeight="1">
      <c r="A5" s="349"/>
      <c r="B5" s="349"/>
      <c r="C5" s="392"/>
      <c r="D5" s="353"/>
      <c r="E5" s="382"/>
      <c r="F5" s="353"/>
      <c r="G5" s="384"/>
      <c r="H5" s="386"/>
      <c r="I5" s="388"/>
      <c r="J5" s="353"/>
      <c r="K5" s="386"/>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80"/>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31.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887</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510</v>
      </c>
      <c r="J39" s="47">
        <f t="shared" ca="1" si="10"/>
        <v>489</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888</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889</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890</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891</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47.25">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286</v>
      </c>
      <c r="J70" s="47">
        <f t="shared" ref="J70:J78" ca="1" si="15">IF(($I70-21)&gt;0,$I70-21,0)</f>
        <v>265</v>
      </c>
      <c r="K70" s="164"/>
      <c r="L70" s="40"/>
      <c r="M70" s="41"/>
      <c r="N70" s="40"/>
      <c r="O70" s="41"/>
      <c r="P70" s="40"/>
      <c r="Q70" s="154"/>
      <c r="R70" s="27">
        <v>46030</v>
      </c>
      <c r="S70" s="27">
        <v>46030</v>
      </c>
      <c r="T70" s="188">
        <v>46035</v>
      </c>
      <c r="U70" s="29"/>
      <c r="V70" s="211"/>
      <c r="W70" s="235" t="s">
        <v>240</v>
      </c>
      <c r="X70" s="230"/>
      <c r="Y70" s="19"/>
      <c r="Z70" s="92" t="s">
        <v>1021</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1114</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31" si="23">IF($T80=0,$S80+22,$T80+21)</f>
        <v>45945</v>
      </c>
      <c r="F80" s="31" t="s">
        <v>629</v>
      </c>
      <c r="G80" s="21" t="s">
        <v>630</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31"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898</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895</v>
      </c>
      <c r="G97" s="21" t="s">
        <v>896</v>
      </c>
      <c r="H97" s="138"/>
      <c r="I97" s="164">
        <f t="shared" ca="1" si="24"/>
        <v>125</v>
      </c>
      <c r="J97" s="47">
        <f t="shared" ca="1" si="25"/>
        <v>104</v>
      </c>
      <c r="K97" s="164"/>
      <c r="L97" s="40" t="s">
        <v>8</v>
      </c>
      <c r="M97" s="41" t="s">
        <v>8</v>
      </c>
      <c r="N97" s="40"/>
      <c r="O97" s="41"/>
      <c r="P97" s="40"/>
      <c r="Q97" s="154"/>
      <c r="R97" s="27">
        <v>46169</v>
      </c>
      <c r="S97" s="27">
        <v>46169</v>
      </c>
      <c r="T97" s="188">
        <v>46196</v>
      </c>
      <c r="U97" s="29"/>
      <c r="V97" s="211"/>
      <c r="W97" s="235"/>
      <c r="X97" s="230"/>
      <c r="Y97" s="19"/>
      <c r="Z97" s="92" t="s">
        <v>894</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928</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929</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936</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921</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136</v>
      </c>
      <c r="J112" s="47">
        <f t="shared" ca="1" si="25"/>
        <v>115</v>
      </c>
      <c r="K112" s="164" t="s">
        <v>13</v>
      </c>
      <c r="L112" s="40" t="s">
        <v>8</v>
      </c>
      <c r="M112" s="41" t="s">
        <v>8</v>
      </c>
      <c r="N112" s="40"/>
      <c r="O112" s="41"/>
      <c r="P112" s="40"/>
      <c r="Q112" s="154"/>
      <c r="R112" s="27">
        <v>46185</v>
      </c>
      <c r="S112" s="27">
        <v>46185</v>
      </c>
      <c r="T112" s="188">
        <v>46185</v>
      </c>
      <c r="U112" s="333"/>
      <c r="V112" s="333"/>
      <c r="W112" s="235"/>
      <c r="X112" s="230"/>
      <c r="Y112" s="19"/>
      <c r="Z112" s="92" t="s">
        <v>897</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76</v>
      </c>
      <c r="J113" s="47">
        <f t="shared" ca="1" si="25"/>
        <v>55</v>
      </c>
      <c r="K113" s="164"/>
      <c r="L113" s="40" t="s">
        <v>8</v>
      </c>
      <c r="M113" s="41" t="s">
        <v>8</v>
      </c>
      <c r="N113" s="40"/>
      <c r="O113" s="41"/>
      <c r="P113" s="40"/>
      <c r="Q113" s="154"/>
      <c r="R113" s="27">
        <v>46192</v>
      </c>
      <c r="S113" s="27">
        <v>46192</v>
      </c>
      <c r="T113" s="188">
        <v>46245</v>
      </c>
      <c r="U113" s="29"/>
      <c r="V113" s="211"/>
      <c r="W113" s="331" t="s">
        <v>240</v>
      </c>
      <c r="X113" s="230"/>
      <c r="Y113" s="19"/>
      <c r="Z113" s="92" t="s">
        <v>1016</v>
      </c>
    </row>
    <row r="114" spans="1:26" s="9" customFormat="1" ht="63">
      <c r="A114" s="33">
        <f t="shared" si="29"/>
        <v>108</v>
      </c>
      <c r="B114" s="33" t="str">
        <f t="shared" ref="B114" si="46">MID(D114, FIND("-", D114) + 1, 4)</f>
        <v>5.11</v>
      </c>
      <c r="C114" s="164" t="s">
        <v>621</v>
      </c>
      <c r="D114" s="25" t="s">
        <v>892</v>
      </c>
      <c r="E114" s="174">
        <f t="shared" si="23"/>
        <v>46217</v>
      </c>
      <c r="F114" s="31" t="s">
        <v>675</v>
      </c>
      <c r="G114" s="21" t="s">
        <v>893</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903</v>
      </c>
      <c r="E115" s="174">
        <f t="shared" si="23"/>
        <v>46266</v>
      </c>
      <c r="F115" s="31" t="s">
        <v>904</v>
      </c>
      <c r="G115" s="21" t="s">
        <v>905</v>
      </c>
      <c r="H115" s="138"/>
      <c r="I115" s="164">
        <f t="shared" ca="1" si="24"/>
        <v>76</v>
      </c>
      <c r="J115" s="47">
        <f t="shared" ca="1" si="25"/>
        <v>55</v>
      </c>
      <c r="K115" s="164"/>
      <c r="L115" s="40" t="s">
        <v>8</v>
      </c>
      <c r="M115" s="41"/>
      <c r="N115" s="40"/>
      <c r="O115" s="41"/>
      <c r="P115" s="40"/>
      <c r="Q115" s="154"/>
      <c r="R115" s="27">
        <v>46199</v>
      </c>
      <c r="S115" s="27">
        <v>46199</v>
      </c>
      <c r="T115" s="188">
        <v>46245</v>
      </c>
      <c r="U115" s="29"/>
      <c r="V115" s="211"/>
      <c r="W115" s="235"/>
      <c r="X115" s="230"/>
      <c r="Y115" s="19"/>
      <c r="Z115" s="92" t="s">
        <v>952</v>
      </c>
    </row>
    <row r="116" spans="1:26" s="9" customFormat="1" ht="63">
      <c r="A116" s="33">
        <f t="shared" si="29"/>
        <v>110</v>
      </c>
      <c r="B116" s="33" t="str">
        <f t="shared" ref="B116" si="48">MID(D116, FIND("-", D116) + 1, 4)</f>
        <v>5.11</v>
      </c>
      <c r="C116" s="164" t="s">
        <v>144</v>
      </c>
      <c r="D116" s="25" t="s">
        <v>849</v>
      </c>
      <c r="E116" s="174">
        <f t="shared" si="23"/>
        <v>46220</v>
      </c>
      <c r="F116" s="31" t="s">
        <v>906</v>
      </c>
      <c r="G116" s="21" t="s">
        <v>907</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926</v>
      </c>
      <c r="D117" s="25" t="s">
        <v>924</v>
      </c>
      <c r="E117" s="174">
        <f t="shared" si="23"/>
        <v>46234</v>
      </c>
      <c r="F117" s="31" t="s">
        <v>925</v>
      </c>
      <c r="G117" s="21" t="s">
        <v>927</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1020</v>
      </c>
    </row>
    <row r="118" spans="1:26" s="9" customFormat="1" ht="94.5">
      <c r="A118" s="33">
        <f t="shared" si="29"/>
        <v>112</v>
      </c>
      <c r="B118" s="33" t="str">
        <f t="shared" ref="B118" si="50">MID(D118, FIND("-", D118) + 1, 4)</f>
        <v>5.11</v>
      </c>
      <c r="C118" s="164" t="s">
        <v>144</v>
      </c>
      <c r="D118" s="25" t="s">
        <v>930</v>
      </c>
      <c r="E118" s="174">
        <f t="shared" si="23"/>
        <v>46237</v>
      </c>
      <c r="F118" s="31" t="s">
        <v>931</v>
      </c>
      <c r="G118" s="21" t="s">
        <v>932</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993</v>
      </c>
    </row>
    <row r="119" spans="1:26" s="9" customFormat="1" ht="63">
      <c r="A119" s="33">
        <f t="shared" si="29"/>
        <v>113</v>
      </c>
      <c r="B119" s="33" t="str">
        <f t="shared" ref="B119" si="51">MID(D119, FIND("-", D119) + 1, 4)</f>
        <v>5.10</v>
      </c>
      <c r="C119" s="164" t="s">
        <v>131</v>
      </c>
      <c r="D119" s="25" t="s">
        <v>938</v>
      </c>
      <c r="E119" s="174">
        <f t="shared" si="23"/>
        <v>46239</v>
      </c>
      <c r="F119" s="31" t="s">
        <v>939</v>
      </c>
      <c r="G119" s="21" t="s">
        <v>940</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1018</v>
      </c>
    </row>
    <row r="120" spans="1:26" s="9" customFormat="1" ht="110.25">
      <c r="A120" s="33">
        <f t="shared" si="29"/>
        <v>114</v>
      </c>
      <c r="B120" s="33" t="str">
        <f t="shared" ref="B120" si="52">MID(D120, FIND("-", D120) + 1, 4)</f>
        <v>5.11</v>
      </c>
      <c r="C120" s="164" t="s">
        <v>943</v>
      </c>
      <c r="D120" s="25" t="s">
        <v>686</v>
      </c>
      <c r="E120" s="174">
        <f t="shared" si="23"/>
        <v>46248</v>
      </c>
      <c r="F120" s="31" t="s">
        <v>941</v>
      </c>
      <c r="G120" s="21" t="s">
        <v>942</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1019</v>
      </c>
    </row>
    <row r="121" spans="1:26" s="9" customFormat="1" ht="141.75">
      <c r="A121" s="33">
        <f t="shared" si="29"/>
        <v>115</v>
      </c>
      <c r="B121" s="33" t="str">
        <f t="shared" ref="B121" si="53">MID(D121, FIND("-", D121) + 1, 4)</f>
        <v>5.11</v>
      </c>
      <c r="C121" s="164" t="s">
        <v>656</v>
      </c>
      <c r="D121" s="25" t="s">
        <v>951</v>
      </c>
      <c r="E121" s="174">
        <f t="shared" si="23"/>
        <v>46265</v>
      </c>
      <c r="F121" s="31" t="s">
        <v>949</v>
      </c>
      <c r="G121" s="21" t="s">
        <v>950</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978</v>
      </c>
      <c r="X121" s="230"/>
      <c r="Y121" s="19"/>
      <c r="Z121" s="92" t="s">
        <v>1013</v>
      </c>
    </row>
    <row r="122" spans="1:26" s="9" customFormat="1" ht="31.5">
      <c r="A122" s="33">
        <f t="shared" si="29"/>
        <v>116</v>
      </c>
      <c r="B122" s="33" t="str">
        <f t="shared" ref="B122" si="54">MID(D122, FIND("-", D122) + 1, 4)</f>
        <v>5.11</v>
      </c>
      <c r="C122" s="164"/>
      <c r="D122" s="25" t="s">
        <v>953</v>
      </c>
      <c r="E122" s="174">
        <f t="shared" si="23"/>
        <v>46267</v>
      </c>
      <c r="F122" s="31" t="s">
        <v>954</v>
      </c>
      <c r="G122" s="21" t="s">
        <v>955</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1015</v>
      </c>
    </row>
    <row r="123" spans="1:26" s="9" customFormat="1" ht="47.25">
      <c r="A123" s="33">
        <f t="shared" si="29"/>
        <v>117</v>
      </c>
      <c r="B123" s="33" t="str">
        <f t="shared" ref="B123:B124" si="55">MID(D123, FIND("-", D123) + 1, 4)</f>
        <v>5.10</v>
      </c>
      <c r="C123" s="164" t="s">
        <v>131</v>
      </c>
      <c r="D123" s="25" t="s">
        <v>969</v>
      </c>
      <c r="E123" s="174">
        <f t="shared" si="23"/>
        <v>46280</v>
      </c>
      <c r="F123" s="31" t="s">
        <v>970</v>
      </c>
      <c r="G123" s="21" t="s">
        <v>971</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969</v>
      </c>
      <c r="E124" s="174">
        <f t="shared" si="23"/>
        <v>46314</v>
      </c>
      <c r="F124" s="31" t="s">
        <v>970</v>
      </c>
      <c r="G124" s="21" t="s">
        <v>971</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1028</v>
      </c>
    </row>
    <row r="125" spans="1:26" s="9" customFormat="1" ht="63">
      <c r="A125" s="33">
        <f t="shared" si="29"/>
        <v>119</v>
      </c>
      <c r="B125" s="33" t="str">
        <f t="shared" ref="B125" si="56">MID(D125, FIND("-", D125) + 1, 4)</f>
        <v>5.10</v>
      </c>
      <c r="C125" s="164" t="s">
        <v>131</v>
      </c>
      <c r="D125" s="25" t="s">
        <v>1006</v>
      </c>
      <c r="E125" s="174">
        <f t="shared" si="23"/>
        <v>46316</v>
      </c>
      <c r="F125" s="31" t="s">
        <v>1007</v>
      </c>
      <c r="G125" s="21" t="s">
        <v>1008</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1064</v>
      </c>
    </row>
    <row r="126" spans="1:26" s="9" customFormat="1" ht="78.75">
      <c r="A126" s="33">
        <f t="shared" si="29"/>
        <v>120</v>
      </c>
      <c r="B126" s="33" t="str">
        <f t="shared" ref="B126" si="57">MID(D126, FIND("-", D126) + 1, 4)</f>
        <v>5.11</v>
      </c>
      <c r="C126" s="164" t="s">
        <v>621</v>
      </c>
      <c r="D126" s="25" t="s">
        <v>1048</v>
      </c>
      <c r="E126" s="174">
        <f t="shared" si="23"/>
        <v>46323</v>
      </c>
      <c r="F126" s="31" t="s">
        <v>1049</v>
      </c>
      <c r="G126" s="21" t="s">
        <v>1050</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1066</v>
      </c>
    </row>
    <row r="127" spans="1:26" s="9" customFormat="1" ht="47.25">
      <c r="A127" s="33">
        <f t="shared" si="29"/>
        <v>121</v>
      </c>
      <c r="B127" s="33" t="str">
        <f t="shared" ref="B127" si="58">MID(D127, FIND("-", D127) + 1, 4)</f>
        <v>5.11</v>
      </c>
      <c r="C127" s="164"/>
      <c r="D127" s="25" t="s">
        <v>1053</v>
      </c>
      <c r="E127" s="174">
        <f t="shared" si="23"/>
        <v>46325</v>
      </c>
      <c r="F127" s="31" t="s">
        <v>1054</v>
      </c>
      <c r="G127" s="21" t="s">
        <v>1055</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1094</v>
      </c>
    </row>
    <row r="128" spans="1:26" s="9" customFormat="1" ht="47.25">
      <c r="A128" s="33">
        <f t="shared" si="29"/>
        <v>122</v>
      </c>
      <c r="B128" s="33" t="str">
        <f t="shared" ref="B128" si="59">MID(D128, FIND("-", D128) + 1, 4)</f>
        <v>5.11</v>
      </c>
      <c r="C128" s="164" t="s">
        <v>621</v>
      </c>
      <c r="D128" s="25" t="s">
        <v>1060</v>
      </c>
      <c r="E128" s="174">
        <f t="shared" si="23"/>
        <v>46330</v>
      </c>
      <c r="F128" s="31" t="s">
        <v>1061</v>
      </c>
      <c r="G128" s="21" t="s">
        <v>1062</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1095</v>
      </c>
    </row>
    <row r="129" spans="1:26" s="9" customFormat="1" ht="63">
      <c r="A129" s="33">
        <f t="shared" si="29"/>
        <v>123</v>
      </c>
      <c r="B129" s="33" t="str">
        <f t="shared" ref="B129" si="60">MID(D129, FIND("-", D129) + 1, 4)</f>
        <v>5.10</v>
      </c>
      <c r="C129" s="164" t="s">
        <v>195</v>
      </c>
      <c r="D129" s="25" t="s">
        <v>1085</v>
      </c>
      <c r="E129" s="174">
        <f t="shared" si="23"/>
        <v>46332</v>
      </c>
      <c r="F129" s="31" t="s">
        <v>1086</v>
      </c>
      <c r="G129" s="21" t="s">
        <v>1087</v>
      </c>
      <c r="H129" s="138"/>
      <c r="I129" s="164">
        <f t="shared" ca="1" si="24"/>
        <v>10</v>
      </c>
      <c r="J129" s="47">
        <f t="shared" ca="1" si="25"/>
        <v>0</v>
      </c>
      <c r="K129" s="164"/>
      <c r="L129" s="40" t="s">
        <v>8</v>
      </c>
      <c r="M129" s="41"/>
      <c r="N129" s="40"/>
      <c r="O129" s="41"/>
      <c r="P129" s="40"/>
      <c r="Q129" s="154"/>
      <c r="R129" s="27">
        <v>46311</v>
      </c>
      <c r="S129" s="27">
        <v>46311</v>
      </c>
      <c r="T129" s="188">
        <v>46311</v>
      </c>
      <c r="U129" s="29"/>
      <c r="V129" s="211"/>
      <c r="W129" s="235"/>
      <c r="X129" s="230"/>
      <c r="Y129" s="19"/>
      <c r="Z129" s="92" t="s">
        <v>1118</v>
      </c>
    </row>
    <row r="130" spans="1:26" s="9" customFormat="1" ht="63">
      <c r="A130" s="33">
        <f t="shared" si="29"/>
        <v>124</v>
      </c>
      <c r="B130" s="33" t="str">
        <f t="shared" ref="B130" si="61">MID(D130, FIND("-", D130) + 1, 4)</f>
        <v>5.10</v>
      </c>
      <c r="C130" s="164"/>
      <c r="D130" s="25" t="s">
        <v>1105</v>
      </c>
      <c r="E130" s="174">
        <f t="shared" si="23"/>
        <v>46314</v>
      </c>
      <c r="F130" s="31" t="s">
        <v>1106</v>
      </c>
      <c r="G130" s="21" t="s">
        <v>1107</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1108</v>
      </c>
      <c r="X130" s="230"/>
      <c r="Y130" s="19"/>
      <c r="Z130" s="92" t="s">
        <v>1109</v>
      </c>
    </row>
    <row r="131" spans="1:26" s="9" customFormat="1" ht="126">
      <c r="A131" s="33">
        <f t="shared" si="29"/>
        <v>125</v>
      </c>
      <c r="B131" s="33" t="str">
        <f t="shared" ref="B131" si="62">MID(D131, FIND("-", D131) + 1, 4)</f>
        <v>5.11</v>
      </c>
      <c r="C131" s="164"/>
      <c r="D131" s="25" t="s">
        <v>1115</v>
      </c>
      <c r="E131" s="174">
        <f t="shared" si="23"/>
        <v>46339</v>
      </c>
      <c r="F131" s="31" t="s">
        <v>1116</v>
      </c>
      <c r="G131" s="21" t="s">
        <v>1117</v>
      </c>
      <c r="H131" s="138"/>
      <c r="I131" s="164">
        <f t="shared" ca="1" si="24"/>
        <v>3</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354" t="s">
        <v>39</v>
      </c>
      <c r="E135" s="355"/>
      <c r="F135" s="46"/>
      <c r="G135" s="68"/>
      <c r="H135" s="356" t="s">
        <v>14</v>
      </c>
      <c r="I135" s="357"/>
      <c r="J135" s="357"/>
      <c r="K135" s="357"/>
      <c r="L135" s="357"/>
      <c r="M135" s="358"/>
      <c r="N135" s="350" t="s">
        <v>7</v>
      </c>
      <c r="O135" s="351"/>
      <c r="P135" s="350" t="s">
        <v>110</v>
      </c>
      <c r="Q135" s="351"/>
      <c r="R135" s="1"/>
      <c r="S135" s="1"/>
      <c r="T135" s="140"/>
      <c r="U135" s="1"/>
      <c r="W135" s="11"/>
      <c r="X135" s="11"/>
      <c r="Y135" s="11"/>
    </row>
    <row r="136" spans="1:26" ht="16.5" customHeight="1" thickBot="1">
      <c r="C136" s="208" t="s">
        <v>74</v>
      </c>
      <c r="D136" s="371" t="s">
        <v>77</v>
      </c>
      <c r="E136" s="372"/>
      <c r="F136" s="46"/>
      <c r="G136" s="46"/>
      <c r="H136" s="359" t="s">
        <v>17</v>
      </c>
      <c r="I136" s="360"/>
      <c r="J136" s="130"/>
      <c r="K136" s="210"/>
      <c r="L136" s="117">
        <f ca="1">M136/$M$136</f>
        <v>1</v>
      </c>
      <c r="M136" s="104">
        <f ca="1">SUM($M$137:$M$139)</f>
        <v>129</v>
      </c>
      <c r="N136" s="118" t="s">
        <v>15</v>
      </c>
      <c r="O136" s="119" t="s">
        <v>16</v>
      </c>
      <c r="P136" s="117">
        <f ca="1">Q136/$Q$136</f>
        <v>1</v>
      </c>
      <c r="Q136" s="104">
        <f ca="1">SUM(Q137:Q138)</f>
        <v>111</v>
      </c>
      <c r="R136" s="1"/>
      <c r="S136" s="1"/>
      <c r="T136" s="140"/>
      <c r="U136" s="1"/>
      <c r="W136" s="11"/>
      <c r="X136" s="11"/>
      <c r="Y136" s="11"/>
    </row>
    <row r="137" spans="1:26">
      <c r="C137" s="373" t="s">
        <v>6</v>
      </c>
      <c r="D137" s="371" t="s">
        <v>40</v>
      </c>
      <c r="E137" s="372"/>
      <c r="F137" s="69"/>
      <c r="G137" s="6"/>
      <c r="H137" s="362" t="s">
        <v>69</v>
      </c>
      <c r="I137" s="363"/>
      <c r="J137" s="363"/>
      <c r="K137" s="364"/>
      <c r="L137" s="122">
        <f t="shared" ref="L137:L139" ca="1" si="63">M137/$M$136</f>
        <v>0.83720930232558144</v>
      </c>
      <c r="M137" s="123">
        <f>COUNTIF($H$7:$H$133,"RFCS")</f>
        <v>108</v>
      </c>
      <c r="N137" s="121">
        <f ca="1">COUNTIFS($I$7:$I$133,"&lt;=21",$H$7:$H$133,"RFCS")</f>
        <v>65</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73"/>
      <c r="D138" s="371"/>
      <c r="E138" s="372"/>
      <c r="F138" s="72"/>
      <c r="G138" s="6"/>
      <c r="H138" s="365" t="s">
        <v>70</v>
      </c>
      <c r="I138" s="366"/>
      <c r="J138" s="366"/>
      <c r="K138" s="367"/>
      <c r="L138" s="124">
        <f t="shared" ca="1" si="63"/>
        <v>5.4263565891472867E-2</v>
      </c>
      <c r="M138" s="125">
        <f ca="1">SUM(N138:O138)</f>
        <v>7</v>
      </c>
      <c r="N138" s="98">
        <f ca="1">COUNTIFS($I$7:$I$133,"&lt;=21",$U$7:$U$133,"",$K$7:$K$133,"&lt;&gt;X")</f>
        <v>2</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73" t="s">
        <v>75</v>
      </c>
      <c r="D139" s="375" t="s">
        <v>76</v>
      </c>
      <c r="E139" s="376"/>
      <c r="H139" s="368" t="s">
        <v>71</v>
      </c>
      <c r="I139" s="369"/>
      <c r="J139" s="369"/>
      <c r="K139" s="370"/>
      <c r="L139" s="126">
        <f t="shared" ca="1" si="63"/>
        <v>0.10852713178294573</v>
      </c>
      <c r="M139" s="116">
        <f>COUNTIFS($K$7:$K$133,"X")</f>
        <v>14</v>
      </c>
      <c r="N139" s="99"/>
      <c r="O139" s="51"/>
      <c r="P139" s="223"/>
      <c r="Q139" s="224"/>
    </row>
    <row r="140" spans="1:26" ht="16.5" thickBot="1">
      <c r="C140" s="374"/>
      <c r="D140" s="377"/>
      <c r="E140" s="378"/>
    </row>
    <row r="142" spans="1:26">
      <c r="C142" s="361" t="s">
        <v>41</v>
      </c>
      <c r="D142" s="361"/>
      <c r="E142" s="361"/>
    </row>
    <row r="143" spans="1:26">
      <c r="C143" s="169" t="s">
        <v>8</v>
      </c>
      <c r="D143" s="1" t="s">
        <v>42</v>
      </c>
    </row>
    <row r="144" spans="1:26">
      <c r="C144" s="169" t="s">
        <v>8</v>
      </c>
      <c r="D144" s="127" t="s">
        <v>43</v>
      </c>
    </row>
    <row r="145" spans="3:4">
      <c r="C145" s="169" t="s">
        <v>8</v>
      </c>
      <c r="D145" s="1" t="s">
        <v>44</v>
      </c>
    </row>
  </sheetData>
  <autoFilter ref="A6:Z130"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6:I136"/>
    <mergeCell ref="C142:E142"/>
    <mergeCell ref="H137:K137"/>
    <mergeCell ref="H138:K138"/>
    <mergeCell ref="H139:K139"/>
    <mergeCell ref="D136:E136"/>
    <mergeCell ref="C137:C138"/>
    <mergeCell ref="D137:E138"/>
    <mergeCell ref="C139:C140"/>
    <mergeCell ref="D139:E140"/>
    <mergeCell ref="B4:B5"/>
    <mergeCell ref="P135:Q135"/>
    <mergeCell ref="J4:J5"/>
    <mergeCell ref="D135:E135"/>
    <mergeCell ref="H135:M135"/>
    <mergeCell ref="N135:O135"/>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s>
  <pageMargins left="0.25" right="0.17" top="0.5" bottom="0.25" header="0.3" footer="0.3"/>
  <pageSetup paperSize="9" scale="28" orientation="landscape" horizontalDpi="300" verticalDpi="300" r:id="rId48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30"/>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26" t="s">
        <v>123</v>
      </c>
      <c r="B4" s="385" t="s">
        <v>45</v>
      </c>
      <c r="C4" s="385" t="s">
        <v>95</v>
      </c>
      <c r="D4" s="385" t="s">
        <v>46</v>
      </c>
      <c r="E4" s="352" t="s">
        <v>4</v>
      </c>
      <c r="F4" s="449" t="s">
        <v>5</v>
      </c>
      <c r="G4" s="443" t="s">
        <v>53</v>
      </c>
      <c r="H4" s="443"/>
      <c r="I4" s="444"/>
      <c r="J4" s="445" t="s">
        <v>55</v>
      </c>
      <c r="K4" s="443"/>
      <c r="L4" s="444"/>
      <c r="M4" s="445" t="s">
        <v>72</v>
      </c>
      <c r="N4" s="443"/>
      <c r="O4" s="444"/>
      <c r="P4" s="446" t="s">
        <v>112</v>
      </c>
      <c r="Q4" s="447"/>
      <c r="R4" s="447"/>
      <c r="S4" s="448"/>
    </row>
    <row r="5" spans="1:25" ht="78.75">
      <c r="A5" s="427"/>
      <c r="B5" s="386"/>
      <c r="C5" s="386"/>
      <c r="D5" s="386"/>
      <c r="E5" s="353"/>
      <c r="F5" s="429"/>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9">IF(_xlfn.ANCHORARRAY(D7)="","",_xlfn.SEQUENCE(ROWS(_xlfn.ANCHORARRAY(D7))))</f>
        <v>1</v>
      </c>
      <c r="B7" s="302" t="str" cm="1">
        <f t="array" ref="B7:B29">_xlfn.LET(
_xlpm.x,_xlfn.XLOOKUP(_xlfn.ANCHORARRAY(D7),RFA!$E:$E,RFA!$C:$C,""),
IF(_xlpm.x=0,"",_xlpm.x)
)</f>
        <v>FAS</v>
      </c>
      <c r="C7" s="13" t="str" cm="1">
        <f t="array" ref="C7:C29">_xlfn.LET(
_xlpm.x,_xlfn.XLOOKUP(_xlfn.ANCHORARRAY(D7),RFA!$E:$E,RFA!$D:$D,""),
IF(_xlpm.x=0,"",_xlpm.x)
)</f>
        <v>MAS</v>
      </c>
      <c r="D7" s="282" t="str" cm="1">
        <f t="array" ref="D7:D29">_xlfn._xlws.FILTER(RFA!$E$5:$E$4579, RFA!$AI$5:$AI$4579="YES","")</f>
        <v>LTIA-5.10-VIETUR-70000-RFA-MAS-0088A</v>
      </c>
      <c r="E7" s="303" t="str" cm="1">
        <f t="array" ref="E7:E29">_xlfn.LET(
_xlpm.x,_xlfn.XLOOKUP(_xlfn.ANCHORARRAY(D7),RFA!$E:$E,RFA!$G:$G,""),
IF(_xlpm.x=0,"",_xlpm.x)
)</f>
        <v>Request for approval material cable fire resistant shield for fire alarm system (Belden)</v>
      </c>
      <c r="F7" s="303" t="str" cm="1">
        <f t="array" ref="F7:F29">_xlfn.LET(
_xlpm.x,_xlfn.XLOOKUP(_xlfn.ANCHORARRAY(D7),RFA!$E:$E,RFA!$H:$H,""),
IF(_xlpm.x=0,"",_xlpm.x)
)</f>
        <v>Đề nghị phê duyệt vật liệu cáp chống cháy cho hệ thống báo cháy (Belden)</v>
      </c>
      <c r="G7" s="270" cm="1">
        <f t="array" ref="G7:G29">_xlfn.LET(
_xlpm.x,_xlfn.XLOOKUP(_xlfn.ANCHORARRAY(D7),RFA!$E:$E,RFA!$S:$S,""),
IF(_xlpm.x=0,"",_xlpm.x)
)</f>
        <v>45426</v>
      </c>
      <c r="H7" s="270" cm="1">
        <f t="array" ref="H7:H29">_xlfn.LET(
_xlpm.x,_xlfn.XLOOKUP(_xlfn.ANCHORARRAY(D7),RFA!$E:$E,RFA!$T:$T,""),
IF(_xlpm.x=0,"",_xlpm.x)
)</f>
        <v>45426</v>
      </c>
      <c r="I7" s="264" cm="1">
        <f t="array" ref="I7:I29">_xlfn.LET(
_xlpm.x,_xlfn.XLOOKUP(_xlfn.ANCHORARRAY(D7),RFA!$E:$E,RFA!$U:$U,""),
IF(_xlpm.x=0,"",_xlpm.x)
)</f>
        <v>45426</v>
      </c>
      <c r="J7" s="264" t="str" cm="1">
        <f t="array" ref="J7:J29">_xlfn.LET(
_xlpm.x,_xlfn.XLOOKUP(_xlfn.ANCHORARRAY(D7),RFA!$E:$E,RFA!$I:$I,""),
IF(_xlpm.x=0,"",_xlpm.x)
)</f>
        <v>C</v>
      </c>
      <c r="K7" s="270" cm="1">
        <f t="array" ref="K7:K29">_xlfn.LET(
_xlpm.x,_xlfn.XLOOKUP(_xlfn.ANCHORARRAY(D7),RFA!$E:$E,RFA!$V:$V,""),
IF(_xlpm.x=0,"",_xlpm.x)
)</f>
        <v>45454</v>
      </c>
      <c r="L7" s="264" cm="1">
        <f t="array" ref="L7:L29">_xlfn.LET(
_xlpm.x,_xlfn.XLOOKUP(_xlfn.ANCHORARRAY(D7),RFA!$E:$E,RFA!$W:$W,""),
IF(_xlpm.x=0,"",_xlpm.x)
)</f>
        <v>45455</v>
      </c>
      <c r="M7" s="264" t="str" cm="1">
        <f t="array" ref="M7:M29">_xlfn.LET(
_xlpm.x,_xlfn.XLOOKUP(_xlfn.ANCHORARRAY(D7),RFA!$E:$E,RFA!$R:$R,""),
IF(_xlpm.x=0,"",_xlpm.x)
)</f>
        <v>C</v>
      </c>
      <c r="N7" s="270" cm="1">
        <f t="array" ref="N7:N29">_xlfn.LET(
_xlpm.x,_xlfn.XLOOKUP(_xlfn.ANCHORARRAY(D7),RFA!$E:$E,RFA!$Y:$Y,""),
IF(_xlpm.x=0,"",_xlpm.x)
)</f>
        <v>45456</v>
      </c>
      <c r="O7" s="264" cm="1">
        <f t="array" ref="O7:O29">_xlfn.LET(
_xlpm.x,_xlfn.XLOOKUP(_xlfn.ANCHORARRAY(D7),RFA!$E:$E,RFA!$Z:$Z,""),
IF(_xlpm.x=0,"",_xlpm.x)
)</f>
        <v>45456</v>
      </c>
      <c r="P7" s="264" cm="1">
        <f t="array" ref="P7:P29">_xlfn.LET(
_xlpm.x,_xlfn.XLOOKUP(_xlfn.ANCHORARRAY(D7),RFA!$E:$E,RFA!$AA:$AA,""),
IF(_xlpm.x=0,"",_xlpm.x)
)</f>
        <v>45463</v>
      </c>
      <c r="Q7" s="270" t="str" cm="1">
        <f t="array" ref="Q7:Q29">_xlfn.LET(
_xlpm.x,_xlfn.XLOOKUP(_xlfn.ANCHORARRAY(D7),RFA!$E:$E,RFA!$AB:$AB,""),
IF(_xlpm.x=0,"",_xlpm.x)
)</f>
        <v/>
      </c>
      <c r="R7" s="13" t="str" cm="1">
        <f t="array" ref="R7:R29">_xlfn.LET(
_xlpm.x,_xlfn.XLOOKUP(_xlfn.ANCHORARRAY(D7),RFA!$E:$E,RFA!$AC:$AC,""),
IF(_xlpm.x=0,"",_xlpm.x)
)</f>
        <v>Not submit yet</v>
      </c>
      <c r="S7" s="279" cm="1">
        <f t="array" ref="S7:S29">_xlfn.LET(
_xlpm.x,_xlfn.XLOOKUP(_xlfn.ANCHORARRAY(D7),RFA!$E:$E,RFA!$AD:$AD,""),
IF(_xlpm.x=0,"",_xlpm.x)
)</f>
        <v>858</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823</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521</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402</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342</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319</v>
      </c>
    </row>
    <row r="13" spans="1:25" ht="30">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314</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151</v>
      </c>
    </row>
    <row r="15" spans="1:25" ht="45">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60">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45">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60">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4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7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45">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C</v>
      </c>
      <c r="N22" s="270">
        <v>46282</v>
      </c>
      <c r="O22" s="264">
        <v>46283</v>
      </c>
      <c r="P22" s="264">
        <v>46290</v>
      </c>
      <c r="Q22" s="270" t="str">
        <v/>
      </c>
      <c r="R22" s="13" t="str">
        <v>Not submit yet</v>
      </c>
      <c r="S22" s="279">
        <v>31</v>
      </c>
    </row>
    <row r="23" spans="1:19" ht="60">
      <c r="A23" s="13">
        <v>17</v>
      </c>
      <c r="B23" s="302" t="str">
        <v>FAS</v>
      </c>
      <c r="C23" s="13" t="str">
        <v>OTH</v>
      </c>
      <c r="D23" s="282" t="str">
        <v>LTIA-5.10-VIETUR-70000-RFA-OTH-0733A</v>
      </c>
      <c r="E23" s="303" t="str">
        <v>Request for approval Pre-completion inspection, testing, and commissioning: + Section 70000 – ICT works/ Subsection 72000 – Extra-low Voltage System (ELV) and Communication/ Division 72160 – Fire Alarm System (FAS)</v>
      </c>
      <c r="F23" s="303" t="str">
        <v>Đề nghị phê duyệt Kiểm tra trước khi hoàn thành, thử nghiệm và vận hành: + Phần 70000 – Công tác ICT/ Mục 72000 – Hệ thống điện nhẹ (ELV) &amp; Truyền thông/ Tiểu mục 72160 – Hệ thống báo cháy (FAS)</v>
      </c>
      <c r="G23" s="270">
        <v>46289</v>
      </c>
      <c r="H23" s="270">
        <v>46289</v>
      </c>
      <c r="I23" s="264">
        <v>46289</v>
      </c>
      <c r="J23" s="264" t="str">
        <v>C</v>
      </c>
      <c r="K23" s="270">
        <v>46297</v>
      </c>
      <c r="L23" s="264">
        <v>46300</v>
      </c>
      <c r="M23" s="264" t="str">
        <v/>
      </c>
      <c r="N23" s="270" t="str">
        <v/>
      </c>
      <c r="O23" s="264" t="str">
        <v/>
      </c>
      <c r="P23" s="264">
        <v>46307</v>
      </c>
      <c r="Q23" s="270" t="str">
        <v/>
      </c>
      <c r="R23" s="13" t="str">
        <v/>
      </c>
      <c r="S23" s="279" t="str">
        <v/>
      </c>
    </row>
    <row r="24" spans="1:19" ht="105">
      <c r="A24" s="13">
        <v>18</v>
      </c>
      <c r="B24" s="302" t="str">
        <v>PMR</v>
      </c>
      <c r="C24" s="13" t="str">
        <v>MSS</v>
      </c>
      <c r="D24" s="282" t="str">
        <v>LTIA-5.11- LTICT- 72100-RFA-MSS-0002</v>
      </c>
      <c r="E24" s="303" t="str">
        <v>Request for Approval of the Method Statement for the PMR Radio System</v>
      </c>
      <c r="F24" s="303" t="str">
        <v>Yêu cầu phê duyệt Biện pháp thi công cho hệ thống Bộ đàm (PMR)</v>
      </c>
      <c r="G24" s="270">
        <v>46298</v>
      </c>
      <c r="H24" s="270">
        <v>46298</v>
      </c>
      <c r="I24" s="264">
        <v>46302</v>
      </c>
      <c r="J24" s="264" t="str">
        <v>C</v>
      </c>
      <c r="K24" s="270" t="str">
        <v/>
      </c>
      <c r="L24" s="264" t="str">
        <v/>
      </c>
      <c r="M24" s="264" t="str">
        <v/>
      </c>
      <c r="N24" s="270" t="str">
        <v/>
      </c>
      <c r="O24" s="264" t="str">
        <v/>
      </c>
      <c r="P24" s="264" t="str">
        <v/>
      </c>
      <c r="Q24" s="270" t="str">
        <v/>
      </c>
      <c r="R24" s="13" t="str">
        <v/>
      </c>
      <c r="S24" s="279" t="str">
        <v/>
      </c>
    </row>
    <row r="25" spans="1:19" ht="30">
      <c r="A25" s="13">
        <v>19</v>
      </c>
      <c r="B25" s="302" t="str">
        <v>SCS</v>
      </c>
      <c r="C25" s="13" t="str">
        <v>MSS</v>
      </c>
      <c r="D25" s="282" t="str">
        <v>LTIA-5.11-LTICT- 72010 -RFA-MSS-0003</v>
      </c>
      <c r="E25" s="303" t="str">
        <v>Request for Approval of the Method Statement for the Structured Cable System</v>
      </c>
      <c r="F25" s="303" t="str">
        <v>Yêu cầu phê duyệt Biện pháp thi công cho hệ thống Cáp cấu trúc (SCS)</v>
      </c>
      <c r="G25" s="270">
        <v>46300</v>
      </c>
      <c r="H25" s="270">
        <v>46300</v>
      </c>
      <c r="I25" s="264">
        <v>46302</v>
      </c>
      <c r="J25" s="264" t="str">
        <v>C</v>
      </c>
      <c r="K25" s="270" t="str">
        <v/>
      </c>
      <c r="L25" s="264" t="str">
        <v/>
      </c>
      <c r="M25" s="264" t="str">
        <v/>
      </c>
      <c r="N25" s="270" t="str">
        <v/>
      </c>
      <c r="O25" s="264" t="str">
        <v/>
      </c>
      <c r="P25" s="264" t="str">
        <v/>
      </c>
      <c r="Q25" s="270" t="str">
        <v/>
      </c>
      <c r="R25" s="13" t="str">
        <v/>
      </c>
      <c r="S25" s="279" t="str">
        <v/>
      </c>
    </row>
    <row r="26" spans="1:19" ht="45">
      <c r="A26" s="13">
        <v>20</v>
      </c>
      <c r="B26" s="302" t="str">
        <v>CCTV</v>
      </c>
      <c r="C26" s="13" t="str">
        <v>MSS</v>
      </c>
      <c r="D26" s="282" t="str">
        <v>LTIA-5.11-LTICT- 72120 -RFA-MSS-0004</v>
      </c>
      <c r="E26" s="303" t="str">
        <v>Request for Approval of the Method Statement for the CCTV System</v>
      </c>
      <c r="F26" s="303" t="str">
        <v>Yêu cầu phê duyệt Biện pháp thi công cho hệ thống Camera giám sát (CCTV)</v>
      </c>
      <c r="G26" s="270">
        <v>46300</v>
      </c>
      <c r="H26" s="270">
        <v>46300</v>
      </c>
      <c r="I26" s="264">
        <v>46300</v>
      </c>
      <c r="J26" s="264" t="str">
        <v>C</v>
      </c>
      <c r="K26" s="270">
        <v>46314</v>
      </c>
      <c r="L26" s="264">
        <v>46317</v>
      </c>
      <c r="M26" s="264" t="str">
        <v/>
      </c>
      <c r="N26" s="270" t="str">
        <v/>
      </c>
      <c r="O26" s="264" t="str">
        <v/>
      </c>
      <c r="P26" s="264">
        <v>46324</v>
      </c>
      <c r="Q26" s="270" t="str">
        <v/>
      </c>
      <c r="R26" s="13" t="str">
        <v/>
      </c>
      <c r="S26" s="279" t="str">
        <v/>
      </c>
    </row>
    <row r="27" spans="1:19" ht="30">
      <c r="A27" s="13">
        <v>21</v>
      </c>
      <c r="B27" s="302" t="str">
        <v>AGAC</v>
      </c>
      <c r="C27" s="13" t="str">
        <v>MSS</v>
      </c>
      <c r="D27" s="282" t="str">
        <v>LTIA-5.11-LTICT-70100-RFA-MSS-0007</v>
      </c>
      <c r="E27" s="303" t="str">
        <v>Request for Approval of the Method Statement for the AGAC System</v>
      </c>
      <c r="F27" s="303" t="str">
        <v>Yêu cầu phê duyệt Biện pháp thi công cho hệ thống cửa truy cập tự động (AGAC)</v>
      </c>
      <c r="G27" s="270">
        <v>46301</v>
      </c>
      <c r="H27" s="270">
        <v>46301</v>
      </c>
      <c r="I27" s="264">
        <v>46302</v>
      </c>
      <c r="J27" s="264" t="str">
        <v>C</v>
      </c>
      <c r="K27" s="270">
        <v>46314</v>
      </c>
      <c r="L27" s="264">
        <v>46317</v>
      </c>
      <c r="M27" s="264" t="str">
        <v/>
      </c>
      <c r="N27" s="270" t="str">
        <v/>
      </c>
      <c r="O27" s="264" t="str">
        <v/>
      </c>
      <c r="P27" s="264">
        <v>46324</v>
      </c>
      <c r="Q27" s="270" t="str">
        <v/>
      </c>
      <c r="R27" s="13" t="str">
        <v/>
      </c>
      <c r="S27" s="279" t="str">
        <v/>
      </c>
    </row>
    <row r="28" spans="1:19" ht="45">
      <c r="A28" s="13">
        <v>22</v>
      </c>
      <c r="B28" s="302" t="str">
        <v>Smart Parking</v>
      </c>
      <c r="C28" s="13" t="str">
        <v>MSS</v>
      </c>
      <c r="D28" s="282" t="str">
        <v>LTIA-5.11-LTICT- 72190 -RFA-MSS-0005</v>
      </c>
      <c r="E28" s="303" t="str">
        <v>Request for Approval of the Method Statement for the Smart Parking System</v>
      </c>
      <c r="F28" s="303" t="str">
        <v>Yêu cầu phê duyệt Biện pháp thi công cho hệ thống Bãi đỗ xe thông minh</v>
      </c>
      <c r="G28" s="270">
        <v>46301</v>
      </c>
      <c r="H28" s="270">
        <v>46301</v>
      </c>
      <c r="I28" s="264">
        <v>46301</v>
      </c>
      <c r="J28" s="264" t="str">
        <v>C</v>
      </c>
      <c r="K28" s="270" t="str">
        <v/>
      </c>
      <c r="L28" s="264" t="str">
        <v/>
      </c>
      <c r="M28" s="264" t="str">
        <v/>
      </c>
      <c r="N28" s="270" t="str">
        <v/>
      </c>
      <c r="O28" s="264" t="str">
        <v/>
      </c>
      <c r="P28" s="264" t="str">
        <v/>
      </c>
      <c r="Q28" s="270" t="str">
        <v/>
      </c>
      <c r="R28" s="13" t="str">
        <v/>
      </c>
      <c r="S28" s="279" t="str">
        <v/>
      </c>
    </row>
    <row r="29" spans="1:19" ht="45">
      <c r="A29" s="13">
        <v>23</v>
      </c>
      <c r="B29" s="302" t="str">
        <v>TOLL</v>
      </c>
      <c r="C29" s="13" t="str">
        <v>MSS</v>
      </c>
      <c r="D29" s="282" t="str">
        <v>LTIA-5.11-LTICT- 71110 -RFA-MSS-0006</v>
      </c>
      <c r="E29" s="303" t="str">
        <v>Request for Approval of the Method Statement for the Toll Collection System</v>
      </c>
      <c r="F29" s="303" t="str">
        <v>Yêu cầu phê duyệt Biện pháp thi công cho hệ thống Thu phí</v>
      </c>
      <c r="G29" s="270">
        <v>46301</v>
      </c>
      <c r="H29" s="270">
        <v>46301</v>
      </c>
      <c r="I29" s="264">
        <v>46301</v>
      </c>
      <c r="J29" s="264" t="str">
        <v>C</v>
      </c>
      <c r="K29" s="270" t="str">
        <v/>
      </c>
      <c r="L29" s="264" t="str">
        <v/>
      </c>
      <c r="M29" s="264" t="str">
        <v/>
      </c>
      <c r="N29" s="270" t="str">
        <v/>
      </c>
      <c r="O29" s="264" t="str">
        <v/>
      </c>
      <c r="P29" s="264" t="str">
        <v/>
      </c>
      <c r="Q29" s="270" t="str">
        <v/>
      </c>
      <c r="R29" s="13" t="str">
        <v/>
      </c>
      <c r="S29" s="279" t="str">
        <v/>
      </c>
    </row>
    <row r="30" spans="1:19" ht="45"/>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6"/>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26" t="s">
        <v>123</v>
      </c>
      <c r="B4" s="385" t="s">
        <v>45</v>
      </c>
      <c r="C4" s="385" t="s">
        <v>46</v>
      </c>
      <c r="D4" s="390" t="s">
        <v>4</v>
      </c>
      <c r="E4" s="449" t="s">
        <v>5</v>
      </c>
      <c r="F4" s="443" t="s">
        <v>53</v>
      </c>
      <c r="G4" s="443"/>
      <c r="H4" s="444"/>
      <c r="I4" s="445" t="s">
        <v>55</v>
      </c>
      <c r="J4" s="443"/>
      <c r="K4" s="444"/>
      <c r="L4" s="445" t="s">
        <v>72</v>
      </c>
      <c r="M4" s="443"/>
      <c r="N4" s="444"/>
      <c r="O4" s="446" t="s">
        <v>112</v>
      </c>
      <c r="P4" s="447"/>
      <c r="Q4" s="447"/>
      <c r="R4" s="448"/>
    </row>
    <row r="5" spans="1:18" ht="78.75">
      <c r="A5" s="427"/>
      <c r="B5" s="386"/>
      <c r="C5" s="386"/>
      <c r="D5" s="384"/>
      <c r="E5" s="353"/>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6">IF(_xlfn.ANCHORARRAY(C7)="","",_xlfn.SEQUENCE(ROWS(_xlfn.ANCHORARRAY(C7))))</f>
        <v>1</v>
      </c>
      <c r="B7" s="302" t="str" cm="1">
        <f t="array" ref="B7:B16">_xlfn.LET(_xlpm.x,_xlfn.XLOOKUP(_xlfn.ANCHORARRAY(C7),'RFA-SDS'!$D:$D,'RFA-SDS'!$C:$C,""),IF(_xlpm.x=0,"",_xlpm.x))</f>
        <v>FAS
SCS
SCN
DCH
PAS</v>
      </c>
      <c r="C7" s="282" t="str" cm="1">
        <f t="array" ref="C7:C16">_xlfn._xlws.FILTER('RFA-SDS'!$D$5:$D$4874,'RFA-SDS'!$AI$5:$AI$4874="YES","")</f>
        <v>LTIA-5.10-VIETUR-80000-RFA-SDS-0214</v>
      </c>
      <c r="D7" s="303" t="str" cm="1">
        <f t="array" ref="D7:D16">_xlfn.LET(_xlpm.x,_xlfn.XLOOKUP(_xlfn.ANCHORARRAY(C7),'RFA-SDS'!$D:$D,'RFA-SDS'!$F:$F,""),IF(_xlpm.x=0,"",_xlpm.x))</f>
        <v xml:space="preserve">Construction design drawing of  ICT system – part.1: ICT systems for FLB </v>
      </c>
      <c r="E7" s="303" t="str" cm="1">
        <f t="array" ref="E7:E16">_xlfn.LET(_xlpm.x,_xlfn.XLOOKUP(_xlfn.ANCHORARRAY(C7),'RFA-SDS'!$D:$D,'RFA-SDS'!$G:$G,""),IF(_xlpm.x=0,"",_xlpm.x))</f>
        <v>Bản vẽ TKTC cho hệ thống ICT – phần 1 – Hệ thống ICT cho FLB</v>
      </c>
      <c r="F7" s="270" cm="1">
        <f t="array" ref="F7:F16">_xlfn.LET(_xlpm.x,_xlfn.XLOOKUP(_xlfn.ANCHORARRAY(C7),'RFA-SDS'!$D:$D,'RFA-SDS'!$R:$R,""),IF(_xlpm.x=0,"",_xlpm.x))</f>
        <v>45673</v>
      </c>
      <c r="G7" s="270" cm="1">
        <f t="array" ref="G7:G16">_xlfn.LET(_xlpm.x,_xlfn.XLOOKUP(_xlfn.ANCHORARRAY(C7),'RFA-SDS'!$D:$D,'RFA-SDS'!$S:$S,""),IF(_xlpm.x=0,"",_xlpm.x))</f>
        <v>45673</v>
      </c>
      <c r="H7" s="264" cm="1">
        <f t="array" ref="H7:H16">_xlfn.LET(_xlpm.x,_xlfn.XLOOKUP(_xlfn.ANCHORARRAY(C7),'RFA-SDS'!$D:$D,'RFA-SDS'!$T:$T,""),IF(_xlpm.x=0,"",_xlpm.x))</f>
        <v>45699</v>
      </c>
      <c r="I7" s="264" t="str" cm="1">
        <f t="array" ref="I7:I16">_xlfn.LET(_xlpm.x,_xlfn.XLOOKUP(_xlfn.ANCHORARRAY(C7),'RFA-SDS'!$D:$D,'RFA-SDS'!$H:$H,""),IF(_xlpm.x=0,"",_xlpm.x))</f>
        <v>B</v>
      </c>
      <c r="J7" s="270" cm="1">
        <f t="array" ref="J7:J16">_xlfn.LET(_xlpm.x,_xlfn.XLOOKUP(_xlfn.ANCHORARRAY(C7),'RFA-SDS'!$D:$D,'RFA-SDS'!$U:$U,""),IF(_xlpm.x=0,"",_xlpm.x))</f>
        <v>45716</v>
      </c>
      <c r="K7" s="264" cm="1">
        <f t="array" ref="K7:K16">_xlfn.LET(_xlpm.x,_xlfn.XLOOKUP(_xlfn.ANCHORARRAY(C7),'RFA-SDS'!$D:$D,'RFA-SDS'!$V:$V,""),IF(_xlpm.x=0,"",_xlpm.x))</f>
        <v>45741</v>
      </c>
      <c r="L7" s="264" t="str" cm="1">
        <f t="array" ref="L7:L16">_xlfn.LET(_xlpm.x,_xlfn.XLOOKUP(_xlfn.ANCHORARRAY(C7),'RFA-SDS'!$D:$D,'RFA-SDS'!$Q:$Q,""),IF(_xlpm.x=0,"",_xlpm.x))</f>
        <v>B</v>
      </c>
      <c r="M7" s="270" cm="1">
        <f t="array" ref="M7:M16">_xlfn.LET(_xlpm.x,_xlfn.XLOOKUP(_xlfn.ANCHORARRAY(C7),'RFA-SDS'!$D:$D,'RFA-SDS'!$X:$X,""),IF(_xlpm.x=0,"",_xlpm.x))</f>
        <v>45756</v>
      </c>
      <c r="N7" s="264" cm="1">
        <f t="array" ref="N7:N16">_xlfn.LET(_xlpm.x,_xlfn.XLOOKUP(_xlfn.ANCHORARRAY(C7),'RFA-SDS'!$D:$D,'RFA-SDS'!$Y:$Y,""),IF(_xlpm.x=0,"",_xlpm.x))</f>
        <v>45756</v>
      </c>
      <c r="O7" s="264" cm="1">
        <f t="array" ref="O7:O16">_xlfn.LET(_xlpm.x,_xlfn.XLOOKUP(_xlfn.ANCHORARRAY(C7),'RFA-SDS'!$D:$D,'RFA-SDS'!$Z:$Z,""),IF(_xlpm.x=0,"",_xlpm.x))</f>
        <v>45763</v>
      </c>
      <c r="P7" s="270" t="str" cm="1">
        <f t="array" ref="P7:P16">_xlfn.LET(_xlpm.x,_xlfn.XLOOKUP(_xlfn.ANCHORARRAY(C7),'RFA-SDS'!$D:$D,'RFA-SDS'!$AA:$AA,""),IF(_xlpm.x=0,"",_xlpm.x))</f>
        <v/>
      </c>
      <c r="Q7" s="13" t="str" cm="1">
        <f t="array" ref="Q7:Q16">_xlfn.LET(_xlpm.x,_xlfn.XLOOKUP(_xlfn.ANCHORARRAY(C7),'RFA-SDS'!$D:$D,'RFA-SDS'!$AB:$AB,""),IF(_xlpm.x=0,"",_xlpm.x))</f>
        <v>Not submit yet</v>
      </c>
      <c r="R7" s="279" cm="1">
        <f t="array" ref="R7:R16">_xlfn.LET(_xlpm.x,_xlfn.XLOOKUP(_xlfn.ANCHORARRAY(C7),'RFA-SDS'!$D:$D,'RFA-SDS'!$AC:$AC,""),IF(_xlpm.x=0,"",_xlpm.x))</f>
        <v>555</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465</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v>Not submit yet</v>
      </c>
      <c r="R9" s="279">
        <v>354</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354</v>
      </c>
    </row>
    <row r="11" spans="1:18" ht="75">
      <c r="A11" s="13">
        <v>5</v>
      </c>
      <c r="B11" s="302" t="str">
        <v>FAS</v>
      </c>
      <c r="C11" s="282" t="str">
        <v>LTIA-5.10-VIETUR-80000-RFA-SDS-0140B</v>
      </c>
      <c r="D11" s="303" t="str">
        <v>Construction design drawing of  ICT system – part.1: ICT systems for 2F Level (Re-submission for attachment) 5. Public addressable system-level 2 (attachment 5)</v>
      </c>
      <c r="E11" s="303" t="str">
        <v>Bản vẽ TKTC cho hệ thống ICT – phần 1 – Hệ thống ICT cho tầng 2 (trình cho phần đính kèm số: 5. Hệ thống phát thanh công cộng - tầng 2 (đính kèm 5)</v>
      </c>
      <c r="F11" s="270">
        <v>45908</v>
      </c>
      <c r="G11" s="270">
        <v>45908</v>
      </c>
      <c r="H11" s="264">
        <v>45909</v>
      </c>
      <c r="I11" s="264" t="str">
        <v>B</v>
      </c>
      <c r="J11" s="270">
        <v>45873</v>
      </c>
      <c r="K11" s="264">
        <v>45917</v>
      </c>
      <c r="L11" s="264" t="str">
        <v>B</v>
      </c>
      <c r="M11" s="270">
        <v>46153</v>
      </c>
      <c r="N11" s="264">
        <v>45957</v>
      </c>
      <c r="O11" s="264">
        <v>45964</v>
      </c>
      <c r="P11" s="270" t="str">
        <v/>
      </c>
      <c r="Q11" s="13" t="str">
        <v>Not submit yet</v>
      </c>
      <c r="R11" s="279">
        <v>354</v>
      </c>
    </row>
    <row r="12" spans="1:18" ht="45">
      <c r="A12" s="13">
        <v>6</v>
      </c>
      <c r="B12" s="302" t="str">
        <v>ACS</v>
      </c>
      <c r="C12" s="282" t="str">
        <v>LTIA-5.10-VIETUR-80000-RFA-SDS-0371</v>
      </c>
      <c r="D12" s="303" t="str">
        <v xml:space="preserve">Construction design drawing of  ICT system – part.1: ICT systems for Duress Button Drawings. </v>
      </c>
      <c r="E12" s="303" t="str">
        <v>Bản vẽ TKTC cho hệ thống ICT – phần 1 – Hệ thống ICT cho hệ thống nút nhấn khẩn cấp.</v>
      </c>
      <c r="F12" s="270">
        <v>45930</v>
      </c>
      <c r="G12" s="270">
        <v>45930</v>
      </c>
      <c r="H12" s="264">
        <v>45932</v>
      </c>
      <c r="I12" s="264" t="str">
        <v>B</v>
      </c>
      <c r="J12" s="270">
        <v>45940</v>
      </c>
      <c r="K12" s="264">
        <v>45945</v>
      </c>
      <c r="L12" s="264" t="str">
        <v>B</v>
      </c>
      <c r="M12" s="270">
        <v>45978</v>
      </c>
      <c r="N12" s="264">
        <v>45979</v>
      </c>
      <c r="O12" s="264">
        <v>45986</v>
      </c>
      <c r="P12" s="270" t="str">
        <v/>
      </c>
      <c r="Q12" s="13" t="str">
        <v>Not submit yet</v>
      </c>
      <c r="R12" s="279">
        <v>332</v>
      </c>
    </row>
    <row r="13" spans="1:18" ht="60">
      <c r="A13" s="13">
        <v>7</v>
      </c>
      <c r="B13" s="302" t="str">
        <v>PAS</v>
      </c>
      <c r="C13" s="282" t="str">
        <v>LTIA-5.10-VIETUR-80000-RFA-SDS-0394</v>
      </c>
      <c r="D13" s="303" t="str">
        <v>Construction design drawing of  ICT system – part.1: ICT systems for Schematic Diagram Public Address System (PAS)</v>
      </c>
      <c r="E13" s="303" t="str">
        <v>Bản vẽ TKTC cho hệ thống ICT – phần 1 – Hệ thống ICT cho SDNL hệ thống Phát Thanh</v>
      </c>
      <c r="F13" s="270">
        <v>45965</v>
      </c>
      <c r="G13" s="270">
        <v>45965</v>
      </c>
      <c r="H13" s="264">
        <v>45966</v>
      </c>
      <c r="I13" s="264" t="str">
        <v>C</v>
      </c>
      <c r="J13" s="270">
        <v>45979</v>
      </c>
      <c r="K13" s="264">
        <v>45994</v>
      </c>
      <c r="L13" s="264" t="str">
        <v>C</v>
      </c>
      <c r="M13" s="270">
        <v>46146</v>
      </c>
      <c r="N13" s="264">
        <v>46136</v>
      </c>
      <c r="O13" s="264">
        <v>46143</v>
      </c>
      <c r="P13" s="270">
        <v>46268</v>
      </c>
      <c r="Q13" s="13" t="str">
        <v>Late Resubmission</v>
      </c>
      <c r="R13" s="279">
        <v>125</v>
      </c>
    </row>
    <row r="14" spans="1:18" ht="45">
      <c r="A14" s="13">
        <v>8</v>
      </c>
      <c r="B14" s="302" t="str">
        <v>PAS</v>
      </c>
      <c r="C14" s="282" t="str">
        <v>LTIA-5.10-VIETUR-80000-RFA-SDS-0160B</v>
      </c>
      <c r="D14" s="303" t="str">
        <v xml:space="preserve">Construction design drawing of  ICT system – part.1: ICT systems for GF Level </v>
      </c>
      <c r="E14" s="303" t="str">
        <v>Bản vẽ TKTC cho hệ thống ICT – phần 1 – Hệ thống ICT cho tầng GF</v>
      </c>
      <c r="F14" s="270">
        <v>45972</v>
      </c>
      <c r="G14" s="270">
        <v>45972</v>
      </c>
      <c r="H14" s="264">
        <v>45972</v>
      </c>
      <c r="I14" s="264" t="str">
        <v>B</v>
      </c>
      <c r="J14" s="270">
        <v>45982</v>
      </c>
      <c r="K14" s="264">
        <v>45982</v>
      </c>
      <c r="L14" s="264" t="str">
        <v>B</v>
      </c>
      <c r="M14" s="270">
        <v>45995</v>
      </c>
      <c r="N14" s="264">
        <v>45999</v>
      </c>
      <c r="O14" s="264">
        <v>46006</v>
      </c>
      <c r="P14" s="270" t="str">
        <v/>
      </c>
      <c r="Q14" s="13" t="str">
        <v>Not submit yet</v>
      </c>
      <c r="R14" s="279">
        <v>312</v>
      </c>
    </row>
    <row r="15" spans="1:18" ht="60">
      <c r="A15" s="13">
        <v>9</v>
      </c>
      <c r="B15" s="302" t="str">
        <v>SCS</v>
      </c>
      <c r="C15" s="282" t="str">
        <v>LTIA-5.10-VIETUR-80000-RFA-SDS-0415</v>
      </c>
      <c r="D15" s="303" t="str">
        <v>Construction design drawing of  ICT system – part.1: ICT systems for Power and Loop Cable Layout on Cable Tray</v>
      </c>
      <c r="E15" s="303" t="str">
        <v>Bản vẽ TKTC cho hệ thống ICT – phần 1 – Hệ thống ICT cho Bản Vẽ Dây Nguồn Và Dây Tín Hiệu Loop Trên Máng Cáp</v>
      </c>
      <c r="F15" s="270">
        <v>46014</v>
      </c>
      <c r="G15" s="270">
        <v>46014</v>
      </c>
      <c r="H15" s="264">
        <v>46141</v>
      </c>
      <c r="I15" s="264" t="str">
        <v>C</v>
      </c>
      <c r="J15" s="270">
        <v>46150</v>
      </c>
      <c r="K15" s="264">
        <v>46191</v>
      </c>
      <c r="L15" s="264" t="str">
        <v>C</v>
      </c>
      <c r="M15" s="270">
        <v>46206</v>
      </c>
      <c r="N15" s="264">
        <v>46212</v>
      </c>
      <c r="O15" s="264">
        <v>46219</v>
      </c>
      <c r="P15" s="270" t="str">
        <v/>
      </c>
      <c r="Q15" s="13" t="str">
        <v>Not submit yet</v>
      </c>
      <c r="R15" s="279">
        <v>99</v>
      </c>
    </row>
    <row r="16" spans="1:18" ht="30">
      <c r="A16" s="13">
        <v>10</v>
      </c>
      <c r="B16" s="302" t="str">
        <v>PMR</v>
      </c>
      <c r="C16" s="282" t="str">
        <v>LTIA-5.11-LTICT-72100-RFA-SDS-0001</v>
      </c>
      <c r="D16" s="303" t="str">
        <v>Request for Approval of Construction Drawings for the PMR System</v>
      </c>
      <c r="E16" s="303" t="str">
        <v>Đề nghị phê duyệt bản vẽ thi công cho hệ thống bộ đàm (PMR)</v>
      </c>
      <c r="F16" s="270">
        <v>46283</v>
      </c>
      <c r="G16" s="270">
        <v>46283</v>
      </c>
      <c r="H16" s="264">
        <v>46283</v>
      </c>
      <c r="I16" s="264" t="str">
        <v>C</v>
      </c>
      <c r="J16" s="270">
        <v>46304</v>
      </c>
      <c r="K16" s="264">
        <v>46304</v>
      </c>
      <c r="L16" s="264" t="str">
        <v>C</v>
      </c>
      <c r="M16" s="270">
        <v>46317</v>
      </c>
      <c r="N16" s="264" t="str">
        <v/>
      </c>
      <c r="O16" s="264">
        <v>46325</v>
      </c>
      <c r="P16" s="270" t="str">
        <v/>
      </c>
      <c r="Q16" s="13" t="str">
        <v>In progress</v>
      </c>
      <c r="R16"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858</v>
      </c>
      <c r="B3" s="319">
        <f>AVERAGEIF('Need ReSub (RFA)'!S7:S76,"&lt;&gt;0")</f>
        <v>417.88888888888891</v>
      </c>
      <c r="C3" s="319">
        <f>MAX(_xlfn.ANCHORARRAY('Need ReSub (RFA-SDS)'!R7))</f>
        <v>555</v>
      </c>
      <c r="D3" s="319">
        <f>AVERAGEIF(_xlfn.ANCHORARRAY('Need ReSub (RFA-SDS)'!R7),"&lt;&gt;0")</f>
        <v>327.77777777777777</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418 days, with a maximum of 858 days, indicating that delays in the RFA approval process are contributing to delays in construction work.
Furthermore, the RFA (SDS) is as follows:
Avarage :  328 days
Maimum :  555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2026-10-26T03:40:55Z</dcterms:modified>
</cp:coreProperties>
</file>