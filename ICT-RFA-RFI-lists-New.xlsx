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BBFC37CA-3DD4-4461-98C4-97E18107EF83}"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'RFA-SDS'!$A$1:$AD$42,'RFA-SDS'!$H$44:$Q$50,'RFA-SDS'!$C$44:$E$48,'RFA-SDS'!$C$50:$E$53</definedName>
    <definedName name="_xlnm.Print_Area" localSheetId="2">RFI!$A$1:$Z$129,RFI!$H$131:$Q$135,RFI!$C$131:$E$136,RFI!$C$138:$E$141</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0" i="4" l="1"/>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I137"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3" i="5"/>
  <c r="Q48" i="4"/>
  <c r="Q47" i="4"/>
  <c r="Q46"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5" i="5"/>
  <c r="M50" i="4"/>
  <c r="N145" i="1"/>
  <c r="E43" i="5"/>
  <c r="E42" i="5"/>
  <c r="E41" i="5"/>
  <c r="E40" i="5"/>
  <c r="E39" i="5"/>
  <c r="E38" i="5"/>
  <c r="E36" i="5"/>
  <c r="E35" i="5"/>
  <c r="E34" i="5"/>
  <c r="M133"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26" i="5" l="1"/>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9" i="4"/>
  <c r="R144" i="1"/>
  <c r="P141" i="1"/>
  <c r="O144" i="1"/>
  <c r="N48" i="4"/>
  <c r="O46" i="4"/>
  <c r="O48" i="4"/>
  <c r="P144" i="1"/>
  <c r="O143" i="1"/>
  <c r="P143" i="1"/>
  <c r="P142" i="1"/>
  <c r="O142" i="1"/>
  <c r="O47" i="4"/>
  <c r="O49" i="4"/>
  <c r="N47" i="4"/>
  <c r="N46" i="4"/>
  <c r="O141" i="1"/>
  <c r="N49" i="4"/>
  <c r="R7" i="7" l="1"/>
  <c r="D3" i="9" s="1"/>
  <c r="S7" i="6" a="1"/>
  <c r="Q45" i="4"/>
  <c r="R140" i="1"/>
  <c r="N144" i="1"/>
  <c r="N140" i="1" s="1"/>
  <c r="M49" i="4"/>
  <c r="M45" i="4" s="1"/>
  <c r="L49" i="4" s="1"/>
  <c r="C3" i="9" l="1"/>
  <c r="S7" i="6"/>
  <c r="P45" i="4"/>
  <c r="P47" i="4"/>
  <c r="P48" i="4"/>
  <c r="P46" i="4"/>
  <c r="P49" i="4"/>
  <c r="Q140" i="1"/>
  <c r="Q142" i="1"/>
  <c r="Q143" i="1"/>
  <c r="Q141" i="1"/>
  <c r="Q144" i="1"/>
  <c r="M143" i="1"/>
  <c r="M145" i="1"/>
  <c r="M140" i="1"/>
  <c r="M141" i="1"/>
  <c r="M142" i="1"/>
  <c r="M144" i="1"/>
  <c r="L47" i="4"/>
  <c r="L46" i="4"/>
  <c r="L48" i="4"/>
  <c r="L45" i="4"/>
  <c r="L50" i="4"/>
  <c r="B3" i="9" l="1"/>
  <c r="A3" i="9"/>
  <c r="N134" i="5"/>
  <c r="Q134" i="5"/>
  <c r="Q132" i="5" s="1"/>
  <c r="O134" i="5"/>
  <c r="O133" i="5"/>
  <c r="N133" i="5"/>
  <c r="J7" i="5"/>
  <c r="A5" i="9" l="1"/>
  <c r="M134" i="5"/>
  <c r="M132" i="5" s="1"/>
  <c r="L134" i="5" s="1"/>
  <c r="P133" i="5"/>
  <c r="P132" i="5"/>
  <c r="P134" i="5"/>
  <c r="L135" i="5" l="1"/>
  <c r="L133" i="5"/>
  <c r="L13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<sst xmlns="http://schemas.openxmlformats.org/spreadsheetml/2006/main" count="3430" uniqueCount="1066">
  <si>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</si>
  <si>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</si>
  <si>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</si>
  <si>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</si>
  <si>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</si>
  <si>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</si>
  <si>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</si>
  <si>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</si>
  <si>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</si>
  <si>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</si>
  <si>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</si>
  <si>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</si>
  <si>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</si>
  <si>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</si>
  <si>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</si>
  <si>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</si>
  <si>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</si>
  <si>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</si>
  <si>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</si>
  <si>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</si>
  <si>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</si>
  <si>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</si>
  <si>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</si>
  <si>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</si>
  <si>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</si>
  <si>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</si>
  <si>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</si>
  <si>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</si>
  <si>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</si>
  <si>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</si>
  <si>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</si>
  <si>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</si>
  <si>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</si>
  <si>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</si>
  <si>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</si>
  <si>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</si>
  <si>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</si>
  <si>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</si>
  <si>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</si>
  <si>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</si>
  <si>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</si>
  <si>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</si>
  <si>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</si>
  <si>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</si>
  <si>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</si>
  <si>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</si>
  <si>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</si>
  <si>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</si>
  <si>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</si>
  <si>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</si>
  <si>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</si>
  <si>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</si>
  <si>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</si>
  <si>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</si>
  <si>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</si>
  <si>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</si>
  <si>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</si>
  <si>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</si>
  <si>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</si>
  <si>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</si>
  <si>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</si>
  <si>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</si>
  <si>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</si>
  <si>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</si>
  <si>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</si>
  <si>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</si>
  <si>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</si>
  <si>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</si>
  <si>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</si>
  <si>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</si>
  <si>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</si>
  <si>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</si>
  <si>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</si>
  <si>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</si>
  <si>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</si>
  <si>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</si>
  <si>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</si>
  <si>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</si>
  <si>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</si>
  <si>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</si>
  <si>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</si>
  <si>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</si>
  <si>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</si>
  <si>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</si>
  <si>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</si>
  <si>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</si>
  <si>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</si>
  <si>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</si>
  <si>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</si>
  <si>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</si>
  <si>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</si>
  <si>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</si>
  <si>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</si>
  <si>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</si>
  <si>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</si>
  <si>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</si>
  <si>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</si>
  <si>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</si>
  <si>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</si>
  <si>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</si>
  <si>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</si>
  <si>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</si>
  <si>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</si>
  <si>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</si>
  <si>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</si>
  <si>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</si>
  <si>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</si>
  <si>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</si>
  <si>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</si>
  <si>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</si>
  <si>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</si>
  <si>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</si>
  <si>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</si>
  <si>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</si>
  <si>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</si>
  <si>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</si>
  <si>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</si>
  <si>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</si>
  <si>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</si>
  <si>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</si>
  <si>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</si>
  <si>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</si>
  <si>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</si>
  <si>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</si>
  <si>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</si>
  <si>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</si>
  <si>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</si>
  <si>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</si>
  <si>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</si>
  <si>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</si>
  <si>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</si>
  <si>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</si>
  <si>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</si>
  <si>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</si>
  <si>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</si>
  <si>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</si>
  <si>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</si>
  <si>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</si>
  <si>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</si>
  <si>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</si>
  <si>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</si>
  <si>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</si>
  <si>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</si>
  <si>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</si>
  <si>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</si>
  <si>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</si>
  <si>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</si>
  <si>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</si>
  <si>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</si>
  <si>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</si>
  <si>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</si>
  <si>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</si>
  <si>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</si>
  <si>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</si>
  <si>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</si>
  <si>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</si>
  <si>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</si>
  <si>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</si>
  <si>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</si>
  <si>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</si>
  <si>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</si>
  <si>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</si>
  <si>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</si>
  <si>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</si>
  <si>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</si>
  <si>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</si>
  <si>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</si>
  <si>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</si>
  <si>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</si>
  <si>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</si>
  <si>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</si>
  <si>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</si>
  <si>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</si>
  <si>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</si>
  <si>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</si>
  <si>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</si>
  <si>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</si>
  <si>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</si>
  <si>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</si>
  <si>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</si>
  <si>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</si>
  <si>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</si>
  <si>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</si>
  <si>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</si>
  <si>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</si>
  <si>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</si>
  <si>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</si>
  <si>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</si>
  <si>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</si>
  <si>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</si>
  <si>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</si>
  <si>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</si>
  <si>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</si>
  <si>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</si>
  <si>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</si>
  <si>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</si>
  <si>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</si>
  <si>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</si>
  <si>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</si>
  <si>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</si>
  <si>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</si>
  <si>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</si>
  <si>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</si>
  <si>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</si>
  <si>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</si>
  <si>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</si>
  <si>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</si>
  <si>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</si>
  <si>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</si>
  <si>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</si>
  <si>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</si>
  <si>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</si>
  <si>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</si>
  <si>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</si>
  <si>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</si>
  <si>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</si>
  <si>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</si>
  <si>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</si>
  <si>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</si>
  <si>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</si>
  <si>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</si>
  <si>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</si>
  <si>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</si>
  <si>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</si>
  <si>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</si>
  <si>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</si>
  <si>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</si>
  <si>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</si>
  <si>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</si>
  <si>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</si>
  <si>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</si>
  <si>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</si>
  <si>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</si>
  <si>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</si>
  <si>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</si>
  <si>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</si>
  <si>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</si>
  <si>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</si>
  <si>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</si>
  <si>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</si>
  <si>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</si>
  <si>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</si>
  <si>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</si>
  <si>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</si>
  <si>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</si>
  <si>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</si>
  <si>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</si>
  <si>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</si>
  <si>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</si>
  <si>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</si>
  <si>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</si>
  <si>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</si>
  <si>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</si>
  <si>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</si>
  <si>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</si>
  <si>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</si>
  <si>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</si>
  <si>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</si>
  <si>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</si>
  <si>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</si>
  <si>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</si>
  <si>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</si>
  <si>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</si>
  <si>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</si>
  <si>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</si>
  <si>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</si>
  <si>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</si>
  <si>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</si>
  <si>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</si>
  <si>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</si>
  <si>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</si>
  <si>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</si>
  <si>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</si>
  <si>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</si>
  <si>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</si>
  <si>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</si>
  <si>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</si>
  <si>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</si>
  <si>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</si>
  <si>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</si>
  <si>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</si>
  <si>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</si>
  <si>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</si>
  <si>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</si>
  <si>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</si>
  <si>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</si>
  <si>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</si>
  <si>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</si>
  <si>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</si>
  <si>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</si>
  <si>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</si>
  <si>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</si>
  <si>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</si>
  <si>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</si>
  <si>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</si>
  <si>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</si>
  <si>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</si>
  <si>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</si>
  <si>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</si>
  <si>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</si>
  <si>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</si>
  <si>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</si>
  <si>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</si>
  <si>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</si>
  <si>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</si>
  <si>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</si>
  <si>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</si>
  <si>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</si>
  <si>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</si>
  <si>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</si>
  <si>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</si>
  <si>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</si>
  <si>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</si>
  <si>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</si>
  <si>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</si>
  <si>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</si>
  <si>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</si>
  <si>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</si>
  <si>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</si>
  <si>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</si>
  <si>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</si>
  <si>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</si>
  <si>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</si>
  <si>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</si>
  <si>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</si>
  <si>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</si>
  <si>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</si>
  <si>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</si>
  <si>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</si>
  <si>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</si>
  <si>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</si>
  <si>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</si>
  <si>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</si>
  <si>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</si>
  <si>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</si>
  <si>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</si>
  <si>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</si>
  <si>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</si>
  <si>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</si>
  <si>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</si>
  <si>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</si>
  <si>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</si>
  <si>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</si>
  <si>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</si>
  <si>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</si>
  <si>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</si>
  <si>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</si>
  <si>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</si>
  <si>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</si>
  <si>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</si>
  <si>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</si>
  <si>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</si>
  <si>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</si>
  <si>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</si>
  <si>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</si>
  <si>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</si>
  <si>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</si>
  <si>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</si>
  <si>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</si>
  <si>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</si>
  <si>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</si>
  <si>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</si>
  <si>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</si>
  <si>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</si>
  <si>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</si>
  <si>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</si>
  <si>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</si>
  <si>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</si>
  <si>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</si>
  <si>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</si>
  <si>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</si>
  <si>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</si>
  <si>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</si>
  <si>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</si>
  <si>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</si>
  <si>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</si>
  <si>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</si>
  <si>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</si>
  <si>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</si>
  <si>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</si>
  <si>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</si>
  <si>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</si>
  <si>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</si>
  <si>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</si>
  <si>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</si>
  <si>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</si>
  <si>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</si>
  <si>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</si>
  <si>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</si>
  <si>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</si>
  <si>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</si>
  <si>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</si>
  <si>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</si>
  <si>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</si>
  <si>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</si>
  <si>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</si>
  <si>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</si>
  <si>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</si>
  <si>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</si>
  <si>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</si>
  <si>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</si>
  <si>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</si>
  <si>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</si>
  <si>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</si>
  <si>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</si>
  <si>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</si>
  <si>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</si>
  <si>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</si>
  <si>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</si>
  <si>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</si>
  <si>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</si>
  <si>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</si>
  <si>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</si>
  <si>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</si>
  <si>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</si>
  <si>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</si>
  <si>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</si>
  <si>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</si>
  <si>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</si>
  <si>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</si>
  <si>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</si>
  <si>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</si>
  <si>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</si>
  <si>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</si>
  <si>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</si>
  <si>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</si>
  <si>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</si>
  <si>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</si>
  <si>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</si>
  <si>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</si>
  <si>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</si>
  <si>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</si>
  <si>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</si>
  <si>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</si>
  <si>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</si>
  <si>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</si>
  <si>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</si>
  <si>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</si>
  <si>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</si>
  <si>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</si>
  <si>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</si>
  <si>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</si>
  <si>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</si>
  <si>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</si>
  <si>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</si>
  <si>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</si>
  <si>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</si>
  <si>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</si>
  <si>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</si>
  <si>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</si>
  <si>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</si>
  <si>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</si>
  <si>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</si>
  <si>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</si>
  <si>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</si>
  <si>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</si>
  <si>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</si>
  <si>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</si>
  <si>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</si>
  <si>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</si>
  <si>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</si>
  <si>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</si>
  <si>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</si>
  <si>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</si>
  <si>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</si>
  <si>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</si>
  <si>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</si>
  <si>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</si>
  <si>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</si>
  <si>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</si>
  <si>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</si>
  <si>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</si>
  <si>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</si>
  <si>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</si>
  <si>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</si>
  <si>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</si>
  <si>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</si>
  <si>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</si>
  <si>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</si>
  <si>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</si>
  <si>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</si>
  <si>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</si>
  <si>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</si>
  <si>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</si>
  <si>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</si>
  <si>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</si>
  <si>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</si>
  <si>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</si>
  <si>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</si>
  <si>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</si>
  <si>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</si>
  <si>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</si>
  <si>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</si>
  <si>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</si>
  <si>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</si>
  <si>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</si>
  <si>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</si>
  <si>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</si>
  <si>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</si>
  <si>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</si>
  <si>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</si>
  <si>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</si>
  <si>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</si>
  <si>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</si>
  <si>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</si>
  <si>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</si>
  <si>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</si>
  <si>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</si>
  <si>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</si>
  <si>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</si>
  <si>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</si>
  <si>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</si>
  <si>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</si>
  <si>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</si>
  <si>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</si>
  <si>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</si>
  <si>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</si>
  <si>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</si>
  <si>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</si>
  <si>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</si>
  <si>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</si>
  <si>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</si>
  <si>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</si>
  <si>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</si>
  <si>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</si>
  <si>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</si>
  <si>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</si>
  <si>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</si>
  <si>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</si>
  <si>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</si>
  <si>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</si>
  <si>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</si>
  <si>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</si>
  <si>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</si>
  <si>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</si>
  <si>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</si>
  <si>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</si>
  <si>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</si>
  <si>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</si>
  <si>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</si>
  <si>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</si>
  <si>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</si>
  <si>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</si>
  <si>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</si>
  <si>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</si>
  <si>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</si>
  <si>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</si>
  <si>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</si>
  <si>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</si>
  <si>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</si>
  <si>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</si>
  <si>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</si>
  <si>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</si>
  <si>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</si>
  <si>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</si>
  <si>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</si>
  <si>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</si>
  <si>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</si>
  <si>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</si>
  <si>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</si>
  <si>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</si>
  <si>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</si>
  <si>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</si>
  <si>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</si>
  <si>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</si>
  <si>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</si>
  <si>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</si>
  <si>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</si>
  <si>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</si>
  <si>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</si>
  <si>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</si>
  <si>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</si>
  <si>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</si>
  <si>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</si>
  <si>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</si>
  <si>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</si>
  <si>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</si>
  <si>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</si>
  <si>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</si>
  <si>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</si>
  <si>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</si>
  <si>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</si>
  <si>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</si>
  <si>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</si>
  <si>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</si>
  <si>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</si>
  <si>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</si>
  <si>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</si>
  <si>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</si>
  <si>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</si>
  <si>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</si>
  <si>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</si>
  <si>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</si>
  <si>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</si>
  <si>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</si>
  <si>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</si>
  <si>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</si>
  <si>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</si>
  <si>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</si>
  <si>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</si>
  <si>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</si>
  <si>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</si>
  <si>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</si>
  <si>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</si>
  <si>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</si>
  <si>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</si>
  <si>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</si>
  <si>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</si>
  <si>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</si>
  <si>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</si>
  <si>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</si>
  <si>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</si>
  <si>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</si>
  <si>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</si>
  <si>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</si>
  <si>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</si>
  <si>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</si>
  <si>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</si>
  <si>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</si>
  <si>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</si>
  <si>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</si>
  <si>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</si>
  <si>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</si>
  <si>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</si>
  <si>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</si>
  <si>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</si>
  <si>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</si>
  <si>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</si>
  <si>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</si>
  <si>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</si>
  <si>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</si>
  <si>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</si>
  <si>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</si>
  <si>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</si>
  <si>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</si>
  <si>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</si>
  <si>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</si>
  <si>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</si>
  <si>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</si>
  <si>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</si>
  <si>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</si>
  <si>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</si>
  <si>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</si>
  <si>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</si>
  <si>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</si>
  <si>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</si>
  <si>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</si>
  <si>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</si>
  <si>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</si>
  <si>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</si>
  <si>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</si>
  <si>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</si>
  <si>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</si>
  <si>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</si>
  <si>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</si>
  <si>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</si>
  <si>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</si>
  <si>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</si>
  <si>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</si>
  <si>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</si>
  <si>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</si>
  <si>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</si>
  <si>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</si>
  <si>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</si>
  <si>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</si>
  <si>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</si>
  <si>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</si>
  <si>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</si>
  <si>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</si>
  <si>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</si>
  <si>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</si>
  <si>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</si>
  <si>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</si>
  <si>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</si>
  <si>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</si>
  <si>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</si>
  <si>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</si>
  <si>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</si>
  <si>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</si>
  <si>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</si>
  <si>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</si>
  <si>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</si>
  <si>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</si>
  <si>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</si>
  <si>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</si>
  <si>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</si>
  <si>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</si>
  <si>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</si>
  <si>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</si>
  <si>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</si>
  <si>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</si>
  <si>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</si>
  <si>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</si>
  <si>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</si>
  <si>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</si>
  <si>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</si>
  <si>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</si>
  <si>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</si>
  <si>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</si>
  <si>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</si>
  <si>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</si>
  <si>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</si>
  <si>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</si>
  <si>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</si>
  <si>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</si>
  <si>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</si>
  <si>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</si>
  <si>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</si>
  <si>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</si>
  <si>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</si>
  <si>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</si>
  <si>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</si>
  <si>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</si>
  <si>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</si>
  <si>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</si>
  <si>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</si>
  <si>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</si>
  <si>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</si>
  <si>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</si>
  <si>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</si>
  <si>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</si>
  <si>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</si>
  <si>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</si>
  <si>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</si>
  <si>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</si>
  <si>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</si>
  <si>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</si>
  <si>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</si>
  <si>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</si>
  <si>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</si>
  <si>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</si>
  <si>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</si>
  <si>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</si>
  <si>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</si>
  <si>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</si>
  <si>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</si>
  <si>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</si>
  <si>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</si>
  <si>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</si>
  <si>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</si>
  <si>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</si>
  <si>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</si>
  <si>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</si>
  <si>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</si>
  <si>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</si>
  <si>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</si>
  <si>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</si>
  <si>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</si>
  <si>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</si>
  <si>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</si>
  <si>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</si>
  <si>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</si>
  <si>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</si>
  <si>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</si>
  <si>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</si>
  <si>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</si>
  <si>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</si>
  <si>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</si>
  <si>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</si>
  <si>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</si>
  <si>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</si>
  <si>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</si>
  <si>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</si>
  <si>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</si>
  <si>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</si>
  <si>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</si>
  <si>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</si>
  <si>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</si>
  <si>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</si>
  <si>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</si>
  <si>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</si>
  <si>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</si>
  <si>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</si>
  <si>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</si>
  <si>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</si>
  <si>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</si>
  <si>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</si>
  <si>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</si>
  <si>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</si>
  <si>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</si>
  <si>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</si>
  <si>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</si>
  <si>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</si>
  <si>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</si>
  <si>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</si>
  <si>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</si>
  <si>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</si>
  <si>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</si>
  <si>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</si>
  <si>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</si>
  <si>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</si>
  <si>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</si>
  <si>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</si>
  <si>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</si>
  <si>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</si>
  <si>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</si>
  <si>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</si>
  <si>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</si>
  <si>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</si>
  <si>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</si>
  <si>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</si>
  <si>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</si>
  <si>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</si>
  <si>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</si>
  <si>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</si>
  <si>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</si>
  <si>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</si>
  <si>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</si>
  <si>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</si>
  <si>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</si>
  <si>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</si>
  <si>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</si>
  <si>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</si>
  <si>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</si>
  <si>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</si>
  <si>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</si>
  <si>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</si>
  <si>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</si>
  <si>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</si>
  <si>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</si>
  <si>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</si>
  <si>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</si>
  <si>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</si>
  <si>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</si>
  <si>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</si>
  <si>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</si>
  <si>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</si>
  <si>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</si>
  <si>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</si>
  <si>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</si>
  <si>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</si>
  <si>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</si>
  <si>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</si>
  <si>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</si>
  <si>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</si>
  <si>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</si>
  <si>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</si>
  <si>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</si>
  <si>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</si>
  <si>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</si>
  <si>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</si>
  <si>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</si>
  <si>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</si>
  <si>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</si>
  <si>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</si>
  <si>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</si>
  <si>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</si>
  <si>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</si>
  <si>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</si>
  <si>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</si>
  <si>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</si>
  <si>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</si>
  <si>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</si>
  <si>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</si>
  <si>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</si>
  <si>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</si>
  <si>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</si>
  <si>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</si>
  <si>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</si>
  <si>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</si>
  <si>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</si>
  <si>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</si>
  <si>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</si>
  <si>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</si>
  <si>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</si>
  <si>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</si>
  <si>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</si>
  <si>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</si>
  <si>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</si>
  <si>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</si>
  <si>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</si>
  <si>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</si>
  <si>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</si>
  <si>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</si>
  <si>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</si>
  <si>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</si>
  <si>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</si>
  <si>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</si>
  <si>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</si>
  <si>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</si>
  <si>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</si>
  <si>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</si>
  <si>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</si>
  <si>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</si>
  <si>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</si>
  <si>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</si>
  <si>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</si>
  <si>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</si>
  <si>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</si>
  <si>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</si>
  <si>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</si>
  <si>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</si>
  <si>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</si>
  <si>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</si>
  <si>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</si>
  <si>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</si>
  <si>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</si>
  <si>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</si>
  <si>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</si>
  <si>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</si>
  <si>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</si>
  <si>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</si>
  <si>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</si>
  <si>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</si>
  <si>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</si>
  <si>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</si>
  <si>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</si>
  <si>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</si>
  <si>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</si>
  <si>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</si>
  <si>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</si>
  <si>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</si>
  <si>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</si>
  <si>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</si>
  <si>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</si>
  <si>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</si>
  <si>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</si>
  <si>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</si>
  <si>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</si>
  <si>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</si>
  <si>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</si>
  <si>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</si>
  <si>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</si>
  <si>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</si>
  <si>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</si>
  <si>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</si>
  <si>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</si>
  <si>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</si>
  <si>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</si>
  <si>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</si>
  <si>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</si>
  <si>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</si>
  <si>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</si>
  <si>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</si>
  <si>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</si>
  <si>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</si>
  <si>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</si>
  <si>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</si>
  <si>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</si>
  <si>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</si>
  <si>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</si>
  <si>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</si>
  <si>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</si>
  <si>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</si>
  <si>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</si>
  <si>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</si>
  <si>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</si>
  <si>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</si>
  <si>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</si>
  <si>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</si>
  <si>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</si>
  <si>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</si>
  <si>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</si>
  <si>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</si>
  <si>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</si>
  <si>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</si>
  <si>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</si>
  <si>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</si>
  <si>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</si>
  <si>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</si>
  <si>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</si>
  <si>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</si>
  <si>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</si>
  <si>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</si>
  <si>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</si>
  <si>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LTIA-5.11-LTICT-RFA-OTH-0012</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</si>
  <si>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</si>
  <si>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</si>
  <si>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</si>
  <si>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</si>
  <si>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</si>
  <si>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</si>
  <si>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</si>
  <si>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</si>
  <si>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</si>
  <si>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</si>
  <si>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</si>
  <si>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</si>
  <si>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</si>
  <si>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</si>
  <si>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</si>
  <si>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</si>
  <si>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</si>
  <si>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</si>
  <si>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</si>
  <si>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</si>
  <si>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</si>
  <si>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</si>
  <si>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</si>
  <si>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</si>
  <si>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</si>
  <si>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</si>
  <si>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</si>
  <si>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</si>
  <si>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</si>
  <si>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</si>
  <si>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</si>
  <si>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</si>
  <si>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</si>
  <si>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</si>
  <si>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</si>
  <si>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</si>
  <si>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</si>
  <si>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</si>
  <si>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</si>
  <si>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</si>
  <si>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</si>
  <si>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</si>
  <si>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</si>
  <si>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</si>
  <si>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</si>
  <si>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</si>
  <si>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</si>
  <si>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</si>
  <si>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</si>
  <si>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</si>
  <si>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</si>
  <si>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</si>
  <si>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</si>
  <si>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</si>
  <si>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</si>
  <si>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</si>
  <si>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</si>
  <si>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</si>
  <si>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</si>
  <si>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</si>
  <si>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</si>
  <si>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</si>
  <si>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</si>
  <si>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</si>
  <si>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</si>
  <si>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</si>
  <si>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</si>
  <si>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</si>
  <si>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</si>
  <si>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</si>
  <si>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</si>
  <si>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</si>
  <si>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</si>
  <si>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</si>
  <si>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</si>
  <si>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</si>
  <si>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</si>
  <si>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</si>
  <si>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</si>
  <si>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</si>
  <si>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</si>
  <si>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</si>
  <si>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</si>
  <si>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</si>
  <si>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</si>
  <si>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</si>
  <si>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</si>
  <si>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</si>
  <si>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</si>
  <si>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</si>
  <si>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</si>
  <si>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10/9/2026 Update</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</si>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</sst>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printerSettings" Target="../printerSettings/printerSettings3.bin"/><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67"/>
  <sheetViews>
    <sheetView tabSelected="1" zoomScale="85" zoomScaleNormal="85" zoomScaleSheetLayoutView="115" workbookViewId="0">
      <pane xSplit="6" ySplit="6" topLeftCell="V128" activePane="bottomRight" state="frozen"/>
      <selection pane="topRight" activeCell="D1" sqref="D1"/>
      <selection pane="bottomLeft" activeCell="A7" sqref="A7"/>
      <selection pane="bottomRight" activeCell="AA129" sqref="AA129"/>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46309</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846</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811</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509</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390</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330</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427</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307</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358</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c r="AC60" s="229" t="str">
        <f t="shared" ca="1" si="12"/>
        <v>Not submit yet</v>
      </c>
      <c r="AD60" s="337">
        <f t="shared" ca="1" si="13"/>
        <v>217</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302</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139</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41.75">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41.75">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26">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63">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110.2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149</v>
      </c>
      <c r="K92" s="47">
        <f t="shared" ca="1" si="28"/>
        <v>128</v>
      </c>
      <c r="L92" s="164" t="s">
        <v>1004</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335</v>
      </c>
      <c r="K93" s="47">
        <f t="shared" ca="1" si="28"/>
        <v>314</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981</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1014</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106</v>
      </c>
      <c r="K111" s="47">
        <f t="shared" ca="1" si="31"/>
        <v>85</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1003</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995</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1020</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1027</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1017</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62</v>
      </c>
      <c r="K117" s="47">
        <f t="shared" ca="1" si="31"/>
        <v>41</v>
      </c>
      <c r="L117" s="164" t="s">
        <v>1004</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1002</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c r="A119" s="33">
        <f t="shared" si="19"/>
        <v>113</v>
      </c>
      <c r="B119" s="330" t="str">
        <f t="shared" ref="B119" si="61">MID(E119, FIND("-", E119) + 1, 4)</f>
        <v>5.11</v>
      </c>
      <c r="C119" s="164" t="s">
        <v>621</v>
      </c>
      <c r="D119" s="137" t="s">
        <v>28</v>
      </c>
      <c r="E119" s="25" t="s">
        <v>965</v>
      </c>
      <c r="F119" s="174">
        <f t="shared" si="29"/>
        <v>46275</v>
      </c>
      <c r="G119" s="31" t="s">
        <v>966</v>
      </c>
      <c r="H119" s="21" t="s">
        <v>967</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c r="AC119" s="229" t="str">
        <f t="shared" si="22"/>
        <v/>
      </c>
      <c r="AD119" s="337" t="str">
        <f t="shared" ref="AD119" si="62">IF(AC119="Late Resubmission",IF(AB119="","",AB119-AA119),IF(AC119="Not submit yet",IF(AA119="","",$J$1-AA119),""))</f>
        <v/>
      </c>
      <c r="AE119" s="92" t="s">
        <v>1013</v>
      </c>
      <c r="AG119" s="238" t="str">
        <f t="shared" si="14"/>
        <v>LTIA-5.11-LTICT-RFA-OTH-0012</v>
      </c>
      <c r="AH119" s="243" t="b" cm="1">
        <f t="array" ref="AH119">$E119=_xlfn.XLOOKUP(
AG119,
_xlfn._xlws.FILTER($AG$7:$AG$4572,$L$7:$L$4572&lt;&gt;"X"),
_xlfn._xlws.FILTER($E$7:$E$4572,$L$7:$L$4572&lt;&gt;"X"),
"",
0,
-1
)</f>
        <v>1</v>
      </c>
      <c r="AI119" s="75" t="str">
        <f t="shared" si="24"/>
        <v/>
      </c>
    </row>
    <row r="120" spans="1:35" s="9" customFormat="1" ht="63">
      <c r="A120" s="33">
        <f t="shared" si="19"/>
        <v>114</v>
      </c>
      <c r="B120" s="330" t="str">
        <f t="shared" ref="B120" si="63">MID(E120, FIND("-", E120) + 1, 4)</f>
        <v>5.10</v>
      </c>
      <c r="C120" s="164" t="s">
        <v>197</v>
      </c>
      <c r="D120" s="137" t="s">
        <v>28</v>
      </c>
      <c r="E120" s="25" t="s">
        <v>968</v>
      </c>
      <c r="F120" s="174">
        <f t="shared" si="29"/>
        <v>46276</v>
      </c>
      <c r="G120" s="31" t="s">
        <v>969</v>
      </c>
      <c r="H120" s="21" t="s">
        <v>970</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1015</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974</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997</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975</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978</v>
      </c>
      <c r="F123" s="174">
        <f t="shared" si="29"/>
        <v>46293</v>
      </c>
      <c r="G123" s="31" t="s">
        <v>979</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1000</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982</v>
      </c>
      <c r="F124" s="174">
        <f t="shared" si="29"/>
        <v>46324</v>
      </c>
      <c r="G124" s="31" t="s">
        <v>983</v>
      </c>
      <c r="H124" s="21" t="s">
        <v>984</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1056</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
      </c>
    </row>
    <row r="125" spans="1:35" s="9" customFormat="1" ht="47.25">
      <c r="A125" s="33">
        <f t="shared" si="19"/>
        <v>119</v>
      </c>
      <c r="B125" s="330" t="str">
        <f t="shared" si="72"/>
        <v>5.11</v>
      </c>
      <c r="C125" s="164" t="s">
        <v>656</v>
      </c>
      <c r="D125" s="137" t="s">
        <v>30</v>
      </c>
      <c r="E125" s="25" t="s">
        <v>998</v>
      </c>
      <c r="F125" s="174">
        <f t="shared" si="29"/>
        <v>46310</v>
      </c>
      <c r="G125" s="31" t="s">
        <v>999</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1025</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1001</v>
      </c>
      <c r="F126" s="174">
        <f t="shared" si="29"/>
        <v>46310</v>
      </c>
      <c r="G126" s="31" t="s">
        <v>979</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1033</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1031</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c r="A128" s="33">
        <f t="shared" si="19"/>
        <v>122</v>
      </c>
      <c r="B128" s="330" t="str">
        <f t="shared" si="76"/>
        <v>5.10</v>
      </c>
      <c r="C128" s="164" t="s">
        <v>131</v>
      </c>
      <c r="D128" s="137" t="s">
        <v>30</v>
      </c>
      <c r="E128" s="25" t="s">
        <v>1006</v>
      </c>
      <c r="F128" s="174">
        <f t="shared" si="29"/>
        <v>46316</v>
      </c>
      <c r="G128" s="31" t="s">
        <v>1007</v>
      </c>
      <c r="H128" s="21" t="s">
        <v>1008</v>
      </c>
      <c r="I128" s="138"/>
      <c r="J128" s="164">
        <f t="shared" ca="1" si="30"/>
        <v>14</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c r="A129" s="33">
        <f t="shared" si="19"/>
        <v>123</v>
      </c>
      <c r="B129" s="330" t="str">
        <f t="shared" si="76"/>
        <v>5.11</v>
      </c>
      <c r="C129" s="164" t="s">
        <v>372</v>
      </c>
      <c r="D129" s="137" t="s">
        <v>32</v>
      </c>
      <c r="E129" s="25" t="s">
        <v>1028</v>
      </c>
      <c r="F129" s="174">
        <f t="shared" si="29"/>
        <v>46319</v>
      </c>
      <c r="G129" s="31" t="s">
        <v>1029</v>
      </c>
      <c r="H129" s="21" t="s">
        <v>1030</v>
      </c>
      <c r="I129" s="138"/>
      <c r="J129" s="164">
        <f t="shared" ca="1" si="30"/>
        <v>11</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1064</v>
      </c>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c r="A130" s="33">
        <f t="shared" si="19"/>
        <v>124</v>
      </c>
      <c r="B130" s="330" t="str">
        <f t="shared" ref="B130" si="78">MID(E130, FIND("-", E130) + 1, 4)</f>
        <v>5.11</v>
      </c>
      <c r="C130" s="164" t="s">
        <v>144</v>
      </c>
      <c r="D130" s="137" t="s">
        <v>32</v>
      </c>
      <c r="E130" s="25" t="s">
        <v>1036</v>
      </c>
      <c r="F130" s="174">
        <f t="shared" si="29"/>
        <v>46321</v>
      </c>
      <c r="G130" s="31" t="s">
        <v>1034</v>
      </c>
      <c r="H130" s="21" t="s">
        <v>1035</v>
      </c>
      <c r="I130" s="138"/>
      <c r="J130" s="164">
        <f t="shared" ca="1" si="30"/>
        <v>9</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c r="A131" s="33">
        <f t="shared" si="19"/>
        <v>125</v>
      </c>
      <c r="B131" s="330" t="str">
        <f t="shared" ref="B131" si="79">MID(E131, FIND("-", E131) + 1, 4)</f>
        <v>5.11</v>
      </c>
      <c r="C131" s="164" t="s">
        <v>637</v>
      </c>
      <c r="D131" s="137" t="s">
        <v>32</v>
      </c>
      <c r="E131" s="25" t="s">
        <v>1037</v>
      </c>
      <c r="F131" s="174">
        <f t="shared" si="29"/>
        <v>46321</v>
      </c>
      <c r="G131" s="31" t="s">
        <v>1038</v>
      </c>
      <c r="H131" s="21" t="s">
        <v>1039</v>
      </c>
      <c r="I131" s="138"/>
      <c r="J131" s="164">
        <f t="shared" ca="1" si="30"/>
        <v>9</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1065</v>
      </c>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c r="A132" s="33">
        <f t="shared" si="19"/>
        <v>126</v>
      </c>
      <c r="B132" s="330" t="str">
        <f t="shared" ref="B132" si="80">MID(E132, FIND("-", E132) + 1, 4)</f>
        <v>5.11</v>
      </c>
      <c r="C132" s="164" t="s">
        <v>633</v>
      </c>
      <c r="D132" s="137" t="s">
        <v>32</v>
      </c>
      <c r="E132" s="25" t="s">
        <v>1040</v>
      </c>
      <c r="F132" s="174">
        <f t="shared" si="29"/>
        <v>46322</v>
      </c>
      <c r="G132" s="31" t="s">
        <v>1041</v>
      </c>
      <c r="H132" s="21" t="s">
        <v>1042</v>
      </c>
      <c r="I132" s="138"/>
      <c r="J132" s="164">
        <f t="shared" ca="1" si="30"/>
        <v>8</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1065</v>
      </c>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c r="A133" s="33">
        <f t="shared" si="19"/>
        <v>127</v>
      </c>
      <c r="B133" s="330" t="str">
        <f t="shared" ref="B133" si="81">MID(E133, FIND("-", E133) + 1, 4)</f>
        <v>5.11</v>
      </c>
      <c r="C133" s="164" t="s">
        <v>621</v>
      </c>
      <c r="D133" s="137" t="s">
        <v>32</v>
      </c>
      <c r="E133" s="25" t="s">
        <v>1043</v>
      </c>
      <c r="F133" s="174">
        <f t="shared" si="29"/>
        <v>46322</v>
      </c>
      <c r="G133" s="31" t="s">
        <v>1044</v>
      </c>
      <c r="H133" s="21" t="s">
        <v>1045</v>
      </c>
      <c r="I133" s="138"/>
      <c r="J133" s="164">
        <f t="shared" ca="1" si="30"/>
        <v>8</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c r="A134" s="33">
        <f t="shared" si="19"/>
        <v>128</v>
      </c>
      <c r="B134" s="330" t="str">
        <f t="shared" ref="B134" si="82">MID(E134, FIND("-", E134) + 1, 4)</f>
        <v>5.11</v>
      </c>
      <c r="C134" s="164" t="s">
        <v>656</v>
      </c>
      <c r="D134" s="137" t="s">
        <v>32</v>
      </c>
      <c r="E134" s="25" t="s">
        <v>1046</v>
      </c>
      <c r="F134" s="174">
        <f t="shared" si="29"/>
        <v>46322</v>
      </c>
      <c r="G134" s="31" t="s">
        <v>1047</v>
      </c>
      <c r="H134" s="21" t="s">
        <v>1048</v>
      </c>
      <c r="I134" s="138"/>
      <c r="J134" s="164">
        <f t="shared" ca="1" si="30"/>
        <v>8</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c r="A135" s="33">
        <f t="shared" si="19"/>
        <v>129</v>
      </c>
      <c r="B135" s="330" t="str">
        <f t="shared" ref="B135" si="83">MID(E135, FIND("-", E135) + 1, 4)</f>
        <v>5.11</v>
      </c>
      <c r="C135" s="164" t="s">
        <v>621</v>
      </c>
      <c r="D135" s="137" t="s">
        <v>28</v>
      </c>
      <c r="E135" s="25" t="s">
        <v>1049</v>
      </c>
      <c r="F135" s="174">
        <f t="shared" si="29"/>
        <v>46322</v>
      </c>
      <c r="G135" s="31" t="s">
        <v>1050</v>
      </c>
      <c r="H135" s="21" t="s">
        <v>1051</v>
      </c>
      <c r="I135" s="138"/>
      <c r="J135" s="164">
        <f t="shared" ca="1" si="30"/>
        <v>8</v>
      </c>
      <c r="K135" s="47">
        <f t="shared" ca="1" si="31"/>
        <v>0</v>
      </c>
      <c r="L135" s="164"/>
      <c r="M135" s="40" t="s">
        <v>8</v>
      </c>
      <c r="N135" s="41"/>
      <c r="O135" s="40"/>
      <c r="P135" s="41"/>
      <c r="Q135" s="40"/>
      <c r="R135" s="155"/>
      <c r="S135" s="27">
        <v>46301</v>
      </c>
      <c r="T135" s="27">
        <v>46301</v>
      </c>
      <c r="U135" s="188">
        <v>46301</v>
      </c>
      <c r="V135" s="29"/>
      <c r="W135" s="188"/>
      <c r="X135" s="235"/>
      <c r="Y135" s="230"/>
      <c r="Z135" s="227"/>
      <c r="AA135" s="29" t="str">
        <f t="shared" si="68"/>
        <v/>
      </c>
      <c r="AB135" s="229"/>
      <c r="AC135" s="229"/>
      <c r="AD135" s="337"/>
      <c r="AE135" s="92"/>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405" t="s">
        <v>21</v>
      </c>
      <c r="E139" s="405"/>
      <c r="F139" s="406"/>
      <c r="G139" s="46"/>
      <c r="H139" s="68"/>
      <c r="I139" s="357" t="s">
        <v>14</v>
      </c>
      <c r="J139" s="358"/>
      <c r="K139" s="358"/>
      <c r="L139" s="358"/>
      <c r="M139" s="358"/>
      <c r="N139" s="359"/>
      <c r="O139" s="360" t="s">
        <v>7</v>
      </c>
      <c r="P139" s="361"/>
      <c r="Q139" s="360" t="s">
        <v>109</v>
      </c>
      <c r="R139" s="361"/>
      <c r="S139" s="1"/>
      <c r="T139" s="1"/>
      <c r="U139" s="140"/>
      <c r="V139" s="1"/>
      <c r="X139" s="11"/>
      <c r="Y139" s="11"/>
      <c r="Z139" s="11"/>
      <c r="AA139" s="11"/>
      <c r="AB139" s="11"/>
      <c r="AC139" s="11"/>
      <c r="AD139" s="11"/>
      <c r="AG139" s="11"/>
      <c r="AH139" s="11"/>
      <c r="AI139" s="11"/>
    </row>
    <row r="140" spans="1:35" ht="16.5" thickBot="1">
      <c r="A140" s="128"/>
      <c r="B140" s="128"/>
      <c r="C140" s="167" t="s">
        <v>109</v>
      </c>
      <c r="D140" s="424" t="s">
        <v>111</v>
      </c>
      <c r="E140" s="424"/>
      <c r="F140" s="425"/>
      <c r="G140" s="46"/>
      <c r="H140" s="46"/>
      <c r="I140" s="357" t="s">
        <v>19</v>
      </c>
      <c r="J140" s="358"/>
      <c r="K140" s="358"/>
      <c r="L140" s="359"/>
      <c r="M140" s="105">
        <f t="shared" ref="M140:M145" ca="1" si="84">N140/$N$140</f>
        <v>1</v>
      </c>
      <c r="N140" s="106">
        <f ca="1">SUM($N$141:$N$145)</f>
        <v>134</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424" t="s">
        <v>23</v>
      </c>
      <c r="E141" s="424"/>
      <c r="F141" s="425"/>
      <c r="G141" s="70"/>
      <c r="H141" s="6"/>
      <c r="I141" s="373" t="s">
        <v>66</v>
      </c>
      <c r="J141" s="374"/>
      <c r="K141" s="374"/>
      <c r="L141" s="375"/>
      <c r="M141" s="107">
        <f t="shared" ca="1" si="84"/>
        <v>0.5074626865671642</v>
      </c>
      <c r="N141" s="108">
        <f>COUNTIF($I$7:$I$137,"A")</f>
        <v>68</v>
      </c>
      <c r="O141" s="100">
        <f ca="1">COUNTIFS($J$7:$J$137,"&lt;=21",$I$7:$I$137,"A")</f>
        <v>55</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424" t="s">
        <v>25</v>
      </c>
      <c r="E142" s="424"/>
      <c r="F142" s="425"/>
      <c r="H142" s="6"/>
      <c r="I142" s="376" t="s">
        <v>67</v>
      </c>
      <c r="J142" s="377"/>
      <c r="K142" s="377"/>
      <c r="L142" s="378"/>
      <c r="M142" s="109">
        <f t="shared" ca="1" si="84"/>
        <v>0.1044776119402985</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424" t="s">
        <v>27</v>
      </c>
      <c r="E143" s="424"/>
      <c r="F143" s="425"/>
      <c r="G143" s="71"/>
      <c r="H143" s="6"/>
      <c r="I143" s="379" t="s">
        <v>68</v>
      </c>
      <c r="J143" s="380"/>
      <c r="K143" s="380"/>
      <c r="L143" s="381"/>
      <c r="M143" s="111">
        <f t="shared" ca="1" si="84"/>
        <v>0.20149253731343283</v>
      </c>
      <c r="N143" s="112">
        <f>COUNTIF($I$7:$I$137,"C")</f>
        <v>27</v>
      </c>
      <c r="O143" s="98">
        <f ca="1">COUNTIFS($J$7:$J$137,"&lt;=21",$I$7:$I$137,"C")</f>
        <v>13</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424" t="s">
        <v>29</v>
      </c>
      <c r="E144" s="424"/>
      <c r="F144" s="425"/>
      <c r="G144" s="72"/>
      <c r="I144" s="382" t="s">
        <v>70</v>
      </c>
      <c r="J144" s="383"/>
      <c r="K144" s="383"/>
      <c r="L144" s="384"/>
      <c r="M144" s="114">
        <f t="shared" ca="1" si="84"/>
        <v>7.4626865671641784E-2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424" t="s">
        <v>31</v>
      </c>
      <c r="E145" s="424"/>
      <c r="F145" s="425"/>
      <c r="H145" s="6"/>
      <c r="I145" s="354" t="s">
        <v>71</v>
      </c>
      <c r="J145" s="355"/>
      <c r="K145" s="355"/>
      <c r="L145" s="356"/>
      <c r="M145" s="113">
        <f t="shared" ca="1" si="84"/>
        <v>0.11194029850746269</v>
      </c>
      <c r="N145" s="97">
        <f>COUNTIFS($L$7:$L$137,"X")</f>
        <v>15</v>
      </c>
      <c r="O145" s="99"/>
      <c r="P145" s="51"/>
      <c r="Q145" s="221"/>
      <c r="R145" s="222"/>
    </row>
    <row r="146" spans="1:35">
      <c r="A146" s="128"/>
      <c r="B146" s="128"/>
      <c r="C146" s="168" t="s">
        <v>32</v>
      </c>
      <c r="D146" s="424" t="s">
        <v>33</v>
      </c>
      <c r="E146" s="424"/>
      <c r="F146" s="425"/>
      <c r="H146" s="1" t="s">
        <v>11</v>
      </c>
    </row>
    <row r="147" spans="1:35">
      <c r="C147" s="167" t="s">
        <v>34</v>
      </c>
      <c r="D147" s="424" t="s">
        <v>35</v>
      </c>
      <c r="E147" s="424"/>
      <c r="F147" s="42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385" t="s">
        <v>75</v>
      </c>
      <c r="D148" s="387" t="s">
        <v>76</v>
      </c>
      <c r="E148" s="387"/>
      <c r="F148" s="388"/>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386"/>
      <c r="D149" s="389"/>
      <c r="E149" s="389"/>
      <c r="F149" s="390"/>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72" t="s">
        <v>41</v>
      </c>
      <c r="D151" s="372"/>
      <c r="E151" s="372"/>
      <c r="F151" s="372"/>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412" t="s">
        <v>91</v>
      </c>
      <c r="E152" s="412"/>
      <c r="F152" s="412"/>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412" t="s">
        <v>92</v>
      </c>
      <c r="E153" s="412"/>
      <c r="F153" s="412"/>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412" t="s">
        <v>93</v>
      </c>
      <c r="E154" s="412"/>
      <c r="F154" s="412"/>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416" t="s">
        <v>96</v>
      </c>
      <c r="D156" s="417"/>
      <c r="E156" s="417"/>
      <c r="F156" s="418"/>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419" t="s">
        <v>97</v>
      </c>
      <c r="E157" s="419"/>
      <c r="F157" s="420"/>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410" t="s">
        <v>98</v>
      </c>
      <c r="E158" s="410"/>
      <c r="F158" s="411"/>
    </row>
    <row r="159" spans="1:35">
      <c r="C159" s="213" t="s">
        <v>83</v>
      </c>
      <c r="D159" s="410" t="s">
        <v>99</v>
      </c>
      <c r="E159" s="410"/>
      <c r="F159" s="411"/>
    </row>
    <row r="160" spans="1:35">
      <c r="C160" s="214" t="s">
        <v>84</v>
      </c>
      <c r="D160" s="410" t="s">
        <v>100</v>
      </c>
      <c r="E160" s="410"/>
      <c r="F160" s="411"/>
    </row>
    <row r="161" spans="3:6">
      <c r="C161" s="214" t="s">
        <v>85</v>
      </c>
      <c r="D161" s="410" t="s">
        <v>101</v>
      </c>
      <c r="E161" s="410"/>
      <c r="F161" s="411"/>
    </row>
    <row r="162" spans="3:6" ht="18.75">
      <c r="C162" s="214" t="s">
        <v>86</v>
      </c>
      <c r="D162" s="410" t="s">
        <v>102</v>
      </c>
      <c r="E162" s="410"/>
      <c r="F162" s="411"/>
    </row>
    <row r="163" spans="3:6" ht="18.75">
      <c r="C163" s="213" t="s">
        <v>87</v>
      </c>
      <c r="D163" s="410" t="s">
        <v>103</v>
      </c>
      <c r="E163" s="410"/>
      <c r="F163" s="411"/>
    </row>
    <row r="164" spans="3:6">
      <c r="C164" s="215" t="s">
        <v>88</v>
      </c>
      <c r="D164" s="413" t="s">
        <v>104</v>
      </c>
      <c r="E164" s="414"/>
      <c r="F164" s="415"/>
    </row>
    <row r="165" spans="3:6" ht="18.75">
      <c r="C165" s="215" t="s">
        <v>89</v>
      </c>
      <c r="D165" s="410" t="s">
        <v>105</v>
      </c>
      <c r="E165" s="410"/>
      <c r="F165" s="411"/>
    </row>
    <row r="166" spans="3:6">
      <c r="C166" s="213" t="s">
        <v>90</v>
      </c>
      <c r="D166" s="410" t="s">
        <v>106</v>
      </c>
      <c r="E166" s="410"/>
      <c r="F166" s="411"/>
    </row>
    <row r="167" spans="3:6" ht="16.5" thickBot="1">
      <c r="C167" s="216" t="s">
        <v>94</v>
      </c>
      <c r="D167" s="421" t="s">
        <v>107</v>
      </c>
      <c r="E167" s="422"/>
      <c r="F167" s="423"/>
    </row>
  </sheetData>
  <autoFilter ref="A6:AE137" xr:uid="{C724CDAB-378C-47DB-9F45-08EE3BFB6E8B}">
    <sortState xmlns:xlrd2="http://schemas.microsoft.com/office/spreadsheetml/2017/richdata2" ref="A7:AE69">
      <sortCondition ref="T6:T69"/>
    </sortState>
  </autoFilter>
  <mergeCells count="59">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F27" activePane="bottomRight" state="frozen"/>
      <selection pane="topRight" activeCell="D1" sqref="D1"/>
      <selection pane="bottomLeft" activeCell="A7" sqref="A7"/>
      <selection pane="bottomRight" activeCell="L40" sqref="L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46309</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546</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456</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345</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94.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345</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345</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345</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345</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272</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323</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303</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1005</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303</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168</v>
      </c>
      <c r="J31" s="47">
        <f t="shared" ca="1" si="4"/>
        <v>147</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976</v>
      </c>
      <c r="E35" s="174">
        <f t="shared" si="2"/>
        <v>46325</v>
      </c>
      <c r="F35" s="31" t="s">
        <v>977</v>
      </c>
      <c r="G35" s="21" t="s">
        <v>600</v>
      </c>
      <c r="H35" s="138"/>
      <c r="I35" s="164">
        <f t="shared" ca="1" si="10"/>
        <v>5</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1057</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985</v>
      </c>
      <c r="G36" s="21" t="s">
        <v>986</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1012</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987</v>
      </c>
      <c r="E37" s="174">
        <f t="shared" si="2"/>
        <v>46302</v>
      </c>
      <c r="F37" s="31" t="s">
        <v>988</v>
      </c>
      <c r="G37" s="21" t="s">
        <v>989</v>
      </c>
      <c r="H37" s="138" t="s">
        <v>1</v>
      </c>
      <c r="I37" s="164">
        <f t="shared" ca="1" si="10"/>
        <v>28</v>
      </c>
      <c r="J37" s="47">
        <f t="shared" ca="1" si="4"/>
        <v>7</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1026</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990</v>
      </c>
      <c r="E38" s="174">
        <f t="shared" si="2"/>
        <v>46304</v>
      </c>
      <c r="F38" s="31" t="s">
        <v>991</v>
      </c>
      <c r="G38" s="21" t="s">
        <v>992</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1055</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993</v>
      </c>
      <c r="E39" s="174">
        <f t="shared" si="2"/>
        <v>46325</v>
      </c>
      <c r="F39" s="31" t="s">
        <v>994</v>
      </c>
      <c r="G39" s="21" t="s">
        <v>588</v>
      </c>
      <c r="H39" s="138"/>
      <c r="I39" s="164">
        <f t="shared" ca="1" si="10"/>
        <v>5</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1057</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1061</v>
      </c>
      <c r="E40" s="174">
        <f t="shared" si="2"/>
        <v>46330</v>
      </c>
      <c r="F40" s="31" t="s">
        <v>1062</v>
      </c>
      <c r="G40" s="21" t="s">
        <v>1063</v>
      </c>
      <c r="H40" s="138"/>
      <c r="I40" s="164">
        <f t="shared" ca="1" si="10"/>
        <v>0</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405" t="s">
        <v>21</v>
      </c>
      <c r="E44" s="406"/>
      <c r="F44" s="46"/>
      <c r="G44" s="46"/>
      <c r="H44" s="357" t="s">
        <v>14</v>
      </c>
      <c r="I44" s="358"/>
      <c r="J44" s="358"/>
      <c r="K44" s="358"/>
      <c r="L44" s="358"/>
      <c r="M44" s="359"/>
      <c r="N44" s="360" t="s">
        <v>7</v>
      </c>
      <c r="O44" s="361"/>
      <c r="P44" s="360" t="s">
        <v>109</v>
      </c>
      <c r="Q44" s="361"/>
      <c r="R44" s="1"/>
      <c r="S44" s="1"/>
      <c r="T44" s="140"/>
      <c r="U44" s="1"/>
      <c r="W44" s="11"/>
      <c r="X44" s="11"/>
      <c r="Y44" s="11"/>
      <c r="Z44" s="11"/>
      <c r="AA44" s="11"/>
      <c r="AB44" s="11"/>
      <c r="AC44" s="11"/>
      <c r="AG44" s="11"/>
      <c r="AH44" s="11"/>
      <c r="AI44" s="11"/>
    </row>
    <row r="45" spans="1:35" ht="16.5" thickBot="1">
      <c r="C45" s="195" t="s">
        <v>109</v>
      </c>
      <c r="D45" s="391" t="s">
        <v>111</v>
      </c>
      <c r="E45" s="392"/>
      <c r="F45" s="46"/>
      <c r="H45" s="357" t="s">
        <v>18</v>
      </c>
      <c r="I45" s="358"/>
      <c r="J45" s="358"/>
      <c r="K45" s="359"/>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370" t="s">
        <v>37</v>
      </c>
      <c r="E46" s="371"/>
      <c r="F46" s="69"/>
      <c r="G46" s="6"/>
      <c r="H46" s="373" t="s">
        <v>66</v>
      </c>
      <c r="I46" s="374"/>
      <c r="J46" s="374"/>
      <c r="K46" s="375"/>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385" t="s">
        <v>75</v>
      </c>
      <c r="D47" s="387" t="s">
        <v>76</v>
      </c>
      <c r="E47" s="388"/>
      <c r="F47" s="70"/>
      <c r="G47" s="6"/>
      <c r="H47" s="376" t="s">
        <v>67</v>
      </c>
      <c r="I47" s="377"/>
      <c r="J47" s="377"/>
      <c r="K47" s="378"/>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386"/>
      <c r="D48" s="389"/>
      <c r="E48" s="390"/>
      <c r="F48" s="71"/>
      <c r="G48" s="6"/>
      <c r="H48" s="379" t="s">
        <v>68</v>
      </c>
      <c r="I48" s="380"/>
      <c r="J48" s="380"/>
      <c r="K48" s="381"/>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82" t="s">
        <v>70</v>
      </c>
      <c r="I49" s="383"/>
      <c r="J49" s="383"/>
      <c r="K49" s="384"/>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72" t="s">
        <v>41</v>
      </c>
      <c r="D50" s="372"/>
      <c r="E50" s="372"/>
      <c r="H50" s="354" t="s">
        <v>71</v>
      </c>
      <c r="I50" s="355"/>
      <c r="J50" s="355"/>
      <c r="K50" s="356"/>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P44:Q44"/>
    <mergeCell ref="X4:Y4"/>
    <mergeCell ref="Z4:AC4"/>
    <mergeCell ref="A4:A5"/>
    <mergeCell ref="D4:D5"/>
    <mergeCell ref="E4:E5"/>
    <mergeCell ref="F4:F5"/>
    <mergeCell ref="G4:G5"/>
    <mergeCell ref="C4:C5"/>
    <mergeCell ref="D44:E44"/>
    <mergeCell ref="B4:B5"/>
    <mergeCell ref="D46:E46"/>
    <mergeCell ref="C50:E50"/>
    <mergeCell ref="H46:K46"/>
    <mergeCell ref="H47:K47"/>
    <mergeCell ref="H44:M44"/>
    <mergeCell ref="H48:K48"/>
    <mergeCell ref="H49:K49"/>
    <mergeCell ref="C47:C48"/>
    <mergeCell ref="D47:E48"/>
    <mergeCell ref="D45:E45"/>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1"/>
  <sheetViews>
    <sheetView zoomScale="85" zoomScaleNormal="85" zoomScaleSheetLayoutView="85" workbookViewId="0">
      <pane xSplit="5" ySplit="6" topLeftCell="M123" activePane="bottomRight" state="frozen"/>
      <selection pane="topRight" activeCell="D1" sqref="D1"/>
      <selection pane="bottomLeft" activeCell="A7" sqref="A7"/>
      <selection pane="bottomRight" activeCell="V126" sqref="V126"/>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46309</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498</v>
      </c>
      <c r="J39" s="47">
        <f t="shared" ca="1" si="10"/>
        <v>477</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274</v>
      </c>
      <c r="J70" s="47">
        <f t="shared" ref="J70:J78" ca="1" si="15">IF(($I70-21)&gt;0,$I70-21,0)</f>
        <v>253</v>
      </c>
      <c r="K70" s="164"/>
      <c r="L70" s="40"/>
      <c r="M70" s="41"/>
      <c r="N70" s="40"/>
      <c r="O70" s="41"/>
      <c r="P70" s="40"/>
      <c r="Q70" s="154"/>
      <c r="R70" s="27">
        <v>46030</v>
      </c>
      <c r="S70" s="27">
        <v>46030</v>
      </c>
      <c r="T70" s="188">
        <v>46035</v>
      </c>
      <c r="U70" s="29"/>
      <c r="V70" s="211"/>
      <c r="W70" s="235" t="s">
        <v>240</v>
      </c>
      <c r="X70" s="230"/>
      <c r="Y70" s="19"/>
      <c r="Z70" s="92" t="s">
        <v>1024</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7" si="23">IF($T80=0,$S80+22,$T80+21)</f>
        <v>45945</v>
      </c>
      <c r="F80" s="31" t="s">
        <v>629</v>
      </c>
      <c r="G80" s="21" t="s">
        <v>630</v>
      </c>
      <c r="H80" s="138" t="s">
        <v>6</v>
      </c>
      <c r="I80" s="164">
        <f t="shared" ref="I80:I127" si="24">IF(ISBLANK($V80),_xlfn.DAYS($I$1,$T80),_xlfn.DAYS($V80,$T80))</f>
        <v>6</v>
      </c>
      <c r="J80" s="47">
        <f t="shared" ref="J80:J127"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7"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113</v>
      </c>
      <c r="J97" s="47">
        <f t="shared" ca="1" si="25"/>
        <v>92</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124</v>
      </c>
      <c r="J112" s="47">
        <f t="shared" ca="1" si="25"/>
        <v>103</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64</v>
      </c>
      <c r="J113" s="47">
        <f t="shared" ca="1" si="25"/>
        <v>43</v>
      </c>
      <c r="K113" s="164"/>
      <c r="L113" s="40" t="s">
        <v>8</v>
      </c>
      <c r="M113" s="41" t="s">
        <v>8</v>
      </c>
      <c r="N113" s="40"/>
      <c r="O113" s="41"/>
      <c r="P113" s="40"/>
      <c r="Q113" s="154"/>
      <c r="R113" s="27">
        <v>46192</v>
      </c>
      <c r="S113" s="27">
        <v>46192</v>
      </c>
      <c r="T113" s="188">
        <v>46245</v>
      </c>
      <c r="U113" s="29"/>
      <c r="V113" s="211"/>
      <c r="W113" s="331" t="s">
        <v>240</v>
      </c>
      <c r="X113" s="230"/>
      <c r="Y113" s="19"/>
      <c r="Z113" s="92" t="s">
        <v>1019</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64</v>
      </c>
      <c r="J115" s="47">
        <f t="shared" ca="1" si="25"/>
        <v>43</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1023</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996</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1021</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1022</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980</v>
      </c>
      <c r="X121" s="230"/>
      <c r="Y121" s="19"/>
      <c r="Z121" s="92" t="s">
        <v>1016</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1018</v>
      </c>
    </row>
    <row r="123" spans="1:26" s="9" customFormat="1" ht="47.25">
      <c r="A123" s="33">
        <f t="shared" si="29"/>
        <v>117</v>
      </c>
      <c r="B123" s="33" t="str">
        <f t="shared" ref="B123:B124" si="55">MID(D123, FIND("-", D123) + 1, 4)</f>
        <v>5.10</v>
      </c>
      <c r="C123" s="164" t="s">
        <v>131</v>
      </c>
      <c r="D123" s="25" t="s">
        <v>971</v>
      </c>
      <c r="E123" s="174">
        <f t="shared" si="23"/>
        <v>46280</v>
      </c>
      <c r="F123" s="31" t="s">
        <v>972</v>
      </c>
      <c r="G123" s="21" t="s">
        <v>973</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971</v>
      </c>
      <c r="E124" s="174">
        <f t="shared" si="23"/>
        <v>46314</v>
      </c>
      <c r="F124" s="31" t="s">
        <v>972</v>
      </c>
      <c r="G124" s="21" t="s">
        <v>973</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1032</v>
      </c>
    </row>
    <row r="125" spans="1:26" s="9" customFormat="1" ht="63">
      <c r="A125" s="33">
        <f t="shared" si="29"/>
        <v>119</v>
      </c>
      <c r="B125" s="33" t="str">
        <f t="shared" ref="B125" si="56">MID(D125, FIND("-", D125) + 1, 4)</f>
        <v>5.10</v>
      </c>
      <c r="C125" s="164" t="s">
        <v>131</v>
      </c>
      <c r="D125" s="25" t="s">
        <v>1009</v>
      </c>
      <c r="E125" s="174">
        <f t="shared" si="23"/>
        <v>46316</v>
      </c>
      <c r="F125" s="31" t="s">
        <v>1010</v>
      </c>
      <c r="G125" s="21" t="s">
        <v>1011</v>
      </c>
      <c r="H125" s="138"/>
      <c r="I125" s="164">
        <f t="shared" ca="1" si="24"/>
        <v>14</v>
      </c>
      <c r="J125" s="47">
        <f t="shared" ca="1" si="25"/>
        <v>0</v>
      </c>
      <c r="K125" s="164"/>
      <c r="L125" s="40" t="s">
        <v>8</v>
      </c>
      <c r="M125" s="41"/>
      <c r="N125" s="40"/>
      <c r="O125" s="41"/>
      <c r="P125" s="40"/>
      <c r="Q125" s="154"/>
      <c r="R125" s="27">
        <v>46295</v>
      </c>
      <c r="S125" s="27">
        <v>46295</v>
      </c>
      <c r="T125" s="188">
        <v>46295</v>
      </c>
      <c r="U125" s="29"/>
      <c r="V125" s="211"/>
      <c r="W125" s="235"/>
      <c r="X125" s="230"/>
      <c r="Y125" s="19"/>
      <c r="Z125" s="92"/>
    </row>
    <row r="126" spans="1:26" s="9" customFormat="1" ht="78.75">
      <c r="A126" s="33">
        <f t="shared" si="29"/>
        <v>120</v>
      </c>
      <c r="B126" s="33" t="str">
        <f t="shared" ref="B126" si="57">MID(D126, FIND("-", D126) + 1, 4)</f>
        <v>5.11</v>
      </c>
      <c r="C126" s="164" t="s">
        <v>621</v>
      </c>
      <c r="D126" s="25" t="s">
        <v>1052</v>
      </c>
      <c r="E126" s="174">
        <f t="shared" si="23"/>
        <v>46323</v>
      </c>
      <c r="F126" s="31" t="s">
        <v>1053</v>
      </c>
      <c r="G126" s="21" t="s">
        <v>1054</v>
      </c>
      <c r="H126" s="138"/>
      <c r="I126" s="164">
        <f t="shared" ca="1" si="24"/>
        <v>7</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ht="31.5">
      <c r="A127" s="33">
        <f t="shared" si="29"/>
        <v>121</v>
      </c>
      <c r="B127" s="33" t="str">
        <f t="shared" ref="B127" si="58">MID(D127, FIND("-", D127) + 1, 4)</f>
        <v>5.11</v>
      </c>
      <c r="C127" s="164"/>
      <c r="D127" s="25" t="s">
        <v>1058</v>
      </c>
      <c r="E127" s="174">
        <f t="shared" si="23"/>
        <v>46325</v>
      </c>
      <c r="F127" s="31" t="s">
        <v>1059</v>
      </c>
      <c r="G127" s="21" t="s">
        <v>1060</v>
      </c>
      <c r="H127" s="138"/>
      <c r="I127" s="164">
        <f t="shared" ca="1" si="24"/>
        <v>5</v>
      </c>
      <c r="J127" s="47">
        <f t="shared" ca="1" si="25"/>
        <v>0</v>
      </c>
      <c r="K127" s="164"/>
      <c r="L127" s="40" t="s">
        <v>8</v>
      </c>
      <c r="M127" s="41"/>
      <c r="N127" s="40"/>
      <c r="O127" s="41"/>
      <c r="P127" s="40"/>
      <c r="Q127" s="154"/>
      <c r="R127" s="27">
        <v>46304</v>
      </c>
      <c r="S127" s="27">
        <v>46304</v>
      </c>
      <c r="T127" s="188">
        <v>46304</v>
      </c>
      <c r="U127" s="29"/>
      <c r="V127" s="211"/>
      <c r="W127" s="235"/>
      <c r="X127" s="230"/>
      <c r="Y127" s="19"/>
      <c r="Z127" s="92"/>
    </row>
    <row r="128" spans="1:26" s="9" customFormat="1">
      <c r="A128" s="23"/>
      <c r="B128" s="33"/>
      <c r="C128" s="137"/>
      <c r="D128" s="25"/>
      <c r="E128" s="174"/>
      <c r="F128" s="31"/>
      <c r="G128" s="21"/>
      <c r="H128" s="138"/>
      <c r="I128" s="177"/>
      <c r="J128" s="48"/>
      <c r="K128" s="177"/>
      <c r="L128" s="59"/>
      <c r="M128" s="60"/>
      <c r="N128" s="61"/>
      <c r="O128" s="144"/>
      <c r="P128" s="146"/>
      <c r="Q128" s="152"/>
      <c r="R128" s="27"/>
      <c r="S128" s="27"/>
      <c r="T128" s="187"/>
      <c r="U128" s="29"/>
      <c r="V128" s="188"/>
      <c r="W128" s="235"/>
      <c r="X128" s="230"/>
      <c r="Y128" s="19"/>
      <c r="Z128" s="92"/>
    </row>
    <row r="129" spans="1:26" s="9" customFormat="1" ht="16.5" thickBot="1">
      <c r="A129" s="24"/>
      <c r="B129" s="329"/>
      <c r="C129" s="165"/>
      <c r="D129" s="45"/>
      <c r="E129" s="175"/>
      <c r="F129" s="32"/>
      <c r="G129" s="22"/>
      <c r="H129" s="139"/>
      <c r="I129" s="178"/>
      <c r="J129" s="49"/>
      <c r="K129" s="178"/>
      <c r="L129" s="62"/>
      <c r="M129" s="63"/>
      <c r="N129" s="64"/>
      <c r="O129" s="145"/>
      <c r="P129" s="147"/>
      <c r="Q129" s="153"/>
      <c r="R129" s="44"/>
      <c r="S129" s="44"/>
      <c r="T129" s="189"/>
      <c r="U129" s="43"/>
      <c r="V129" s="194"/>
      <c r="W129" s="258"/>
      <c r="X129" s="232"/>
      <c r="Y129" s="20"/>
      <c r="Z129" s="93"/>
    </row>
    <row r="130" spans="1:26" ht="16.5" thickBot="1"/>
    <row r="131" spans="1:26" ht="16.5" thickBot="1">
      <c r="C131" s="207" t="s">
        <v>38</v>
      </c>
      <c r="D131" s="441" t="s">
        <v>39</v>
      </c>
      <c r="E131" s="442"/>
      <c r="F131" s="46"/>
      <c r="G131" s="68"/>
      <c r="H131" s="357" t="s">
        <v>14</v>
      </c>
      <c r="I131" s="358"/>
      <c r="J131" s="358"/>
      <c r="K131" s="358"/>
      <c r="L131" s="358"/>
      <c r="M131" s="359"/>
      <c r="N131" s="360" t="s">
        <v>7</v>
      </c>
      <c r="O131" s="361"/>
      <c r="P131" s="360" t="s">
        <v>110</v>
      </c>
      <c r="Q131" s="361"/>
      <c r="R131" s="1"/>
      <c r="S131" s="1"/>
      <c r="T131" s="140"/>
      <c r="U131" s="1"/>
      <c r="W131" s="11"/>
      <c r="X131" s="11"/>
      <c r="Y131" s="11"/>
    </row>
    <row r="132" spans="1:26" ht="16.5" customHeight="1" thickBot="1">
      <c r="C132" s="208" t="s">
        <v>74</v>
      </c>
      <c r="D132" s="439" t="s">
        <v>77</v>
      </c>
      <c r="E132" s="440"/>
      <c r="F132" s="46"/>
      <c r="G132" s="46"/>
      <c r="H132" s="434" t="s">
        <v>17</v>
      </c>
      <c r="I132" s="435"/>
      <c r="J132" s="130"/>
      <c r="K132" s="210"/>
      <c r="L132" s="117">
        <f ca="1">M132/$M$132</f>
        <v>1</v>
      </c>
      <c r="M132" s="104">
        <f ca="1">SUM($M$133:$M$135)</f>
        <v>125</v>
      </c>
      <c r="N132" s="118" t="s">
        <v>15</v>
      </c>
      <c r="O132" s="119" t="s">
        <v>16</v>
      </c>
      <c r="P132" s="117">
        <f ca="1">Q132/$Q$132</f>
        <v>1</v>
      </c>
      <c r="Q132" s="104">
        <f ca="1">SUM(Q133:Q134)</f>
        <v>107</v>
      </c>
      <c r="R132" s="1"/>
      <c r="S132" s="1"/>
      <c r="T132" s="140"/>
      <c r="U132" s="1"/>
      <c r="W132" s="11"/>
      <c r="X132" s="11"/>
      <c r="Y132" s="11"/>
    </row>
    <row r="133" spans="1:26">
      <c r="C133" s="385" t="s">
        <v>6</v>
      </c>
      <c r="D133" s="439" t="s">
        <v>40</v>
      </c>
      <c r="E133" s="440"/>
      <c r="F133" s="69"/>
      <c r="G133" s="6"/>
      <c r="H133" s="436" t="s">
        <v>69</v>
      </c>
      <c r="I133" s="437"/>
      <c r="J133" s="437"/>
      <c r="K133" s="438"/>
      <c r="L133" s="122">
        <f t="shared" ref="L133:L135" ca="1" si="59">M133/$M$132</f>
        <v>0.82399999999999995</v>
      </c>
      <c r="M133" s="123">
        <f>COUNTIF($H$7:$H$129,"RFCS")</f>
        <v>103</v>
      </c>
      <c r="N133" s="121">
        <f ca="1">COUNTIFS($I$7:$I$129,"&lt;=21",$H$7:$H$129,"RFCS")</f>
        <v>61</v>
      </c>
      <c r="O133" s="120">
        <f ca="1">COUNTIFS($I$7:$I$129,"&gt;21",$H$7:$H$129,"RFCS")</f>
        <v>41</v>
      </c>
      <c r="P133" s="122">
        <f ca="1">Q133/$Q$132</f>
        <v>0.63551401869158874</v>
      </c>
      <c r="Q133" s="123">
        <f>COUNTIF($Q$7:$Q$129,"RBE") + COUNTIF($Q$7:$Q$129,"SUP")</f>
        <v>68</v>
      </c>
      <c r="R133" s="1"/>
      <c r="S133" s="1"/>
      <c r="T133" s="140"/>
      <c r="U133" s="1"/>
      <c r="W133" s="11"/>
      <c r="X133" s="11"/>
      <c r="Y133" s="11"/>
    </row>
    <row r="134" spans="1:26">
      <c r="C134" s="385"/>
      <c r="D134" s="439"/>
      <c r="E134" s="440"/>
      <c r="F134" s="72"/>
      <c r="G134" s="6"/>
      <c r="H134" s="382" t="s">
        <v>70</v>
      </c>
      <c r="I134" s="383"/>
      <c r="J134" s="383"/>
      <c r="K134" s="384"/>
      <c r="L134" s="124">
        <f t="shared" ca="1" si="59"/>
        <v>6.4000000000000001E-2</v>
      </c>
      <c r="M134" s="125">
        <f ca="1">SUM(N134:O134)</f>
        <v>8</v>
      </c>
      <c r="N134" s="98">
        <f ca="1">COUNTIFS($I$7:$I$129,"&lt;=21",$U$7:$U$129,"",$K$7:$K$129,"&lt;&gt;X")</f>
        <v>3</v>
      </c>
      <c r="O134" s="50">
        <f ca="1">COUNTIFS($I$7:$I$129,"&gt;21",$U$7:$U$129,"",$K$7:$K$129,"&lt;&gt;X")</f>
        <v>5</v>
      </c>
      <c r="P134" s="124">
        <f ca="1">Q134/$Q$132</f>
        <v>0.3644859813084112</v>
      </c>
      <c r="Q134" s="125">
        <f ca="1">COUNTIFS($I$7:$I$129,"&gt;=0",$P$7:$P$129,"",$K$7:$K$129,"&lt;&gt;X")</f>
        <v>39</v>
      </c>
      <c r="R134" s="1" t="s">
        <v>10</v>
      </c>
      <c r="S134" s="1"/>
      <c r="T134" s="140"/>
      <c r="U134" s="1"/>
      <c r="W134" s="11"/>
      <c r="X134" s="11"/>
      <c r="Y134" s="11"/>
    </row>
    <row r="135" spans="1:26" ht="16.5" thickBot="1">
      <c r="C135" s="385" t="s">
        <v>75</v>
      </c>
      <c r="D135" s="387" t="s">
        <v>76</v>
      </c>
      <c r="E135" s="388"/>
      <c r="H135" s="354" t="s">
        <v>71</v>
      </c>
      <c r="I135" s="355"/>
      <c r="J135" s="355"/>
      <c r="K135" s="356"/>
      <c r="L135" s="126">
        <f t="shared" ca="1" si="59"/>
        <v>0.112</v>
      </c>
      <c r="M135" s="116">
        <f>COUNTIFS($K$7:$K$129,"X")</f>
        <v>14</v>
      </c>
      <c r="N135" s="99"/>
      <c r="O135" s="51"/>
      <c r="P135" s="223"/>
      <c r="Q135" s="224"/>
    </row>
    <row r="136" spans="1:26" ht="16.5" thickBot="1">
      <c r="C136" s="386"/>
      <c r="D136" s="389"/>
      <c r="E136" s="390"/>
    </row>
    <row r="138" spans="1:26">
      <c r="C138" s="372" t="s">
        <v>41</v>
      </c>
      <c r="D138" s="372"/>
      <c r="E138" s="372"/>
    </row>
    <row r="139" spans="1:26">
      <c r="C139" s="169" t="s">
        <v>8</v>
      </c>
      <c r="D139" s="1" t="s">
        <v>42</v>
      </c>
    </row>
    <row r="140" spans="1:26">
      <c r="C140" s="169" t="s">
        <v>8</v>
      </c>
      <c r="D140" s="127" t="s">
        <v>43</v>
      </c>
    </row>
    <row r="141" spans="1:26">
      <c r="C141" s="169" t="s">
        <v>8</v>
      </c>
      <c r="D141" s="1" t="s">
        <v>44</v>
      </c>
    </row>
  </sheetData>
  <autoFilter ref="A6:Z127" xr:uid="{C184EF3E-84BF-4DCF-951B-B90EB4B9D23F}">
    <sortState xmlns:xlrd2="http://schemas.microsoft.com/office/spreadsheetml/2017/richdata2" ref="A7:Z32">
      <sortCondition ref="S6"/>
    </sortState>
  </autoFilter>
  <mergeCells count="32">
    <mergeCell ref="B4:B5"/>
    <mergeCell ref="P131:Q131"/>
    <mergeCell ref="J4:J5"/>
    <mergeCell ref="D131:E131"/>
    <mergeCell ref="H131:M131"/>
    <mergeCell ref="N131:O131"/>
    <mergeCell ref="H132:I132"/>
    <mergeCell ref="C138:E138"/>
    <mergeCell ref="H133:K133"/>
    <mergeCell ref="H134:K134"/>
    <mergeCell ref="H135:K135"/>
    <mergeCell ref="D132:E132"/>
    <mergeCell ref="C133:C134"/>
    <mergeCell ref="D133:E134"/>
    <mergeCell ref="C135:C136"/>
    <mergeCell ref="D135:E136"/>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29">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9" r:id="rId128" xr:uid="{F06CE902-4089-4B08-A7E9-420A16C9FF0E}"/>
    <hyperlink ref="C140" r:id="rId129" xr:uid="{6D322F1B-B574-40E7-BED0-14ED893C19C5}"/>
    <hyperlink ref="C141"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s>
  <pageMargins left="0.25" right="0.17" top="0.5" bottom="0.25" header="0.3" footer="0.3"/>
  <pageSetup paperSize="9" scale="28" orientation="landscape" horizontalDpi="300" verticalDpi="300" r:id="rId47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_xlfn._xlws.FILTER(RFA!$E$5:$E$4572, RFA!$AI$5:$AI$4572="YES","")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846</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811</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509</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390</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330</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307</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302</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139</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546</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456</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345</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345</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345</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345</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345</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272</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323</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303</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303</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846</v>
      </c>
      <c r="B3" s="319">
        <f ca="1">AVERAGEIF('Need ReSub (RFA)'!S7:S76,"&lt;&gt;0")</f>
        <v>454.25</v>
      </c>
      <c r="C3" s="319">
        <f ca="1">MAX(_xlfn.ANCHORARRAY('Need ReSub (RFA-SDS)'!R7))</f>
        <v>546</v>
      </c>
      <c r="D3" s="319">
        <f ca="1">AVERAGEIF(_xlfn.ANCHORARRAY('Need ReSub (RFA-SDS)'!R7),"&lt;&gt;0")</f>
        <v>337.75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454 days, with a maximum of 846 days, indicating that delays in the RFA approval process are contributing to delays in construction work.
Furthermore, the RFA (SDS) is as follows:
Avarage :  338 days
Maimum :  546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2026-10-14T04:06:44Z</dcterms:modified>
</cp:coreProperties>
</file>