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79BA979A-7609-4D27-935F-A679DD1F78F8}" xr6:coauthVersionLast="47" xr6:coauthVersionMax="47" xr10:uidLastSave="{00000000-0000-0000-0000-000000000000}"/>
  <bookViews>
    <workbookView xWindow="-120" yWindow="-120" windowWidth="29040" windowHeight="16440" tabRatio="506" activeTab="2"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RFA!$A$6:$AE$143</definedName>
    <definedName name="_xlnm._FilterDatabase" localSheetId="1" hidden="1">'RFA-SDS'!$A$6:$AD$34</definedName>
    <definedName name="_xlnm._FilterDatabase" localSheetId="2" hidden="1">RFI!$A$6:$Z$127</definedName>
    <definedName name="_xlnm.Print_Area" localSheetId="3">'Need ReSub (RFA)'!$A$1:$S$77</definedName>
    <definedName name="_xlnm.Print_Area" localSheetId="4">'Need ReSub (RFA-SDS)'!$A$1:$R$62</definedName>
    <definedName name="_xlnm.Print_Area" localSheetId="0">RFA!$A$1:$AE$143,RFA!$I$145:$R$151,RFA!$C$145:$F$155,RFA!$C$157:$F$160,RFA!$C$162:$F$173</definedName>
    <definedName name="_xlnm.Print_Area" localSheetId="1">'RFA-SDS'!$A$1:$AD$42,'RFA-SDS'!$H$44:$Q$50,'RFA-SDS'!$C$44:$E$48,'RFA-SDS'!$C$50:$E$53</definedName>
    <definedName name="_xlnm.Print_Area" localSheetId="2">RFI!$A$1:$Z$131,RFI!$H$133:$Q$137,RFI!$C$133:$E$138,RFI!$C$140:$E$143</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141" i="1" l="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2" i="1"/>
  <c r="AA142" i="1"/>
  <c r="AG126" i="1"/>
  <c r="AC126" i="1"/>
  <c r="AD126" i="1" s="1"/>
  <c r="AA126" i="1"/>
  <c r="F126" i="1"/>
  <c r="B126" i="1"/>
  <c r="AG125" i="1"/>
  <c r="AC125" i="1"/>
  <c r="AD125" i="1" s="1"/>
  <c r="AA125" i="1"/>
  <c r="F125" i="1"/>
  <c r="B125" i="1"/>
  <c r="AI143" i="1"/>
  <c r="Z42" i="4"/>
  <c r="Z41"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3"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AB38" i="4"/>
  <c r="AC38" i="4" s="1"/>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H12" i="4" s="1"/>
  <c r="AG13" i="4"/>
  <c r="AG14" i="4"/>
  <c r="AG15" i="4"/>
  <c r="AG16" i="4"/>
  <c r="AG17" i="4"/>
  <c r="AG18" i="4"/>
  <c r="AG19" i="4"/>
  <c r="AG20" i="4"/>
  <c r="AG21" i="4"/>
  <c r="AG22" i="4"/>
  <c r="AG23" i="4"/>
  <c r="AG24" i="4"/>
  <c r="AG25" i="4"/>
  <c r="AG26" i="4"/>
  <c r="AG27" i="4"/>
  <c r="AG28" i="4"/>
  <c r="AG29" i="4"/>
  <c r="AG30" i="4"/>
  <c r="AG31" i="4"/>
  <c r="AG32" i="4"/>
  <c r="AG33" i="4"/>
  <c r="AG7" i="4"/>
  <c r="AH40" i="4" s="1" a="1"/>
  <c r="AH40" i="4" s="1"/>
  <c r="AI40"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H141" i="1" s="1" a="1"/>
  <c r="AH141" i="1" s="1"/>
  <c r="AI141" i="1" s="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140" i="1" l="1" a="1"/>
  <c r="AH140" i="1" s="1"/>
  <c r="AI140" i="1" s="1"/>
  <c r="AH138" i="1" a="1"/>
  <c r="AH138" i="1" s="1"/>
  <c r="AI138" i="1" s="1"/>
  <c r="AH139" i="1" a="1"/>
  <c r="AH139" i="1" s="1"/>
  <c r="AI139" i="1" s="1"/>
  <c r="AH136" i="1" a="1"/>
  <c r="AH136" i="1" s="1"/>
  <c r="AI136" i="1" s="1"/>
  <c r="AH137" i="1" a="1"/>
  <c r="AH137" i="1" s="1"/>
  <c r="AI137" i="1" s="1"/>
  <c r="AH134" i="1" a="1"/>
  <c r="AH134" i="1" s="1"/>
  <c r="AI134" i="1" s="1"/>
  <c r="AH135" i="1" a="1"/>
  <c r="AH135" i="1" s="1"/>
  <c r="AI135" i="1" s="1"/>
  <c r="AH132" i="1" a="1"/>
  <c r="AH132" i="1" s="1"/>
  <c r="AI132" i="1" s="1"/>
  <c r="AH133" i="1" a="1"/>
  <c r="AH133" i="1" s="1"/>
  <c r="AI133" i="1" s="1"/>
  <c r="AH130" i="1" a="1"/>
  <c r="AH130" i="1" s="1"/>
  <c r="AI130" i="1" s="1"/>
  <c r="AH131" i="1" a="1"/>
  <c r="AH131" i="1" s="1"/>
  <c r="AI131" i="1" s="1"/>
  <c r="AH129" i="1" a="1"/>
  <c r="AH129" i="1" s="1"/>
  <c r="AI129" i="1" s="1"/>
  <c r="AH128" i="1" a="1"/>
  <c r="AH128" i="1" s="1"/>
  <c r="AI128" i="1" s="1"/>
  <c r="AH127" i="1" a="1"/>
  <c r="AH127" i="1" s="1"/>
  <c r="AI127" i="1" s="1"/>
  <c r="AH126" i="1" a="1"/>
  <c r="AH126" i="1" s="1"/>
  <c r="AI126" i="1" s="1"/>
  <c r="AH125" i="1" a="1"/>
  <c r="AH125" i="1" s="1"/>
  <c r="AI125" i="1" s="1"/>
  <c r="AH38" i="4" a="1"/>
  <c r="AH38" i="4" s="1"/>
  <c r="AI38" i="4" s="1"/>
  <c r="AH39" i="4" a="1"/>
  <c r="AH39" i="4" s="1"/>
  <c r="AI39" i="4" s="1"/>
  <c r="AH36" i="4" a="1"/>
  <c r="AH36" i="4" s="1"/>
  <c r="AI36" i="4" s="1"/>
  <c r="AH37" i="4" a="1"/>
  <c r="AH37" i="4" s="1"/>
  <c r="AI37" i="4" s="1"/>
  <c r="AH124" i="1" a="1"/>
  <c r="AH124" i="1" s="1"/>
  <c r="AI124" i="1" s="1"/>
  <c r="AH122" i="1" a="1"/>
  <c r="AH122" i="1" s="1"/>
  <c r="AI122" i="1" s="1"/>
  <c r="AH123" i="1" a="1"/>
  <c r="AH123" i="1" s="1"/>
  <c r="AI123" i="1" s="1"/>
  <c r="AH34" i="4" a="1"/>
  <c r="AH34" i="4" s="1"/>
  <c r="AI34" i="4" s="1"/>
  <c r="AH35" i="4" a="1"/>
  <c r="AH35" i="4" s="1"/>
  <c r="AI35" i="4" s="1"/>
  <c r="AH121" i="1" a="1"/>
  <c r="AH121" i="1" s="1"/>
  <c r="AI121" i="1" s="1"/>
  <c r="AH120" i="1" a="1"/>
  <c r="AH120" i="1" s="1"/>
  <c r="AI120" i="1" s="1"/>
  <c r="AH118" i="1" a="1"/>
  <c r="AH118" i="1" s="1"/>
  <c r="AI118" i="1" s="1"/>
  <c r="AH119" i="1" a="1"/>
  <c r="AH119" i="1" s="1"/>
  <c r="AI119" i="1" s="1"/>
  <c r="AH116" i="1" a="1"/>
  <c r="AH116" i="1" s="1"/>
  <c r="AI116" i="1" s="1"/>
  <c r="AH117" i="1" a="1"/>
  <c r="AH117" i="1" s="1"/>
  <c r="AI117" i="1" s="1"/>
  <c r="AH114" i="1" a="1"/>
  <c r="AH114" i="1" s="1"/>
  <c r="AI114" i="1" s="1"/>
  <c r="AH115" i="1" a="1"/>
  <c r="AH115" i="1" s="1"/>
  <c r="AI115" i="1" s="1"/>
  <c r="AH113" i="1" a="1"/>
  <c r="AH113" i="1" s="1"/>
  <c r="AI113" i="1" s="1"/>
  <c r="AH111" i="1" a="1"/>
  <c r="AH111" i="1" s="1"/>
  <c r="AI111" i="1" s="1"/>
  <c r="AH112" i="1" a="1"/>
  <c r="AH112" i="1" s="1"/>
  <c r="AI112" i="1" s="1"/>
  <c r="AH109" i="1" a="1"/>
  <c r="AH109" i="1" s="1"/>
  <c r="AI109" i="1" s="1"/>
  <c r="AH110" i="1" a="1"/>
  <c r="AH110" i="1" s="1"/>
  <c r="AI110" i="1" s="1"/>
  <c r="AH103" i="1" a="1"/>
  <c r="AH103" i="1" s="1"/>
  <c r="AI103" i="1" s="1"/>
  <c r="AH108" i="1" a="1"/>
  <c r="AH108" i="1" s="1"/>
  <c r="AI108" i="1" s="1"/>
  <c r="AH106" i="1" a="1"/>
  <c r="AH106" i="1" s="1"/>
  <c r="AI106" i="1" s="1"/>
  <c r="AH107" i="1" a="1"/>
  <c r="AH107" i="1" s="1"/>
  <c r="AI107" i="1" s="1"/>
  <c r="AH104" i="1" a="1"/>
  <c r="AH104" i="1" s="1"/>
  <c r="AI104" i="1" s="1"/>
  <c r="AH105" i="1" a="1"/>
  <c r="AH105" i="1" s="1"/>
  <c r="AI105" i="1" s="1"/>
  <c r="AH101" i="1" a="1"/>
  <c r="AH101" i="1" s="1"/>
  <c r="AI101" i="1" s="1"/>
  <c r="AH102" i="1" a="1"/>
  <c r="AH102" i="1" s="1"/>
  <c r="AI102" i="1" s="1"/>
  <c r="AH98" i="1" a="1"/>
  <c r="AH98" i="1" s="1"/>
  <c r="AI98" i="1" s="1"/>
  <c r="AH99" i="1" a="1"/>
  <c r="AH99" i="1" s="1"/>
  <c r="AI99" i="1" s="1"/>
  <c r="AH100" i="1" a="1"/>
  <c r="AH100" i="1" s="1"/>
  <c r="AI100" i="1" s="1"/>
  <c r="AH92" i="1" a="1"/>
  <c r="AH92" i="1" s="1"/>
  <c r="AI92" i="1" s="1"/>
  <c r="AH96" i="1" a="1"/>
  <c r="AH96" i="1" s="1"/>
  <c r="AI96" i="1" s="1"/>
  <c r="AH95" i="1" a="1"/>
  <c r="AH95" i="1" s="1"/>
  <c r="AI95" i="1" s="1"/>
  <c r="AH97" i="1" a="1"/>
  <c r="AH97" i="1" s="1"/>
  <c r="AI97" i="1" s="1"/>
  <c r="AH93" i="1" a="1"/>
  <c r="AH93" i="1" s="1"/>
  <c r="AI93" i="1" s="1"/>
  <c r="AH94" i="1" a="1"/>
  <c r="AH94" i="1" s="1"/>
  <c r="AI94" i="1" s="1"/>
  <c r="AH89" i="1" a="1"/>
  <c r="AH89" i="1" s="1"/>
  <c r="AI89" i="1" s="1"/>
  <c r="AH91" i="1" a="1"/>
  <c r="AH91" i="1" s="1"/>
  <c r="AI91" i="1" s="1"/>
  <c r="AH90" i="1" a="1"/>
  <c r="AH90" i="1" s="1"/>
  <c r="AI90" i="1" s="1"/>
  <c r="AH87" i="1" a="1"/>
  <c r="AH87" i="1" s="1"/>
  <c r="AI87" i="1" s="1"/>
  <c r="AH88" i="1" a="1"/>
  <c r="AH88" i="1" s="1"/>
  <c r="AI88" i="1" s="1"/>
  <c r="AH85" i="1" a="1"/>
  <c r="AH85" i="1" s="1"/>
  <c r="AI85" i="1" s="1"/>
  <c r="AH86" i="1" a="1"/>
  <c r="AH86" i="1" s="1"/>
  <c r="AI86" i="1" s="1"/>
  <c r="AH84" i="1" a="1"/>
  <c r="AH84" i="1" s="1"/>
  <c r="AI84" i="1" s="1"/>
  <c r="AH83" i="1" a="1"/>
  <c r="AH83" i="1" s="1"/>
  <c r="AI83" i="1" s="1"/>
  <c r="AH82" i="1" a="1"/>
  <c r="AH82" i="1" s="1"/>
  <c r="AI82" i="1" s="1"/>
  <c r="AH81" i="1" a="1"/>
  <c r="AH81" i="1" s="1"/>
  <c r="AI81" i="1" s="1"/>
  <c r="AH80" i="1" a="1"/>
  <c r="AH80" i="1" s="1"/>
  <c r="AI80" i="1" s="1"/>
  <c r="AH79" i="1" a="1"/>
  <c r="AH79" i="1" s="1"/>
  <c r="AI79" i="1" s="1"/>
  <c r="AH78" i="1" a="1"/>
  <c r="AH78" i="1" s="1"/>
  <c r="AI78" i="1" s="1"/>
  <c r="AH76" i="1" a="1"/>
  <c r="AH76" i="1" s="1"/>
  <c r="AI76" i="1" s="1"/>
  <c r="AH77" i="1" a="1"/>
  <c r="AH77" i="1" s="1"/>
  <c r="AI77" i="1" s="1"/>
  <c r="AH75" i="1" a="1"/>
  <c r="AH75" i="1" s="1"/>
  <c r="AI75" i="1" s="1"/>
  <c r="AH74" i="1" a="1"/>
  <c r="AH74" i="1" s="1"/>
  <c r="AI74" i="1" s="1"/>
  <c r="AH72" i="1" a="1"/>
  <c r="AH72" i="1" s="1"/>
  <c r="AI72" i="1" s="1"/>
  <c r="AH73" i="1" a="1"/>
  <c r="AH73" i="1" s="1"/>
  <c r="AI73" i="1" s="1"/>
  <c r="AH70" i="1" a="1"/>
  <c r="AH70" i="1" s="1"/>
  <c r="AI70" i="1" s="1"/>
  <c r="AH71" i="1" a="1"/>
  <c r="AH71" i="1" s="1"/>
  <c r="AI71" i="1" s="1"/>
  <c r="AH46" i="1" a="1"/>
  <c r="AH46" i="1" s="1"/>
  <c r="AI46" i="1" s="1"/>
  <c r="AH23" i="4" a="1"/>
  <c r="AH23" i="4" s="1"/>
  <c r="AI23" i="4" s="1"/>
  <c r="AH7" i="4" a="1"/>
  <c r="AH7" i="4" s="1"/>
  <c r="AI7" i="4" s="1"/>
  <c r="AI12" i="4"/>
  <c r="AH15" i="4" a="1"/>
  <c r="AH15" i="4" s="1"/>
  <c r="AI15" i="4" s="1"/>
  <c r="AH18" i="4" a="1"/>
  <c r="AH18" i="4" s="1"/>
  <c r="AI18" i="4" s="1"/>
  <c r="AH28" i="4" a="1"/>
  <c r="AH28" i="4" s="1"/>
  <c r="AI28" i="4" s="1"/>
  <c r="AH11" i="4" a="1"/>
  <c r="AH11" i="4" s="1"/>
  <c r="AI11" i="4" s="1"/>
  <c r="AH10" i="4" a="1"/>
  <c r="AH10" i="4" s="1"/>
  <c r="AI10" i="4" s="1"/>
  <c r="AH26" i="4" a="1"/>
  <c r="AH26" i="4" s="1"/>
  <c r="AI26" i="4" s="1"/>
  <c r="AH19" i="4" a="1"/>
  <c r="AH19" i="4" s="1"/>
  <c r="AI19" i="4" s="1"/>
  <c r="AH27" i="4" a="1"/>
  <c r="AH27" i="4" s="1"/>
  <c r="AI27" i="4" s="1"/>
  <c r="AH20" i="4" a="1"/>
  <c r="AH20" i="4" s="1"/>
  <c r="AI20" i="4" s="1"/>
  <c r="AH31" i="4" a="1"/>
  <c r="AH31" i="4" s="1"/>
  <c r="AI31" i="4" s="1"/>
  <c r="AH9" i="4" a="1"/>
  <c r="AH9" i="4" s="1"/>
  <c r="AI9" i="4" s="1"/>
  <c r="AH17" i="4" a="1"/>
  <c r="AH17" i="4" s="1"/>
  <c r="AI17" i="4" s="1"/>
  <c r="AH25" i="4" a="1"/>
  <c r="AH25" i="4" s="1"/>
  <c r="AI25" i="4" s="1"/>
  <c r="AH33" i="4" a="1"/>
  <c r="AH33" i="4" s="1"/>
  <c r="AI33" i="4" s="1"/>
  <c r="AH14" i="4" a="1"/>
  <c r="AH14" i="4" s="1"/>
  <c r="AI14" i="4" s="1"/>
  <c r="AH22" i="4" a="1"/>
  <c r="AH22" i="4" s="1"/>
  <c r="AI22" i="4" s="1"/>
  <c r="AH30" i="4" a="1"/>
  <c r="AH30" i="4" s="1"/>
  <c r="AI30" i="4" s="1"/>
  <c r="AH8" i="4" a="1"/>
  <c r="AH8" i="4" s="1"/>
  <c r="AI8" i="4" s="1"/>
  <c r="AH29" i="4" a="1"/>
  <c r="AH29" i="4" s="1"/>
  <c r="AI29" i="4" s="1"/>
  <c r="AH21" i="4" a="1"/>
  <c r="AH21" i="4" s="1"/>
  <c r="AI21" i="4" s="1"/>
  <c r="AH13" i="4" a="1"/>
  <c r="AH13" i="4" s="1"/>
  <c r="AI13" i="4" s="1"/>
  <c r="AH32" i="4" a="1"/>
  <c r="AH32" i="4" s="1"/>
  <c r="AI32" i="4" s="1"/>
  <c r="AH24" i="4" a="1"/>
  <c r="AH24" i="4" s="1"/>
  <c r="AI24" i="4" s="1"/>
  <c r="AH16" i="4" a="1"/>
  <c r="AH16" i="4" s="1"/>
  <c r="AI16" i="4" s="1"/>
  <c r="AH30" i="1" a="1"/>
  <c r="AH30" i="1" s="1"/>
  <c r="AI30" i="1" s="1"/>
  <c r="AH31" i="1" a="1"/>
  <c r="AH31" i="1" s="1"/>
  <c r="AI31" i="1" s="1"/>
  <c r="AH62" i="1" a="1"/>
  <c r="AH62" i="1" s="1"/>
  <c r="AI62" i="1" s="1"/>
  <c r="AH13" i="1" a="1"/>
  <c r="AH13" i="1" s="1"/>
  <c r="AI13" i="1" s="1"/>
  <c r="AH12" i="1" a="1"/>
  <c r="AH12" i="1" s="1"/>
  <c r="AI12" i="1" s="1"/>
  <c r="AH54" i="1" a="1"/>
  <c r="AH54" i="1" s="1"/>
  <c r="AI54" i="1" s="1"/>
  <c r="AH18" i="1" a="1"/>
  <c r="AH18" i="1" s="1"/>
  <c r="AI18" i="1" s="1"/>
  <c r="AH7" i="1" a="1"/>
  <c r="AH7" i="1" s="1"/>
  <c r="AI7" i="1" s="1"/>
  <c r="AH64" i="1" a="1"/>
  <c r="AH64" i="1" s="1"/>
  <c r="AI64" i="1" s="1"/>
  <c r="AH51" i="1" a="1"/>
  <c r="AH51" i="1" s="1"/>
  <c r="AI51" i="1" s="1"/>
  <c r="AH59" i="1" a="1"/>
  <c r="AH59" i="1" s="1"/>
  <c r="AI59" i="1" s="1"/>
  <c r="AH16" i="1" a="1"/>
  <c r="AH16" i="1" s="1"/>
  <c r="AI16" i="1" s="1"/>
  <c r="AH57" i="1" a="1"/>
  <c r="AH57" i="1" s="1"/>
  <c r="AI57" i="1" s="1"/>
  <c r="AH42" i="1" a="1"/>
  <c r="AH42" i="1" s="1"/>
  <c r="AI42" i="1" s="1"/>
  <c r="AH41" i="1" a="1"/>
  <c r="AH41" i="1" s="1"/>
  <c r="AI41" i="1" s="1"/>
  <c r="AH20" i="1" a="1"/>
  <c r="AH20" i="1" s="1"/>
  <c r="AI20" i="1" s="1"/>
  <c r="AH37" i="1" a="1"/>
  <c r="AH37" i="1" s="1"/>
  <c r="AI37" i="1" s="1"/>
  <c r="AH34" i="1" a="1"/>
  <c r="AH34" i="1" s="1"/>
  <c r="AI34" i="1" s="1"/>
  <c r="AH14" i="1" a="1"/>
  <c r="AH14" i="1" s="1"/>
  <c r="AI14" i="1" s="1"/>
  <c r="AH60" i="1" a="1"/>
  <c r="AH60" i="1" s="1"/>
  <c r="AI60" i="1" s="1"/>
  <c r="AH49" i="1" a="1"/>
  <c r="AH49" i="1" s="1"/>
  <c r="AI49" i="1" s="1"/>
  <c r="AH25" i="1" a="1"/>
  <c r="AH25" i="1" s="1"/>
  <c r="AI25" i="1" s="1"/>
  <c r="AH23" i="1" a="1"/>
  <c r="AH23" i="1" s="1"/>
  <c r="AI23" i="1" s="1"/>
  <c r="AH15" i="1" a="1"/>
  <c r="AH15" i="1" s="1"/>
  <c r="AI15" i="1" s="1"/>
  <c r="AH50" i="1" a="1"/>
  <c r="AH50" i="1" s="1"/>
  <c r="AI50" i="1" s="1"/>
  <c r="AH36" i="1" a="1"/>
  <c r="AH36" i="1" s="1"/>
  <c r="AI36" i="1" s="1"/>
  <c r="AH47" i="1" a="1"/>
  <c r="AH47" i="1" s="1"/>
  <c r="AI47" i="1" s="1"/>
  <c r="AH17" i="1" a="1"/>
  <c r="AH17" i="1" s="1"/>
  <c r="AI17" i="1" s="1"/>
  <c r="AH27" i="1" a="1"/>
  <c r="AH27" i="1" s="1"/>
  <c r="AI27" i="1" s="1"/>
  <c r="AH40" i="1" a="1"/>
  <c r="AH40" i="1" s="1"/>
  <c r="AI40" i="1" s="1"/>
  <c r="AH11" i="1" a="1"/>
  <c r="AH11" i="1" s="1"/>
  <c r="AI11" i="1" s="1"/>
  <c r="AH33" i="1" a="1"/>
  <c r="AH33" i="1" s="1"/>
  <c r="AI33" i="1" s="1"/>
  <c r="AH22" i="1" a="1"/>
  <c r="AH22" i="1" s="1"/>
  <c r="AI22" i="1" s="1"/>
  <c r="AH68" i="1" a="1"/>
  <c r="AH68" i="1" s="1"/>
  <c r="AI68" i="1" s="1"/>
  <c r="AH26" i="1" a="1"/>
  <c r="AH26" i="1" s="1"/>
  <c r="AI26" i="1" s="1"/>
  <c r="AH52" i="1" a="1"/>
  <c r="AH52" i="1" s="1"/>
  <c r="AI52" i="1" s="1"/>
  <c r="AH39" i="1" a="1"/>
  <c r="AH39" i="1" s="1"/>
  <c r="AI39" i="1" s="1"/>
  <c r="AH69" i="1" a="1"/>
  <c r="AH69" i="1" s="1"/>
  <c r="AI69" i="1" s="1"/>
  <c r="AH65" i="1" a="1"/>
  <c r="AH65" i="1" s="1"/>
  <c r="AI65" i="1" s="1"/>
  <c r="AH66" i="1" a="1"/>
  <c r="AH66" i="1" s="1"/>
  <c r="AI66" i="1" s="1"/>
  <c r="AH32" i="1" a="1"/>
  <c r="AH32" i="1" s="1"/>
  <c r="AI32" i="1" s="1"/>
  <c r="AH10" i="1" a="1"/>
  <c r="AH10" i="1" s="1"/>
  <c r="AI10" i="1" s="1"/>
  <c r="AH43" i="1" a="1"/>
  <c r="AH43" i="1" s="1"/>
  <c r="AI43" i="1" s="1"/>
  <c r="AH21" i="1" a="1"/>
  <c r="AH21" i="1" s="1"/>
  <c r="AI21" i="1" s="1"/>
  <c r="AH28" i="1" a="1"/>
  <c r="AH28" i="1" s="1"/>
  <c r="AI28" i="1" s="1"/>
  <c r="AH56" i="1" a="1"/>
  <c r="AH56" i="1" s="1"/>
  <c r="AI56" i="1" s="1"/>
  <c r="AH58" i="1" a="1"/>
  <c r="AH58" i="1" s="1"/>
  <c r="AI58" i="1" s="1"/>
  <c r="AH45" i="1" a="1"/>
  <c r="AH45" i="1" s="1"/>
  <c r="AI45" i="1" s="1"/>
  <c r="AH55" i="1" a="1"/>
  <c r="AH55" i="1" s="1"/>
  <c r="AI55" i="1" s="1"/>
  <c r="AH63" i="1" a="1"/>
  <c r="AH63" i="1" s="1"/>
  <c r="AI63" i="1" s="1"/>
  <c r="AH24" i="1" a="1"/>
  <c r="AH24" i="1" s="1"/>
  <c r="AI24" i="1" s="1"/>
  <c r="AH67" i="1" a="1"/>
  <c r="AH67" i="1" s="1"/>
  <c r="AI67" i="1" s="1"/>
  <c r="AH38" i="1" a="1"/>
  <c r="AH38" i="1" s="1"/>
  <c r="AI38" i="1" s="1"/>
  <c r="AH29" i="1" a="1"/>
  <c r="AH29" i="1" s="1"/>
  <c r="AI29" i="1" s="1"/>
  <c r="AH19" i="1" a="1"/>
  <c r="AH19" i="1" s="1"/>
  <c r="AI19" i="1" s="1"/>
  <c r="AH44" i="1" a="1"/>
  <c r="AH44" i="1" s="1"/>
  <c r="AI44" i="1" s="1"/>
  <c r="AH35" i="1" a="1"/>
  <c r="AH35" i="1" s="1"/>
  <c r="AI35" i="1" s="1"/>
  <c r="AH9" i="1" a="1"/>
  <c r="AH9" i="1" s="1"/>
  <c r="AI9" i="1" s="1"/>
  <c r="AH48" i="1" a="1"/>
  <c r="AH48" i="1" s="1"/>
  <c r="AI48" i="1" s="1"/>
  <c r="AH53" i="1" a="1"/>
  <c r="AH53" i="1" s="1"/>
  <c r="AI53" i="1" s="1"/>
  <c r="AH61" i="1" a="1"/>
  <c r="AH61" i="1" s="1"/>
  <c r="AI61" i="1" s="1"/>
  <c r="AH8" i="1" a="1"/>
  <c r="AH8" i="1" s="1"/>
  <c r="AI8" i="1" s="1"/>
  <c r="C7" i="7" l="1" a="1"/>
  <c r="D7" i="6" a="1"/>
  <c r="C7" i="7" l="1"/>
  <c r="P7" i="7" s="1" a="1"/>
  <c r="P7" i="7" s="1"/>
  <c r="D7" i="6"/>
  <c r="Q7" i="6" s="1" a="1"/>
  <c r="Q7" i="6" s="1"/>
  <c r="Q135" i="5"/>
  <c r="Q48" i="4"/>
  <c r="Q47" i="4"/>
  <c r="Q46" i="4"/>
  <c r="R149" i="1"/>
  <c r="R148" i="1"/>
  <c r="R147" i="1"/>
  <c r="B7" i="6" l="1" a="1"/>
  <c r="B7" i="6" s="1"/>
  <c r="A7" i="7" a="1"/>
  <c r="A7" i="7" s="1"/>
  <c r="I7" i="7" a="1"/>
  <c r="I7" i="7" s="1"/>
  <c r="J7" i="7" a="1"/>
  <c r="J7" i="7" s="1"/>
  <c r="K7" i="7" a="1"/>
  <c r="K7" i="7" s="1"/>
  <c r="L7" i="7" a="1"/>
  <c r="L7" i="7" s="1"/>
  <c r="H7" i="7" a="1"/>
  <c r="H7" i="7" s="1"/>
  <c r="O7" i="7" a="1"/>
  <c r="O7" i="7" s="1"/>
  <c r="F7" i="7" a="1"/>
  <c r="F7" i="7" s="1"/>
  <c r="G7" i="7" a="1"/>
  <c r="G7" i="7" s="1"/>
  <c r="N7" i="7" a="1"/>
  <c r="N7" i="7" s="1"/>
  <c r="E7" i="7" a="1"/>
  <c r="E7" i="7" s="1"/>
  <c r="M7" i="7" a="1"/>
  <c r="M7" i="7" s="1"/>
  <c r="D7" i="7" a="1"/>
  <c r="D7" i="7" s="1"/>
  <c r="B7" i="7" a="1"/>
  <c r="B7" i="7" s="1"/>
  <c r="C7" i="6" a="1"/>
  <c r="C7" i="6" s="1"/>
  <c r="M7" i="6" a="1"/>
  <c r="M7" i="6" s="1"/>
  <c r="G7" i="6" a="1"/>
  <c r="G7" i="6" s="1"/>
  <c r="F7" i="6" a="1"/>
  <c r="F7" i="6" s="1"/>
  <c r="J7" i="6" a="1"/>
  <c r="J7" i="6" s="1"/>
  <c r="O7" i="6" a="1"/>
  <c r="O7" i="6" s="1"/>
  <c r="A7" i="6" a="1"/>
  <c r="A7" i="6" s="1"/>
  <c r="K7" i="6" a="1"/>
  <c r="K7" i="6" s="1"/>
  <c r="L7" i="6" a="1"/>
  <c r="L7" i="6" s="1"/>
  <c r="N7" i="6" a="1"/>
  <c r="N7" i="6" s="1"/>
  <c r="E7" i="6" a="1"/>
  <c r="E7" i="6" s="1"/>
  <c r="H7" i="6" a="1"/>
  <c r="H7" i="6" s="1"/>
  <c r="I7" i="6" a="1"/>
  <c r="I7" i="6" s="1"/>
  <c r="P7" i="6" a="1"/>
  <c r="P7" i="6" s="1"/>
  <c r="K13" i="1"/>
  <c r="F13" i="1"/>
  <c r="E72" i="5" l="1"/>
  <c r="E71" i="5"/>
  <c r="E68" i="5"/>
  <c r="E67" i="5"/>
  <c r="E65" i="5"/>
  <c r="E63" i="5"/>
  <c r="E62" i="5"/>
  <c r="E61" i="5"/>
  <c r="E60" i="5"/>
  <c r="E59" i="5"/>
  <c r="E58" i="5"/>
  <c r="E57" i="5"/>
  <c r="E56" i="5"/>
  <c r="E55" i="5"/>
  <c r="E54" i="5"/>
  <c r="E53" i="5"/>
  <c r="E52" i="5"/>
  <c r="E51" i="5"/>
  <c r="E49" i="5"/>
  <c r="E48" i="5"/>
  <c r="E47" i="5"/>
  <c r="E46" i="5"/>
  <c r="E45" i="5"/>
  <c r="E44" i="5"/>
  <c r="M137" i="5"/>
  <c r="M50" i="4"/>
  <c r="N151" i="1"/>
  <c r="E43" i="5"/>
  <c r="E42" i="5"/>
  <c r="E41" i="5"/>
  <c r="E40" i="5"/>
  <c r="E39" i="5"/>
  <c r="E38" i="5"/>
  <c r="E36" i="5"/>
  <c r="E35" i="5"/>
  <c r="E34" i="5"/>
  <c r="M135"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48" i="4"/>
  <c r="M47" i="4"/>
  <c r="M46"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0" i="4" s="1"/>
  <c r="J40" i="4" s="1"/>
  <c r="N149" i="1"/>
  <c r="N148" i="1"/>
  <c r="N147"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1" i="1" s="1"/>
  <c r="K141"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128" i="5" l="1"/>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8" i="1"/>
  <c r="K128"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C7" i="4"/>
  <c r="R7" i="7" s="1" a="1"/>
  <c r="Q7" i="7" a="1"/>
  <c r="Q7" i="7" s="1"/>
  <c r="AD7" i="1"/>
  <c r="R7" i="6" a="1"/>
  <c r="R7" i="6" s="1"/>
  <c r="Q49" i="4"/>
  <c r="R150" i="1"/>
  <c r="P147" i="1"/>
  <c r="O150" i="1"/>
  <c r="N48" i="4"/>
  <c r="O46" i="4"/>
  <c r="O48" i="4"/>
  <c r="P150" i="1"/>
  <c r="O149" i="1"/>
  <c r="P149" i="1"/>
  <c r="P148" i="1"/>
  <c r="O148" i="1"/>
  <c r="O47" i="4"/>
  <c r="O49" i="4"/>
  <c r="N47" i="4"/>
  <c r="N46" i="4"/>
  <c r="O147" i="1"/>
  <c r="N49" i="4"/>
  <c r="R7" i="7" l="1"/>
  <c r="D3" i="9" s="1"/>
  <c r="S7" i="6" a="1"/>
  <c r="Q45" i="4"/>
  <c r="R146" i="1"/>
  <c r="N150" i="1"/>
  <c r="N146" i="1" s="1"/>
  <c r="M49" i="4"/>
  <c r="M45" i="4" s="1"/>
  <c r="L49" i="4" s="1"/>
  <c r="C3" i="9" l="1"/>
  <c r="S7" i="6"/>
  <c r="P45" i="4"/>
  <c r="P47" i="4"/>
  <c r="P48" i="4"/>
  <c r="P46" i="4"/>
  <c r="P49" i="4"/>
  <c r="Q146" i="1"/>
  <c r="Q148" i="1"/>
  <c r="Q149" i="1"/>
  <c r="Q147" i="1"/>
  <c r="Q150" i="1"/>
  <c r="M149" i="1"/>
  <c r="M151" i="1"/>
  <c r="M146" i="1"/>
  <c r="M147" i="1"/>
  <c r="M148" i="1"/>
  <c r="M150" i="1"/>
  <c r="L47" i="4"/>
  <c r="L46" i="4"/>
  <c r="L48" i="4"/>
  <c r="L45" i="4"/>
  <c r="L50" i="4"/>
  <c r="B3" i="9" l="1"/>
  <c r="A3" i="9"/>
  <c r="N136" i="5"/>
  <c r="Q136" i="5"/>
  <c r="Q134" i="5" s="1"/>
  <c r="O136" i="5"/>
  <c r="O135" i="5"/>
  <c r="N135" i="5"/>
  <c r="J7" i="5"/>
  <c r="A5" i="9" l="1"/>
  <c r="M136" i="5"/>
  <c r="M134" i="5" s="1"/>
  <c r="L136" i="5" s="1"/>
  <c r="P135" i="5"/>
  <c r="P134" i="5"/>
  <c r="P136" i="5"/>
  <c r="L137" i="5" l="1"/>
  <c r="L135" i="5"/>
  <c r="L134"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<sst xmlns="http://schemas.openxmlformats.org/spreadsheetml/2006/main" count="3493" uniqueCount="1097">
  <si>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</si>
  <si>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</si>
  <si>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</si>
  <si>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</si>
  <si>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</si>
  <si>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</si>
  <si>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</si>
  <si>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</si>
  <si>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</si>
  <si>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</si>
  <si>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</si>
  <si>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</si>
  <si>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</si>
  <si>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</si>
  <si>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</si>
  <si>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</si>
  <si>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</si>
  <si>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</si>
  <si>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</si>
  <si>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</si>
  <si>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</si>
  <si>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</si>
  <si>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</si>
  <si>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</si>
  <si>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</si>
  <si>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</si>
  <si>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</si>
  <si>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</si>
  <si>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</si>
  <si>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</si>
  <si>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</si>
  <si>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</si>
  <si>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</si>
  <si>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</si>
  <si>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</si>
  <si>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</si>
  <si>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</si>
  <si>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</si>
  <si>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</si>
  <si>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</si>
  <si>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</si>
  <si>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</si>
  <si>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</si>
  <si>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</si>
  <si>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</si>
  <si>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</si>
  <si>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</si>
  <si>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</si>
  <si>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</si>
  <si>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</si>
  <si>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</si>
  <si>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</si>
  <si>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</si>
  <si>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</si>
  <si>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</si>
  <si>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</si>
  <si>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</si>
  <si>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</si>
  <si>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</si>
  <si>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</si>
  <si>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</si>
  <si>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</si>
  <si>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</si>
  <si>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</si>
  <si>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</si>
  <si>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</si>
  <si>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</si>
  <si>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</si>
  <si>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</si>
  <si>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</si>
  <si>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</si>
  <si>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</si>
  <si>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</si>
  <si>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</si>
  <si>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</si>
  <si>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</si>
  <si>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</si>
  <si>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</si>
  <si>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</si>
  <si>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</si>
  <si>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</si>
  <si>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</si>
  <si>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</si>
  <si>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</si>
  <si>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</si>
  <si>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</si>
  <si>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</si>
  <si>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</si>
  <si>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</si>
  <si>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</si>
  <si>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</si>
  <si>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</si>
  <si>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</si>
  <si>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</si>
  <si>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</si>
  <si>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</si>
  <si>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</si>
  <si>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</si>
  <si>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</si>
  <si>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</si>
  <si>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</si>
  <si>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</si>
  <si>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</si>
  <si>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</si>
  <si>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</si>
  <si>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</si>
  <si>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</si>
  <si>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</si>
  <si>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</si>
  <si>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</si>
  <si>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</si>
  <si>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</si>
  <si>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</si>
  <si>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</si>
  <si>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</si>
  <si>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</si>
  <si>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</si>
  <si>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</si>
  <si>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</si>
  <si>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</si>
  <si>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</si>
  <si>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</si>
  <si>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</si>
  <si>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</si>
  <si>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</si>
  <si>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</si>
  <si>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</si>
  <si>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</si>
  <si>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</si>
  <si>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</si>
  <si>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</si>
  <si>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</si>
  <si>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</si>
  <si>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</si>
  <si>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</si>
  <si>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</si>
  <si>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</si>
  <si>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</si>
  <si>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</si>
  <si>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</si>
  <si>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</si>
  <si>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</si>
  <si>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</si>
  <si>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</si>
  <si>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</si>
  <si>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</si>
  <si>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</si>
  <si>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</si>
  <si>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</si>
  <si>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</si>
  <si>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</si>
  <si>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</si>
  <si>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</si>
  <si>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</si>
  <si>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</si>
  <si>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</si>
  <si>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</si>
  <si>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</si>
  <si>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</si>
  <si>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</si>
  <si>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</si>
  <si>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</si>
  <si>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</si>
  <si>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</si>
  <si>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</si>
  <si>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</si>
  <si>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</si>
  <si>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</si>
  <si>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</si>
  <si>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</si>
  <si>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</si>
  <si>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</si>
  <si>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</si>
  <si>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</si>
  <si>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</si>
  <si>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</si>
  <si>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</si>
  <si>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</si>
  <si>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</si>
  <si>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</si>
  <si>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</si>
  <si>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</si>
  <si>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</si>
  <si>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</si>
  <si>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</si>
  <si>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</si>
  <si>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</si>
  <si>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</si>
  <si>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</si>
  <si>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</si>
  <si>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</si>
  <si>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</si>
  <si>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</si>
  <si>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</si>
  <si>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</si>
  <si>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</si>
  <si>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</si>
  <si>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</si>
  <si>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</si>
  <si>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</si>
  <si>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</si>
  <si>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</si>
  <si>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</si>
  <si>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</si>
  <si>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</si>
  <si>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</si>
  <si>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</si>
  <si>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</si>
  <si>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</si>
  <si>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</si>
  <si>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</si>
  <si>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</si>
  <si>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</si>
  <si>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</si>
  <si>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</si>
  <si>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</si>
  <si>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</si>
  <si>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</si>
  <si>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</si>
  <si>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</si>
  <si>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</si>
  <si>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</si>
  <si>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</si>
  <si>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</si>
  <si>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</si>
  <si>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</si>
  <si>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</si>
  <si>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</si>
  <si>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</si>
  <si>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</si>
  <si>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</si>
  <si>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</si>
  <si>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</si>
  <si>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</si>
  <si>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</si>
  <si>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</si>
  <si>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</si>
  <si>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</si>
  <si>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</si>
  <si>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</si>
  <si>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</si>
  <si>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</si>
  <si>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</si>
  <si>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</si>
  <si>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</si>
  <si>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</si>
  <si>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</si>
  <si>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</si>
  <si>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</si>
  <si>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</si>
  <si>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</si>
  <si>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</si>
  <si>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</si>
  <si>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</si>
  <si>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</si>
  <si>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</si>
  <si>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</si>
  <si>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</si>
  <si>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</si>
  <si>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</si>
  <si>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</si>
  <si>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</si>
  <si>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</si>
  <si>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</si>
  <si>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</si>
  <si>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</si>
  <si>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</si>
  <si>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</si>
  <si>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</si>
  <si>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</si>
  <si>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</si>
  <si>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</si>
  <si>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</si>
  <si>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</si>
  <si>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</si>
  <si>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</si>
  <si>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</si>
  <si>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</si>
  <si>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</si>
  <si>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</si>
  <si>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</si>
  <si>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</si>
  <si>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</si>
  <si>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</si>
  <si>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</si>
  <si>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</si>
  <si>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</si>
  <si>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</si>
  <si>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</si>
  <si>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</si>
  <si>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</si>
  <si>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</si>
  <si>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</si>
  <si>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</si>
  <si>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</si>
  <si>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</si>
  <si>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</si>
  <si>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</si>
  <si>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</si>
  <si>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</si>
  <si>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</si>
  <si>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</si>
  <si>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</si>
  <si>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</si>
  <si>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</si>
  <si>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</si>
  <si>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</si>
  <si>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</si>
  <si>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</si>
  <si>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</si>
  <si>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</si>
  <si>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</si>
  <si>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</si>
  <si>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</si>
  <si>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</si>
  <si>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</si>
  <si>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</si>
  <si>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</si>
  <si>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</si>
  <si>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</si>
  <si>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</si>
  <si>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</si>
  <si>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</si>
  <si>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</si>
  <si>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</si>
  <si>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</si>
  <si>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</si>
  <si>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</si>
  <si>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</si>
  <si>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</si>
  <si>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</si>
  <si>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</si>
  <si>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</si>
  <si>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</si>
  <si>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</si>
  <si>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</si>
  <si>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</si>
  <si>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</si>
  <si>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</si>
  <si>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</si>
  <si>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</si>
  <si>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</si>
  <si>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</si>
  <si>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</si>
  <si>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</si>
  <si>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</si>
  <si>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</si>
  <si>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</si>
  <si>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</si>
  <si>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</si>
  <si>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</si>
  <si>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</si>
  <si>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</si>
  <si>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</si>
  <si>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</si>
  <si>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</si>
  <si>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</si>
  <si>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</si>
  <si>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</si>
  <si>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</si>
  <si>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</si>
  <si>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</si>
  <si>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</si>
  <si>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</si>
  <si>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</si>
  <si>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</si>
  <si>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</si>
  <si>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</si>
  <si>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</si>
  <si>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</si>
  <si>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</si>
  <si>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</si>
  <si>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</si>
  <si>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</si>
  <si>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</si>
  <si>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</si>
  <si>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</si>
  <si>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</si>
  <si>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</si>
  <si>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</si>
  <si>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</si>
  <si>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</si>
  <si>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</si>
  <si>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</si>
  <si>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</si>
  <si>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</si>
  <si>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</si>
  <si>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</si>
  <si>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</si>
  <si>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</si>
  <si>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</si>
  <si>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</si>
  <si>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</si>
  <si>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</si>
  <si>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</si>
  <si>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</si>
  <si>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</si>
  <si>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</si>
  <si>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</si>
  <si>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</si>
  <si>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</si>
  <si>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</si>
  <si>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</si>
  <si>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</si>
  <si>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</si>
  <si>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</si>
  <si>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</si>
  <si>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</si>
  <si>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</si>
  <si>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</si>
  <si>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</si>
  <si>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</si>
  <si>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</si>
  <si>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</si>
  <si>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</si>
  <si>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</si>
  <si>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</si>
  <si>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</si>
  <si>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</si>
  <si>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</si>
  <si>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</si>
  <si>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</si>
  <si>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</si>
  <si>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</si>
  <si>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</si>
  <si>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</si>
  <si>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</si>
  <si>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</si>
  <si>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</si>
  <si>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</si>
  <si>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</si>
  <si>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</si>
  <si>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</si>
  <si>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</si>
  <si>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</si>
  <si>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</si>
  <si>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</si>
  <si>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</si>
  <si>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</si>
  <si>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</si>
  <si>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</si>
  <si>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</si>
  <si>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</si>
  <si>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</si>
  <si>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</si>
  <si>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</si>
  <si>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</si>
  <si>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</si>
  <si>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</si>
  <si>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</si>
  <si>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</si>
  <si>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</si>
  <si>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</si>
  <si>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</si>
  <si>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</si>
  <si>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</si>
  <si>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</si>
  <si>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</si>
  <si>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</si>
  <si>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</si>
  <si>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</si>
  <si>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</si>
  <si>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</si>
  <si>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</si>
  <si>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</si>
  <si>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</si>
  <si>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</si>
  <si>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</si>
  <si>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</si>
  <si>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</si>
  <si>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</si>
  <si>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</si>
  <si>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</si>
  <si>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</si>
  <si>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</si>
  <si>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</si>
  <si>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</si>
  <si>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</si>
  <si>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</si>
  <si>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</si>
  <si>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</si>
  <si>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</si>
  <si>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</si>
  <si>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</si>
  <si>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</si>
  <si>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</si>
  <si>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</si>
  <si>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</si>
  <si>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</si>
  <si>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</si>
  <si>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</si>
  <si>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</si>
  <si>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</si>
  <si>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</si>
  <si>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</si>
  <si>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</si>
  <si>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</si>
  <si>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</si>
  <si>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</si>
  <si>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</si>
  <si>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</si>
  <si>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</si>
  <si>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</si>
  <si>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</si>
  <si>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</si>
  <si>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</si>
  <si>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</si>
  <si>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</si>
  <si>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</si>
  <si>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</si>
  <si>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</si>
  <si>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</si>
  <si>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</si>
  <si>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</si>
  <si>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</si>
  <si>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</si>
  <si>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</si>
  <si>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</si>
  <si>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</si>
  <si>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</si>
  <si>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</si>
  <si>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</si>
  <si>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FAS
SCS
SCN</t>
  </si>
  <si>
    <t>Mr Phong + Trãi + Kuroda</t>
  </si>
  <si>
    <t>LTIA-5.10-VIETUR-80000-RFA-SDS-0122</t>
  </si>
  <si>
    <t xml:space="preserve">Construction design drawing of ICT system - part .1 : ICT system for 1F Level </t>
  </si>
  <si>
    <t>Bản vẽ TKTC cho hệ thống ICT - phần 1 - Hệ thống ICT cho tầng 1</t>
  </si>
  <si>
    <t>FAS
SCS
SCN
DCH
PAS
PPS</t>
  </si>
  <si>
    <t>LTIA-5.10-VIETUR-80000-RFA-SDS-0140</t>
  </si>
  <si>
    <t xml:space="preserve">Construction design drawing of  ICT system – part.1: ICT systems for 2F Level </t>
  </si>
  <si>
    <t>Bản vẽ TKTC cho hệ thống ICT – phần 1 – Hệ thống ICT cho tầng 2</t>
  </si>
  <si>
    <t>FAS
SCS
SCN
DCH
PAS
PPS
PMR</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</si>
  <si>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</si>
  <si>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</si>
  <si>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</si>
  <si>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</si>
  <si>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</si>
  <si>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</si>
  <si>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</si>
  <si>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</si>
  <si>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</si>
  <si>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</si>
  <si>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</si>
  <si>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FAS
SCS
SCN
DCH
PAS</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</si>
  <si>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</si>
  <si>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</si>
  <si>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</si>
  <si>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</si>
  <si>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</si>
  <si>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</si>
  <si>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</si>
  <si>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</si>
  <si>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</si>
  <si>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</si>
  <si>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</si>
  <si>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</si>
  <si>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</si>
  <si>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</si>
  <si>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</si>
  <si>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</si>
  <si>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</si>
  <si>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</si>
  <si>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</si>
  <si>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</si>
  <si>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</si>
  <si>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</si>
  <si>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</si>
  <si>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</si>
  <si>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</si>
  <si>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</si>
  <si>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</si>
  <si>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</si>
  <si>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</si>
  <si>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</si>
  <si>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</si>
  <si>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</si>
  <si>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</si>
  <si>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</si>
  <si>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</si>
  <si>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</si>
  <si>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</si>
  <si>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</si>
  <si>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</si>
  <si>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</si>
  <si>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</si>
  <si>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</si>
  <si>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</si>
  <si>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</si>
  <si>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</si>
  <si>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</si>
  <si>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</si>
  <si>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</si>
  <si>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</si>
  <si>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</si>
  <si>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</si>
  <si>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</si>
  <si>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</si>
  <si>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</si>
  <si>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</si>
  <si>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</si>
  <si>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</si>
  <si>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</si>
  <si>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</si>
  <si>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</si>
  <si>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</si>
  <si>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</si>
  <si>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</si>
  <si>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</si>
  <si>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</si>
  <si>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</si>
  <si>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</si>
  <si>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</si>
  <si>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</si>
  <si>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</si>
  <si>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</si>
  <si>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</si>
  <si>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</si>
  <si>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</si>
  <si>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</si>
  <si>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</si>
  <si>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</si>
  <si>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</si>
  <si>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</si>
  <si>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</si>
  <si>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</si>
  <si>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</si>
  <si>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</si>
  <si>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</si>
  <si>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</si>
  <si>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</si>
  <si>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</si>
  <si>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</si>
  <si>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</si>
  <si>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</si>
  <si>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</si>
  <si>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</si>
  <si>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</si>
  <si>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</si>
  <si>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</si>
  <si>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</si>
  <si>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</si>
  <si>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</si>
  <si>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</si>
  <si>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</si>
  <si>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</si>
  <si>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</si>
  <si>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</si>
  <si>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</si>
  <si>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</si>
  <si>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</si>
  <si>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</si>
  <si>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</si>
  <si>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</si>
  <si>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</si>
  <si>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</si>
  <si>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</si>
  <si>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</si>
  <si>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</si>
  <si>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</si>
  <si>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</si>
  <si>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</si>
  <si>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</si>
  <si>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</si>
  <si>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</si>
  <si>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</si>
  <si>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</si>
  <si>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</si>
  <si>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</si>
  <si>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</si>
  <si>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</si>
  <si>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</si>
  <si>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</si>
  <si>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</si>
  <si>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</si>
  <si>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</si>
  <si>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</si>
  <si>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</si>
  <si>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</si>
  <si>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</si>
  <si>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</si>
  <si>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</si>
  <si>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</si>
  <si>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</si>
  <si>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</si>
  <si>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</si>
  <si>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</si>
  <si>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</si>
  <si>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</si>
  <si>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</si>
  <si>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</si>
  <si>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</si>
  <si>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</si>
  <si>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</si>
  <si>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</si>
  <si>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</si>
  <si>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</si>
  <si>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</si>
  <si>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</si>
  <si>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</si>
  <si>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</si>
  <si>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</si>
  <si>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</si>
  <si>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</si>
  <si>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</si>
  <si>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</si>
  <si>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</si>
  <si>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</si>
  <si>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</si>
  <si>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</si>
  <si>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</si>
  <si>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</si>
  <si>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</si>
  <si>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</si>
  <si>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</si>
  <si>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</si>
  <si>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</si>
  <si>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</si>
  <si>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</si>
  <si>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</si>
  <si>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</si>
  <si>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</si>
  <si>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</si>
  <si>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</si>
  <si>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</si>
  <si>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</si>
  <si>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</si>
  <si>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</si>
  <si>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</si>
  <si>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</si>
  <si>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</si>
  <si>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</si>
  <si>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</si>
  <si>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</si>
  <si>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</si>
  <si>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</si>
  <si>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</si>
  <si>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</si>
  <si>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</si>
  <si>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</si>
  <si>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</si>
  <si>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</si>
  <si>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</si>
  <si>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</si>
  <si>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</si>
  <si>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</si>
  <si>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</si>
  <si>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</si>
  <si>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</si>
  <si>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</si>
  <si>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</si>
  <si>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</si>
  <si>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</si>
  <si>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</si>
  <si>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</si>
  <si>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</si>
  <si>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</si>
  <si>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</si>
  <si>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</si>
  <si>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</si>
  <si>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</si>
  <si>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</si>
  <si>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</si>
  <si>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</si>
  <si>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</si>
  <si>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</si>
  <si>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</si>
  <si>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</si>
  <si>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</si>
  <si>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</si>
  <si>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</si>
  <si>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</si>
  <si>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</si>
  <si>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</si>
  <si>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</si>
  <si>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</si>
  <si>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</si>
  <si>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</si>
  <si>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</si>
  <si>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</si>
  <si>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</si>
  <si>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</si>
  <si>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</si>
  <si>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</si>
  <si>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</si>
  <si>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</si>
  <si>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</si>
  <si>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</si>
  <si>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</si>
  <si>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</si>
  <si>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</si>
  <si>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</si>
  <si>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</si>
  <si>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</si>
  <si>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</si>
  <si>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</si>
  <si>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</si>
  <si>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</si>
  <si>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</si>
  <si>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</si>
  <si>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</si>
  <si>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</si>
  <si>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</si>
  <si>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</si>
  <si>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</si>
  <si>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</si>
  <si>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</si>
  <si>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</si>
  <si>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</si>
  <si>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</si>
  <si>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</si>
  <si>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</si>
  <si>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</si>
  <si>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</si>
  <si>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</si>
  <si>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</si>
  <si>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</si>
  <si>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</si>
  <si>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</si>
  <si>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</si>
  <si>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</si>
  <si>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</si>
  <si>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</si>
  <si>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</si>
  <si>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</si>
  <si>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</si>
  <si>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</si>
  <si>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</si>
  <si>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</si>
  <si>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</si>
  <si>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</si>
  <si>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</si>
  <si>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</si>
  <si>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</si>
  <si>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</si>
  <si>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</si>
  <si>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</si>
  <si>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</si>
  <si>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</si>
  <si>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</si>
  <si>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</si>
  <si>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</si>
  <si>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</si>
  <si>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</si>
  <si>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</si>
  <si>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</si>
  <si>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</si>
  <si>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</si>
  <si>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</si>
  <si>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</si>
  <si>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</si>
  <si>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</si>
  <si>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</si>
  <si>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</si>
  <si>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</si>
  <si>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</si>
  <si>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</si>
  <si>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</si>
  <si>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</si>
  <si>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</si>
  <si>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</si>
  <si>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</si>
  <si>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</si>
  <si>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</si>
  <si>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</si>
  <si>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</si>
  <si>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</si>
  <si>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</si>
  <si>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</si>
  <si>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18/6/2026 Đã ký</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</si>
  <si>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</si>
  <si>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</si>
  <si>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</si>
  <si>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</si>
  <si>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</si>
  <si>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</si>
  <si>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</si>
  <si>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</si>
  <si>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</si>
  <si>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</si>
  <si>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</si>
  <si>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</si>
  <si>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</si>
  <si>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</si>
  <si>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</si>
  <si>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</si>
  <si>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</si>
  <si>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</si>
  <si>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</si>
  <si>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</si>
  <si>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</si>
  <si>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</si>
  <si>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</si>
  <si>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</si>
  <si>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</si>
  <si>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</si>
  <si>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</si>
  <si>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</si>
  <si>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</si>
  <si>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</si>
  <si>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</si>
  <si>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</si>
  <si>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</si>
  <si>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</si>
  <si>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</si>
  <si>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</si>
  <si>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</si>
  <si>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</si>
  <si>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</si>
  <si>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</si>
  <si>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</si>
  <si>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</si>
  <si>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</si>
  <si>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</si>
  <si>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</si>
  <si>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</si>
  <si>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</si>
  <si>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</si>
  <si>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</si>
  <si>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</si>
  <si>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</si>
  <si>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</si>
  <si>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</si>
  <si>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</si>
  <si>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</si>
  <si>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</si>
  <si>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</si>
  <si>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</si>
  <si>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</si>
  <si>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</si>
  <si>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</si>
  <si>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</si>
  <si>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</si>
  <si>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</si>
  <si>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</si>
  <si>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</si>
  <si>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</si>
  <si>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</si>
  <si>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</si>
  <si>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</si>
  <si>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</si>
  <si>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</si>
  <si>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</si>
  <si>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</si>
  <si>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</si>
  <si>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</si>
  <si>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</si>
  <si>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</si>
  <si>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</si>
  <si>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</si>
  <si>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</si>
  <si>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</si>
  <si>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</si>
  <si>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</si>
  <si>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</si>
  <si>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</si>
  <si>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</si>
  <si>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</si>
  <si>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</si>
  <si>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</si>
  <si>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</si>
  <si>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</si>
  <si>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</si>
  <si>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</si>
  <si>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</si>
  <si>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</si>
  <si>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</si>
  <si>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</si>
  <si>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</si>
  <si>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</si>
  <si>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</si>
  <si>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</si>
  <si>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</si>
  <si>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</si>
  <si>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</si>
  <si>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</si>
  <si>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</si>
  <si>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</si>
  <si>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</si>
  <si>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</si>
  <si>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</si>
  <si>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</si>
  <si>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 xml:space="preserve">LTIA-5.10-VIETUR-70000-RFA-MAS-0821 </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</si>
  <si>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</si>
  <si>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</si>
  <si>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</si>
  <si>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</si>
  <si>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</si>
  <si>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</si>
  <si>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</si>
  <si>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</si>
  <si>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</si>
  <si>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</si>
  <si>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</si>
  <si>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</si>
  <si>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</si>
  <si>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</si>
  <si>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</si>
  <si>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</si>
  <si>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</si>
  <si>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</si>
  <si>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</si>
  <si>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</si>
  <si>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</si>
  <si>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</si>
  <si>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</si>
  <si>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</si>
  <si>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</si>
  <si>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</si>
  <si>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</si>
  <si>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</si>
  <si>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</si>
  <si>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</si>
  <si>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</si>
  <si>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</si>
  <si>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</si>
  <si>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</si>
  <si>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</si>
  <si>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</si>
  <si>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</si>
  <si>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</si>
  <si>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</si>
  <si>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</si>
  <si>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</si>
  <si>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</si>
  <si>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</si>
  <si>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</si>
  <si>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9/8/2026 Update
9/24/2026 Update
9/25/2026 Đã cmt và gửi cho CNC
9/29/2026 Đã ký B</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</si>
  <si>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</si>
  <si>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</si>
  <si>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</si>
  <si>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</si>
  <si>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</si>
  <si>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</si>
  <si>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</si>
  <si>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</si>
  <si>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</si>
  <si>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</si>
  <si>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</si>
  <si>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</si>
  <si>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</si>
  <si>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</si>
  <si>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</si>
  <si>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</si>
  <si>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</si>
  <si>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</si>
  <si>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</si>
  <si>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</si>
  <si>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</si>
  <si>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</si>
  <si>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</si>
  <si>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</si>
  <si>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</si>
  <si>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</si>
  <si>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</si>
  <si>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</si>
  <si>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</si>
  <si>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</si>
  <si>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</si>
  <si>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</si>
  <si>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</si>
  <si>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</si>
  <si>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</si>
  <si>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10/12/2026: Đã comment</t>
  </si>
  <si>
    <t>10/12/2026: Đã comment
10/13/2026: Đã gửi comment qua CNC</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</si>
  <si>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</si>
  <si>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</si>
  <si>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</si>
  <si>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</si>
  <si>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</si>
  <si>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</si>
  <si>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</si>
  <si>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</si>
  <si>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</si>
  <si>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</si>
  <si>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</si>
  <si>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</si>
  <si>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</si>
  <si>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</si>
  <si>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</si>
  <si>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</si>
  <si>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</si>
  <si>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</si>
  <si>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</si>
  <si>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</si>
  <si>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</si>
  <si>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</si>
  <si>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</si>
  <si>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</si>
  <si>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</si>
  <si>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</si>
  <si>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</si>
  <si>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</si>
  <si>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</si>
  <si>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</si>
  <si>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</si>
  <si>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</si>
  <si>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101/14/2026: Đã comment
10/15/2026 Đã gửi CNC
10/15/2026: Đã ký RFCS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</si>
</sst>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9" fillId="0" borderId="1" xfId="0" applyFont="1" applyBorder="1" applyAlignment="1">
      <alignment horizontal="left"/>
    </xf>
    <xf numFmtId="0" fontId="9" fillId="0" borderId="10"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1" fillId="0" borderId="0" xfId="0" applyFont="1" applyAlignment="1">
      <alignment horizontal="left"/>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3" xfId="0" applyFont="1" applyBorder="1" applyAlignment="1">
      <alignment horizontal="center" vertical="center" wrapText="1"/>
    </xf>
    <xf numFmtId="0" fontId="2" fillId="0" borderId="58"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53" xfId="1" applyFont="1" applyBorder="1" applyAlignment="1">
      <alignment horizontal="left"/>
    </xf>
    <xf numFmtId="0" fontId="8" fillId="0" borderId="47" xfId="1" applyFont="1" applyBorder="1" applyAlignment="1">
      <alignment horizontal="left"/>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99" Type="http://schemas.openxmlformats.org/officeDocument/2006/relationships/hyperlink" Target="https://www.ltiasv.net/index.php/apps/files/files/130625?dir=/LTIA1%20SV/02.%20ICT%20Documents/01.RFA/5.10/20240416_70000-RFA-MAS-0219/JCJV"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24" Type="http://schemas.openxmlformats.org/officeDocument/2006/relationships/hyperlink" Target="https://www.ltiasv.net/index.php/apps/files/files/134659?dir=/LTIA1%20SV/02.%20ICT%20Documents/01.RFA/5.11/20250909_10000-RFA-GEN-0002/LTICT" TargetMode="External"/><Relationship Id="rId366" Type="http://schemas.openxmlformats.org/officeDocument/2006/relationships/hyperlink" Target="https://www.ltiasv.net/index.php/apps/files/files/134855?dir=/LTIA1%20SV/02.%20ICT%20Documents/01.RFA/5.11/20251114_RFA-OTH-0003/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printerSettings" Target="../printerSettings/printerSettings1.bin"/><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15" Type="http://schemas.openxmlformats.org/officeDocument/2006/relationships/hyperlink" Target="https://www.ltiasv.net/index.php/apps/files/files/130882?dir=/LTIA1%20SV/02.%20ICT%20Documents/01.RFA/5.10/20250814_70000-RFA-MAS-0277A/JCJV" TargetMode="External"/><Relationship Id="rId236" Type="http://schemas.openxmlformats.org/officeDocument/2006/relationships/hyperlink" Target="https://www.ltiasv.net/index.php/apps/files/files/131061?dir=/LTIA1%20SV/02.%20ICT%20Documents/01.RFA/5.10/20260428_70000-RFA-MAS-0774/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464" Type="http://schemas.openxmlformats.org/officeDocument/2006/relationships/hyperlink" Target="https://conincojsc-my.sharepoint.com/:b:/g/personal/vanphongjcjv_coninco_com_vn/IQCUH9FBzK-FRIMB_9oAwOYmAT_RS63lhHu0EWSDmG0KEKw"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09_2026/20260930/LTIA-5.10-VIETUR-70000-RFA-MAS-0696A?d=w801e307f64df4962a266f3e4f7120c2d&amp;csf=1&amp;web=1&amp;e=I2M4pF"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3" Type="http://schemas.openxmlformats.org/officeDocument/2006/relationships/hyperlink" Target="https://www.ltiasv.net/index.php/apps/files/files/131101?dir=/LTIA1%20SV/02.%20ICT%20Documents/02.RFA-SDS/20250527_80000-RFA-SDS-0310/Vietur" TargetMode="External"/><Relationship Id="rId58" Type="http://schemas.openxmlformats.org/officeDocument/2006/relationships/hyperlink" Target="https://www.ltiasv.net/index.php/apps/files/files/131222?dir=/LTIA1%20SV/02.%20ICT%20Documents/02.RFA-SDS/20251111_80000-RFA-SDS-0372/Vietur" TargetMode="External"/><Relationship Id="rId74" Type="http://schemas.openxmlformats.org/officeDocument/2006/relationships/hyperlink" Target="https://www.ltiasv.net/index.php/apps/files/files/131191?dir=/LTIA1%20SV/02.%20ICT%20Documents/02.RFA-SDS/20250930_80000-RFA-SDS-0371/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0" Type="http://schemas.openxmlformats.org/officeDocument/2006/relationships/hyperlink" Target="https://www.ltiasv.net/index.php/apps/files/files/131186?dir=/LTIA1%20SV/02.%20ICT%20Documents/02.RFA-SDS/20250919_80000-RFA-SDS-0222A/JCJV"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printerSettings" Target="../printerSettings/printerSettings2.bin"/><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printerSettings" Target="../printerSettings/printerSettings3.bin"/><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77" Type="http://schemas.openxmlformats.org/officeDocument/2006/relationships/hyperlink" Target="https://www.ltiasv.net/index.php/apps/files/files/130560?dir=/LTIA1%20SV/02.%20ICT%20Documents/03.RFI/5.10/20240309_70000-RFI-0114/JCJV"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158" Type="http://schemas.openxmlformats.org/officeDocument/2006/relationships/hyperlink" Target="https://www.ltiasv.net/index.php/apps/files/files/131532?dir=/LTIA1%20SV/02.%20ICT%20Documents/03.RFI/5.10/20250703_70000-RFI-0665/Vietur"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23" Type="http://schemas.openxmlformats.org/officeDocument/2006/relationships/hyperlink" Target="https://www.ltiasv.net/index.php/apps/files/files/135097?dir=/LTIA1%20SV/02.%20ICT%20Documents/03.RFI/5.11/20250910_72030-RFI-0006A/LTICT" TargetMode="External"/><Relationship Id="rId344" Type="http://schemas.openxmlformats.org/officeDocument/2006/relationships/hyperlink" Target="https://www.ltiasv.net/index.php/apps/files/files/135070?dir=/LTIA1%20SV/02.%20ICT%20Documents/03.RFI/5.11/20260203_71110-RFI-0022/JCJV"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3"/>
  <sheetViews>
    <sheetView zoomScale="85" zoomScaleNormal="85" zoomScaleSheetLayoutView="115" workbookViewId="0">
      <pane xSplit="6" ySplit="6" topLeftCell="G134" activePane="bottomRight" state="frozen"/>
      <selection pane="topRight" activeCell="D1" sqref="D1"/>
      <selection pane="bottomLeft" activeCell="A7" sqref="A7"/>
      <selection pane="bottomRight" activeCell="O135" sqref="O135"/>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46314</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408" t="s">
        <v>0</v>
      </c>
      <c r="B4" s="348" t="s">
        <v>515</v>
      </c>
      <c r="C4" s="414" t="s">
        <v>45</v>
      </c>
      <c r="D4" s="366" t="s">
        <v>95</v>
      </c>
      <c r="E4" s="369" t="s">
        <v>46</v>
      </c>
      <c r="F4" s="412" t="s">
        <v>47</v>
      </c>
      <c r="G4" s="369" t="s">
        <v>4</v>
      </c>
      <c r="H4" s="410" t="s">
        <v>5</v>
      </c>
      <c r="I4" s="366" t="s">
        <v>48</v>
      </c>
      <c r="J4" s="366" t="s">
        <v>49</v>
      </c>
      <c r="K4" s="369" t="s">
        <v>78</v>
      </c>
      <c r="L4" s="366" t="s">
        <v>80</v>
      </c>
      <c r="M4" s="364" t="s">
        <v>53</v>
      </c>
      <c r="N4" s="365"/>
      <c r="O4" s="364" t="s">
        <v>55</v>
      </c>
      <c r="P4" s="365"/>
      <c r="Q4" s="368" t="s">
        <v>72</v>
      </c>
      <c r="R4" s="365"/>
      <c r="S4" s="364" t="s">
        <v>53</v>
      </c>
      <c r="T4" s="364"/>
      <c r="U4" s="365"/>
      <c r="V4" s="368" t="s">
        <v>55</v>
      </c>
      <c r="W4" s="364"/>
      <c r="X4" s="365"/>
      <c r="Y4" s="371" t="s">
        <v>72</v>
      </c>
      <c r="Z4" s="372"/>
      <c r="AA4" s="359" t="s">
        <v>112</v>
      </c>
      <c r="AB4" s="360"/>
      <c r="AC4" s="360"/>
      <c r="AD4" s="361"/>
      <c r="AE4" s="369" t="s">
        <v>79</v>
      </c>
      <c r="AG4" s="236"/>
    </row>
    <row r="5" spans="1:35" ht="78.75">
      <c r="A5" s="409"/>
      <c r="B5" s="349"/>
      <c r="C5" s="415"/>
      <c r="D5" s="367"/>
      <c r="E5" s="370"/>
      <c r="F5" s="413"/>
      <c r="G5" s="370"/>
      <c r="H5" s="411"/>
      <c r="I5" s="367"/>
      <c r="J5" s="367"/>
      <c r="K5" s="370"/>
      <c r="L5" s="367"/>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416"/>
      <c r="AG5" s="369" t="s">
        <v>119</v>
      </c>
      <c r="AH5" s="369" t="s">
        <v>120</v>
      </c>
      <c r="AI5" s="369"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7"/>
      <c r="AH6" s="407"/>
      <c r="AI6" s="407"/>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_xlfn._xlws.FILTER($AG$7:$AG$4578,$L$7:$L$4578&lt;&gt;"X"),
_xlfn._xlws.FILTER($E$7:$E$4578,$L$7:$L$4578&lt;&gt;"X"),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_xlfn._xlws.FILTER($AG$7:$AG$4578,$L$7:$L$4578&lt;&gt;"X"),
_xlfn._xlws.FILTER($E$7:$E$4578,$L$7:$L$4578&lt;&gt;"X"),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_xlfn._xlws.FILTER($AG$7:$AG$4578,$L$7:$L$4578&lt;&gt;"X"),
_xlfn._xlws.FILTER($E$7:$E$4578,$L$7:$L$4578&lt;&gt;"X"),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_xlfn._xlws.FILTER($AG$7:$AG$4578,$L$7:$L$4578&lt;&gt;"X"),
_xlfn._xlws.FILTER($E$7:$E$4578,$L$7:$L$4578&lt;&gt;"X"),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_xlfn._xlws.FILTER($AG$7:$AG$4578,$L$7:$L$4578&lt;&gt;"X"),
_xlfn._xlws.FILTER($E$7:$E$4578,$L$7:$L$4578&lt;&gt;"X"),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_xlfn._xlws.FILTER($AG$7:$AG$4578,$L$7:$L$4578&lt;&gt;"X"),
_xlfn._xlws.FILTER($E$7:$E$4578,$L$7:$L$4578&lt;&gt;"X"),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_xlfn._xlws.FILTER($AG$7:$AG$4578,$L$7:$L$4578&lt;&gt;"X"),
_xlfn._xlws.FILTER($E$7:$E$4578,$L$7:$L$4578&lt;&gt;"X"),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851</v>
      </c>
      <c r="AE14" s="92"/>
      <c r="AG14" s="238" t="str">
        <f t="shared" si="8"/>
        <v>LTIA-5.10-VIETUR-70000-RFA-MAS-0088</v>
      </c>
      <c r="AH14" s="243" t="b" cm="1">
        <f t="array" ref="AH14">$E14=_xlfn.XLOOKUP(
AG14,
_xlfn._xlws.FILTER($AG$7:$AG$4578,$L$7:$L$4578&lt;&gt;"X"),
_xlfn._xlws.FILTER($E$7:$E$4578,$L$7:$L$4578&lt;&gt;"X"),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816</v>
      </c>
      <c r="AE15" s="92"/>
      <c r="AG15" s="238" t="str">
        <f t="shared" si="8"/>
        <v>LTIA-5.10-VIETUR-70000-RFA-MAS-0248</v>
      </c>
      <c r="AH15" s="243" t="b" cm="1">
        <f t="array" ref="AH15">$E15=_xlfn.XLOOKUP(
AG15,
_xlfn._xlws.FILTER($AG$7:$AG$4578,$L$7:$L$4578&lt;&gt;"X"),
_xlfn._xlws.FILTER($E$7:$E$4578,$L$7:$L$4578&lt;&gt;"X"),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_xlfn._xlws.FILTER($AG$7:$AG$4578,$L$7:$L$4578&lt;&gt;"X"),
_xlfn._xlws.FILTER($E$7:$E$4578,$L$7:$L$4578&lt;&gt;"X"),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_xlfn._xlws.FILTER($AG$7:$AG$4578,$L$7:$L$4578&lt;&gt;"X"),
_xlfn._xlws.FILTER($E$7:$E$4578,$L$7:$L$4578&lt;&gt;"X"),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_xlfn._xlws.FILTER($AG$7:$AG$4578,$L$7:$L$4578&lt;&gt;"X"),
_xlfn._xlws.FILTER($E$7:$E$4578,$L$7:$L$4578&lt;&gt;"X"),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_xlfn._xlws.FILTER($AG$7:$AG$4578,$L$7:$L$4578&lt;&gt;"X"),
_xlfn._xlws.FILTER($E$7:$E$4578,$L$7:$L$4578&lt;&gt;"X"),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_xlfn._xlws.FILTER($AG$7:$AG$4578,$L$7:$L$4578&lt;&gt;"X"),
_xlfn._xlws.FILTER($E$7:$E$4578,$L$7:$L$4578&lt;&gt;"X"),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_xlfn._xlws.FILTER($AG$7:$AG$4578,$L$7:$L$4578&lt;&gt;"X"),
_xlfn._xlws.FILTER($E$7:$E$4578,$L$7:$L$4578&lt;&gt;"X"),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_xlfn._xlws.FILTER($AG$7:$AG$4578,$L$7:$L$4578&lt;&gt;"X"),
_xlfn._xlws.FILTER($E$7:$E$4578,$L$7:$L$4578&lt;&gt;"X"),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_xlfn._xlws.FILTER($AG$7:$AG$4578,$L$7:$L$4578&lt;&gt;"X"),
_xlfn._xlws.FILTER($E$7:$E$4578,$L$7:$L$4578&lt;&gt;"X"),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874</v>
      </c>
      <c r="AG24" s="238" t="str">
        <f t="shared" si="8"/>
        <v>LTIA-5.10-VIETUR-70000-RFA-MAS-0318</v>
      </c>
      <c r="AH24" s="243" t="b" cm="1">
        <f t="array" ref="AH24">$E24=_xlfn.XLOOKUP(
AG24,
_xlfn._xlws.FILTER($AG$7:$AG$4578,$L$7:$L$4578&lt;&gt;"X"),
_xlfn._xlws.FILTER($E$7:$E$4578,$L$7:$L$4578&lt;&gt;"X"),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_xlfn._xlws.FILTER($AG$7:$AG$4578,$L$7:$L$4578&lt;&gt;"X"),
_xlfn._xlws.FILTER($E$7:$E$4578,$L$7:$L$4578&lt;&gt;"X"),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_xlfn._xlws.FILTER($AG$7:$AG$4578,$L$7:$L$4578&lt;&gt;"X"),
_xlfn._xlws.FILTER($E$7:$E$4578,$L$7:$L$4578&lt;&gt;"X"),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_xlfn._xlws.FILTER($AG$7:$AG$4578,$L$7:$L$4578&lt;&gt;"X"),
_xlfn._xlws.FILTER($E$7:$E$4578,$L$7:$L$4578&lt;&gt;"X"),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_xlfn._xlws.FILTER($AG$7:$AG$4578,$L$7:$L$4578&lt;&gt;"X"),
_xlfn._xlws.FILTER($E$7:$E$4578,$L$7:$L$4578&lt;&gt;"X"),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_xlfn._xlws.FILTER($AG$7:$AG$4578,$L$7:$L$4578&lt;&gt;"X"),
_xlfn._xlws.FILTER($E$7:$E$4578,$L$7:$L$4578&lt;&gt;"X"),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_xlfn._xlws.FILTER($AG$7:$AG$4578,$L$7:$L$4578&lt;&gt;"X"),
_xlfn._xlws.FILTER($E$7:$E$4578,$L$7:$L$4578&lt;&gt;"X"),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_xlfn._xlws.FILTER($AG$7:$AG$4578,$L$7:$L$4578&lt;&gt;"X"),
_xlfn._xlws.FILTER($E$7:$E$4578,$L$7:$L$4578&lt;&gt;"X"),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_xlfn._xlws.FILTER($AG$7:$AG$4578,$L$7:$L$4578&lt;&gt;"X"),
_xlfn._xlws.FILTER($E$7:$E$4578,$L$7:$L$4578&lt;&gt;"X"),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_xlfn._xlws.FILTER($AG$7:$AG$4578,$L$7:$L$4578&lt;&gt;"X"),
_xlfn._xlws.FILTER($E$7:$E$4578,$L$7:$L$4578&lt;&gt;"X"),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_xlfn._xlws.FILTER($AG$7:$AG$4578,$L$7:$L$4578&lt;&gt;"X"),
_xlfn._xlws.FILTER($E$7:$E$4578,$L$7:$L$4578&lt;&gt;"X"),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_xlfn._xlws.FILTER($AG$7:$AG$4578,$L$7:$L$4578&lt;&gt;"X"),
_xlfn._xlws.FILTER($E$7:$E$4578,$L$7:$L$4578&lt;&gt;"X"),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_xlfn._xlws.FILTER($AG$7:$AG$4578,$L$7:$L$4578&lt;&gt;"X"),
_xlfn._xlws.FILTER($E$7:$E$4578,$L$7:$L$4578&lt;&gt;"X"),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_xlfn._xlws.FILTER($AG$7:$AG$4578,$L$7:$L$4578&lt;&gt;"X"),
_xlfn._xlws.FILTER($E$7:$E$4578,$L$7:$L$4578&lt;&gt;"X"),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_xlfn._xlws.FILTER($AG$7:$AG$4578,$L$7:$L$4578&lt;&gt;"X"),
_xlfn._xlws.FILTER($E$7:$E$4578,$L$7:$L$4578&lt;&gt;"X"),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_xlfn._xlws.FILTER($AG$7:$AG$4578,$L$7:$L$4578&lt;&gt;"X"),
_xlfn._xlws.FILTER($E$7:$E$4578,$L$7:$L$4578&lt;&gt;"X"),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_xlfn._xlws.FILTER($AG$7:$AG$4578,$L$7:$L$4578&lt;&gt;"X"),
_xlfn._xlws.FILTER($E$7:$E$4578,$L$7:$L$4578&lt;&gt;"X"),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_xlfn._xlws.FILTER($AG$7:$AG$4578,$L$7:$L$4578&lt;&gt;"X"),
_xlfn._xlws.FILTER($E$7:$E$4578,$L$7:$L$4578&lt;&gt;"X"),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_xlfn._xlws.FILTER($AG$7:$AG$4578,$L$7:$L$4578&lt;&gt;"X"),
_xlfn._xlws.FILTER($E$7:$E$4578,$L$7:$L$4578&lt;&gt;"X"),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_xlfn._xlws.FILTER($AG$7:$AG$4578,$L$7:$L$4578&lt;&gt;"X"),
_xlfn._xlws.FILTER($E$7:$E$4578,$L$7:$L$4578&lt;&gt;"X"),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514</v>
      </c>
      <c r="AE44" s="92"/>
      <c r="AG44" s="238" t="str">
        <f t="shared" si="14"/>
        <v>LTIA-5.10-VIETUR-70000-RFA-OTH-0432</v>
      </c>
      <c r="AH44" s="243" t="b" cm="1">
        <f t="array" ref="AH44">$E44=_xlfn.XLOOKUP(
AG44,
_xlfn._xlws.FILTER($AG$7:$AG$4578,$L$7:$L$4578&lt;&gt;"X"),
_xlfn._xlws.FILTER($E$7:$E$4578,$L$7:$L$4578&lt;&gt;"X"),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_xlfn._xlws.FILTER($AG$7:$AG$4578,$L$7:$L$4578&lt;&gt;"X"),
_xlfn._xlws.FILTER($E$7:$E$4578,$L$7:$L$4578&lt;&gt;"X"),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395</v>
      </c>
      <c r="AE46" s="92"/>
      <c r="AG46" s="238" t="str">
        <f t="shared" si="14"/>
        <v>LTIA-5.10-VIETUR-70000-RFA-MAS-0277</v>
      </c>
      <c r="AH46" s="243" t="b" cm="1">
        <f t="array" ref="AH46">$E46=_xlfn.XLOOKUP(
AG46,
_xlfn._xlws.FILTER($AG$7:$AG$4578,$L$7:$L$4578&lt;&gt;"X"),
_xlfn._xlws.FILTER($E$7:$E$4578,$L$7:$L$4578&lt;&gt;"X"),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_xlfn._xlws.FILTER($AG$7:$AG$4578,$L$7:$L$4578&lt;&gt;"X"),
_xlfn._xlws.FILTER($E$7:$E$4578,$L$7:$L$4578&lt;&gt;"X"),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_xlfn._xlws.FILTER($AG$7:$AG$4578,$L$7:$L$4578&lt;&gt;"X"),
_xlfn._xlws.FILTER($E$7:$E$4578,$L$7:$L$4578&lt;&gt;"X"),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_xlfn._xlws.FILTER($AG$7:$AG$4578,$L$7:$L$4578&lt;&gt;"X"),
_xlfn._xlws.FILTER($E$7:$E$4578,$L$7:$L$4578&lt;&gt;"X"),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335</v>
      </c>
      <c r="AE50" s="92"/>
      <c r="AG50" s="238" t="str">
        <f t="shared" si="14"/>
        <v>LTIA-5.10-VIETUR-70000-RFA-OTH-0523</v>
      </c>
      <c r="AH50" s="243" t="b" cm="1">
        <f t="array" ref="AH50">$E50=_xlfn.XLOOKUP(
AG50,
_xlfn._xlws.FILTER($AG$7:$AG$4578,$L$7:$L$4578&lt;&gt;"X"),
_xlfn._xlws.FILTER($E$7:$E$4578,$L$7:$L$4578&lt;&gt;"X"),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432</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_xlfn._xlws.FILTER($AG$7:$AG$4578,$L$7:$L$4578&lt;&gt;"X"),
_xlfn._xlws.FILTER($E$7:$E$4578,$L$7:$L$4578&lt;&gt;"X"),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875</v>
      </c>
      <c r="AG52" s="238" t="str">
        <f t="shared" si="14"/>
        <v>LTIA-5.10-VIETUR-70000-RFA-MAS-0655</v>
      </c>
      <c r="AH52" s="243" t="b" cm="1">
        <f t="array" ref="AH52">$E52=_xlfn.XLOOKUP(
AG52,
_xlfn._xlws.FILTER($AG$7:$AG$4578,$L$7:$L$4578&lt;&gt;"X"),
_xlfn._xlws.FILTER($E$7:$E$4578,$L$7:$L$4578&lt;&gt;"X"),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876</v>
      </c>
      <c r="AG53" s="238" t="str">
        <f t="shared" si="14"/>
        <v>LTIA-5.10-VIETUR-70000-RFA-MAS-0660</v>
      </c>
      <c r="AH53" s="243" t="b" cm="1">
        <f t="array" ref="AH53">$E53=_xlfn.XLOOKUP(
AG53,
_xlfn._xlws.FILTER($AG$7:$AG$4578,$L$7:$L$4578&lt;&gt;"X"),
_xlfn._xlws.FILTER($E$7:$E$4578,$L$7:$L$4578&lt;&gt;"X"),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_xlfn._xlws.FILTER($AG$7:$AG$4578,$L$7:$L$4578&lt;&gt;"X"),
_xlfn._xlws.FILTER($E$7:$E$4578,$L$7:$L$4578&lt;&gt;"X"),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_xlfn._xlws.FILTER($AG$7:$AG$4578,$L$7:$L$4578&lt;&gt;"X"),
_xlfn._xlws.FILTER($E$7:$E$4578,$L$7:$L$4578&lt;&gt;"X"),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877</v>
      </c>
      <c r="AG56" s="238" t="str">
        <f t="shared" si="14"/>
        <v>LTIA-5.10-VIETUR-70000-RFA-MAS-0219</v>
      </c>
      <c r="AH56" s="243" t="b" cm="1">
        <f t="array" ref="AH56">$E56=_xlfn.XLOOKUP(
AG56,
_xlfn._xlws.FILTER($AG$7:$AG$4578,$L$7:$L$4578&lt;&gt;"X"),
_xlfn._xlws.FILTER($E$7:$E$4578,$L$7:$L$4578&lt;&gt;"X"),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_xlfn._xlws.FILTER($AG$7:$AG$4578,$L$7:$L$4578&lt;&gt;"X"),
_xlfn._xlws.FILTER($E$7:$E$4578,$L$7:$L$4578&lt;&gt;"X"),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312</v>
      </c>
      <c r="AE58" s="92"/>
      <c r="AG58" s="238" t="str">
        <f t="shared" si="14"/>
        <v>LTIA-5.10-VIETUR-70000-RFA-OTH-0589</v>
      </c>
      <c r="AH58" s="243" t="b" cm="1">
        <f t="array" ref="AH58">$E58=_xlfn.XLOOKUP(
AG58,
_xlfn._xlws.FILTER($AG$7:$AG$4578,$L$7:$L$4578&lt;&gt;"X"),
_xlfn._xlws.FILTER($E$7:$E$4578,$L$7:$L$4578&lt;&gt;"X"),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363</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_xlfn._xlws.FILTER($AG$7:$AG$4578,$L$7:$L$4578&lt;&gt;"X"),
_xlfn._xlws.FILTER($E$7:$E$4578,$L$7:$L$4578&lt;&gt;"X"),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878</v>
      </c>
      <c r="AG60" s="238" t="str">
        <f t="shared" si="14"/>
        <v>LTIA-5.10-VIETUR-70000-RFA-MAS-0696</v>
      </c>
      <c r="AH60" s="243" t="b" cm="1">
        <f t="array" ref="AH60">$E60=_xlfn.XLOOKUP(
AG60,
_xlfn._xlws.FILTER($AG$7:$AG$4578,$L$7:$L$4578&lt;&gt;"X"),
_xlfn._xlws.FILTER($E$7:$E$4578,$L$7:$L$4578&lt;&gt;"X"),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307</v>
      </c>
      <c r="AE61" s="92"/>
      <c r="AG61" s="238" t="str">
        <f t="shared" si="14"/>
        <v>LTIA-5.10-VIETUR-70000-RFA-MAS-0706</v>
      </c>
      <c r="AH61" s="243" t="b" cm="1">
        <f t="array" ref="AH61">$E61=_xlfn.XLOOKUP(
AG61,
_xlfn._xlws.FILTER($AG$7:$AG$4578,$L$7:$L$4578&lt;&gt;"X"),
_xlfn._xlws.FILTER($E$7:$E$4578,$L$7:$L$4578&lt;&gt;"X"),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_xlfn._xlws.FILTER($AG$7:$AG$4578,$L$7:$L$4578&lt;&gt;"X"),
_xlfn._xlws.FILTER($E$7:$E$4578,$L$7:$L$4578&lt;&gt;"X"),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879</v>
      </c>
      <c r="AG63" s="238" t="str">
        <f t="shared" si="14"/>
        <v>LTIA-5.10-VIETUR-70000-RFA-MAS-0720</v>
      </c>
      <c r="AH63" s="243" t="b" cm="1">
        <f t="array" ref="AH63">$E63=_xlfn.XLOOKUP(
AG63,
_xlfn._xlws.FILTER($AG$7:$AG$4578,$L$7:$L$4578&lt;&gt;"X"),
_xlfn._xlws.FILTER($E$7:$E$4578,$L$7:$L$4578&lt;&gt;"X"),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880</v>
      </c>
      <c r="AG64" s="238" t="str">
        <f t="shared" si="14"/>
        <v>LTIA-5.10-VIETUR-70000-RFA-MAS-0708</v>
      </c>
      <c r="AH64" s="243" t="b" cm="1">
        <f t="array" ref="AH64">$E64=_xlfn.XLOOKUP(
AG64,
_xlfn._xlws.FILTER($AG$7:$AG$4578,$L$7:$L$4578&lt;&gt;"X"),
_xlfn._xlws.FILTER($E$7:$E$4578,$L$7:$L$4578&lt;&gt;"X"),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881</v>
      </c>
      <c r="AG65" s="238" t="str">
        <f t="shared" si="14"/>
        <v>LTIA-5.10-VIETUR-70000-RFA-MAS-0734</v>
      </c>
      <c r="AH65" s="243" t="b" cm="1">
        <f t="array" ref="AH65">$E65=_xlfn.XLOOKUP(
AG65,
_xlfn._xlws.FILTER($AG$7:$AG$4578,$L$7:$L$4578&lt;&gt;"X"),
_xlfn._xlws.FILTER($E$7:$E$4578,$L$7:$L$4578&lt;&gt;"X"),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882</v>
      </c>
      <c r="AG66" s="238" t="str">
        <f t="shared" si="14"/>
        <v>LTIA-5.10-VIETUR-70000-RFA-MAS-0556</v>
      </c>
      <c r="AH66" s="243" t="b" cm="1">
        <f t="array" ref="AH66">$E66=_xlfn.XLOOKUP(
AG66,
_xlfn._xlws.FILTER($AG$7:$AG$4578,$L$7:$L$4578&lt;&gt;"X"),
_xlfn._xlws.FILTER($E$7:$E$4578,$L$7:$L$4578&lt;&gt;"X"),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_xlfn._xlws.FILTER($AG$7:$AG$4578,$L$7:$L$4578&lt;&gt;"X"),
_xlfn._xlws.FILTER($E$7:$E$4578,$L$7:$L$4578&lt;&gt;"X"),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144</v>
      </c>
      <c r="AE68" s="92"/>
      <c r="AG68" s="238" t="str">
        <f t="shared" si="14"/>
        <v>LTIA-5.10-VIETUR-70000-RFA-OTH-0654</v>
      </c>
      <c r="AH68" s="243" t="b" cm="1">
        <f t="array" ref="AH68">$E68=_xlfn.XLOOKUP(
AG68,
_xlfn._xlws.FILTER($AG$7:$AG$4578,$L$7:$L$4578&lt;&gt;"X"),
_xlfn._xlws.FILTER($E$7:$E$4578,$L$7:$L$4578&lt;&gt;"X"),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c r="R69" s="155"/>
      <c r="S69" s="27">
        <v>46140</v>
      </c>
      <c r="T69" s="27">
        <v>46140</v>
      </c>
      <c r="U69" s="188">
        <v>46140</v>
      </c>
      <c r="V69" s="29">
        <v>46153</v>
      </c>
      <c r="W69" s="188">
        <v>46155</v>
      </c>
      <c r="X69" s="235" t="s">
        <v>190</v>
      </c>
      <c r="Y69" s="230"/>
      <c r="Z69" s="227"/>
      <c r="AA69" s="29" t="b">
        <f t="shared" si="5"/>
        <v>0</v>
      </c>
      <c r="AB69" s="229"/>
      <c r="AC69" s="229" t="str">
        <f t="shared" si="12"/>
        <v/>
      </c>
      <c r="AD69" s="337" t="str">
        <f t="shared" si="13"/>
        <v/>
      </c>
      <c r="AE69" s="92"/>
      <c r="AG69" s="238" t="str">
        <f t="shared" si="14"/>
        <v>LTIA-5.10-VIETUR-70000-RFA-MAS-0774</v>
      </c>
      <c r="AH69" s="243" t="b" cm="1">
        <f t="array" ref="AH69">$E69=_xlfn.XLOOKUP(
AG69,
_xlfn._xlws.FILTER($AG$7:$AG$4578,$L$7:$L$4578&lt;&gt;"X"),
_xlfn._xlws.FILTER($E$7:$E$4578,$L$7:$L$4578&lt;&gt;"X"),
"",
0,
-1
)</f>
        <v>1</v>
      </c>
      <c r="AI69" s="75" t="str">
        <f t="shared" si="9"/>
        <v/>
      </c>
    </row>
    <row r="70" spans="1:35" s="9" customFormat="1" ht="47.25">
      <c r="A70" s="33">
        <f t="shared" si="10"/>
        <v>64</v>
      </c>
      <c r="B70" s="330" t="str">
        <f t="shared" si="11"/>
        <v>5.11</v>
      </c>
      <c r="C70" s="137" t="s">
        <v>688</v>
      </c>
      <c r="D70" s="137" t="s">
        <v>30</v>
      </c>
      <c r="E70" s="25" t="s">
        <v>733</v>
      </c>
      <c r="F70" s="174">
        <f t="shared" si="17"/>
        <v>45952</v>
      </c>
      <c r="G70" s="31" t="s">
        <v>734</v>
      </c>
      <c r="H70" s="21" t="s">
        <v>735</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736</v>
      </c>
      <c r="AG70" s="238" t="str">
        <f t="shared" si="14"/>
        <v>LTIA-5.11-LTICT-72110-RFA-MAS-0001</v>
      </c>
      <c r="AH70" s="243" t="b" cm="1">
        <f t="array" ref="AH70">$E70=_xlfn.XLOOKUP(
AG70,
_xlfn._xlws.FILTER($AG$7:$AG$4578,$L$7:$L$4578&lt;&gt;"X"),
_xlfn._xlws.FILTER($E$7:$E$4578,$L$7:$L$4578&lt;&gt;"X"),
"",
0,
-1
)</f>
        <v>1</v>
      </c>
      <c r="AI70" s="75" t="str">
        <f t="shared" si="9"/>
        <v/>
      </c>
    </row>
    <row r="71" spans="1:35" s="9" customFormat="1" ht="47.25">
      <c r="A71" s="33">
        <f t="shared" ref="A71:A141" si="19">A70+1</f>
        <v>65</v>
      </c>
      <c r="B71" s="330" t="str">
        <f t="shared" ref="B71:B105" si="20">MID(E71, FIND("-", E71) + 1, 4)</f>
        <v>5.11</v>
      </c>
      <c r="C71" s="137" t="s">
        <v>144</v>
      </c>
      <c r="D71" s="137" t="s">
        <v>30</v>
      </c>
      <c r="E71" s="25" t="s">
        <v>737</v>
      </c>
      <c r="F71" s="174">
        <f t="shared" si="17"/>
        <v>45999</v>
      </c>
      <c r="G71" s="31" t="s">
        <v>738</v>
      </c>
      <c r="H71" s="21" t="s">
        <v>739</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740</v>
      </c>
      <c r="AG71" s="238" t="str">
        <f t="shared" si="14"/>
        <v>LTIA-5.11-LTICT-72110-RFA-MAS-0002</v>
      </c>
      <c r="AH71" s="243" t="b" cm="1">
        <f t="array" ref="AH71">$E71=_xlfn.XLOOKUP(
AG71,
_xlfn._xlws.FILTER($AG$7:$AG$4578,$L$7:$L$4578&lt;&gt;"X"),
_xlfn._xlws.FILTER($E$7:$E$4578,$L$7:$L$4578&lt;&gt;"X"),
"",
0,
-1
)</f>
        <v>1</v>
      </c>
      <c r="AI71" s="75" t="str">
        <f t="shared" ref="AI71:AI119" si="24">IF($AH71,IF(OR($R71="B",$R71="C"),"YES",IF($R71="",IF(OR($I71="B",$I71="C"),"YES",""),"")),"")</f>
        <v/>
      </c>
    </row>
    <row r="72" spans="1:35" s="9" customFormat="1" ht="47.25">
      <c r="A72" s="33">
        <f t="shared" si="19"/>
        <v>66</v>
      </c>
      <c r="B72" s="330" t="str">
        <f t="shared" si="20"/>
        <v>5.11</v>
      </c>
      <c r="C72" s="137" t="s">
        <v>637</v>
      </c>
      <c r="D72" s="137" t="s">
        <v>30</v>
      </c>
      <c r="E72" s="25" t="s">
        <v>741</v>
      </c>
      <c r="F72" s="174">
        <f t="shared" si="17"/>
        <v>45988</v>
      </c>
      <c r="G72" s="31" t="s">
        <v>742</v>
      </c>
      <c r="H72" s="21" t="s">
        <v>743</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744</v>
      </c>
      <c r="Y72" s="230">
        <v>45955</v>
      </c>
      <c r="Z72" s="227"/>
      <c r="AA72" s="29" t="str">
        <f t="shared" si="21"/>
        <v/>
      </c>
      <c r="AB72" s="229"/>
      <c r="AC72" s="229" t="str">
        <f t="shared" si="22"/>
        <v/>
      </c>
      <c r="AD72" s="337" t="str">
        <f t="shared" si="23"/>
        <v/>
      </c>
      <c r="AE72" s="92" t="s">
        <v>745</v>
      </c>
      <c r="AG72" s="238" t="str">
        <f t="shared" si="14"/>
        <v>LTIA-5.11-LTICT-72120-RFA-MAS-0003</v>
      </c>
      <c r="AH72" s="243" t="b" cm="1">
        <f t="array" ref="AH72">$E72=_xlfn.XLOOKUP(
AG72,
_xlfn._xlws.FILTER($AG$7:$AG$4578,$L$7:$L$4578&lt;&gt;"X"),
_xlfn._xlws.FILTER($E$7:$E$4578,$L$7:$L$4578&lt;&gt;"X"),
"",
0,
-1
)</f>
        <v>1</v>
      </c>
      <c r="AI72" s="75" t="str">
        <f t="shared" si="24"/>
        <v/>
      </c>
    </row>
    <row r="73" spans="1:35" s="9" customFormat="1" ht="47.25">
      <c r="A73" s="33">
        <f t="shared" si="19"/>
        <v>67</v>
      </c>
      <c r="B73" s="330" t="str">
        <f t="shared" si="20"/>
        <v>5.11</v>
      </c>
      <c r="C73" s="137" t="s">
        <v>633</v>
      </c>
      <c r="D73" s="137" t="s">
        <v>30</v>
      </c>
      <c r="E73" s="25" t="s">
        <v>746</v>
      </c>
      <c r="F73" s="174">
        <f t="shared" si="17"/>
        <v>45999</v>
      </c>
      <c r="G73" s="31" t="s">
        <v>748</v>
      </c>
      <c r="H73" s="21" t="s">
        <v>747</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749</v>
      </c>
      <c r="Y73" s="230">
        <v>45958</v>
      </c>
      <c r="Z73" s="227"/>
      <c r="AA73" s="29" t="str">
        <f t="shared" si="21"/>
        <v/>
      </c>
      <c r="AB73" s="229"/>
      <c r="AC73" s="229" t="str">
        <f t="shared" si="22"/>
        <v/>
      </c>
      <c r="AD73" s="337" t="str">
        <f t="shared" si="23"/>
        <v/>
      </c>
      <c r="AE73" s="92" t="s">
        <v>740</v>
      </c>
      <c r="AG73" s="238" t="str">
        <f t="shared" si="14"/>
        <v>LTIA-5.11-LTICT-72120-RFA-MAS-0004</v>
      </c>
      <c r="AH73" s="243" t="b" cm="1">
        <f t="array" ref="AH73">$E73=_xlfn.XLOOKUP(
AG73,
_xlfn._xlws.FILTER($AG$7:$AG$4578,$L$7:$L$4578&lt;&gt;"X"),
_xlfn._xlws.FILTER($E$7:$E$4578,$L$7:$L$4578&lt;&gt;"X"),
"",
0,
-1
)</f>
        <v>1</v>
      </c>
      <c r="AI73" s="75" t="str">
        <f t="shared" si="24"/>
        <v/>
      </c>
    </row>
    <row r="74" spans="1:35" s="9" customFormat="1" ht="47.25">
      <c r="A74" s="33">
        <f t="shared" si="19"/>
        <v>68</v>
      </c>
      <c r="B74" s="330" t="str">
        <f t="shared" si="20"/>
        <v>5.11</v>
      </c>
      <c r="C74" s="137" t="s">
        <v>751</v>
      </c>
      <c r="D74" s="137" t="s">
        <v>30</v>
      </c>
      <c r="E74" s="25" t="s">
        <v>750</v>
      </c>
      <c r="F74" s="174">
        <f t="shared" si="17"/>
        <v>45951</v>
      </c>
      <c r="G74" s="31" t="s">
        <v>753</v>
      </c>
      <c r="H74" s="21" t="s">
        <v>754</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752</v>
      </c>
      <c r="AG74" s="238" t="str">
        <f t="shared" si="14"/>
        <v>LTIA-5.11-LTICT-72040-RFA-MAS-0005</v>
      </c>
      <c r="AH74" s="243" t="b" cm="1">
        <f t="array" ref="AH74">$E74=_xlfn.XLOOKUP(
AG74,
_xlfn._xlws.FILTER($AG$7:$AG$4578,$L$7:$L$4578&lt;&gt;"X"),
_xlfn._xlws.FILTER($E$7:$E$4578,$L$7:$L$4578&lt;&gt;"X"),
"",
0,
-1
)</f>
        <v>1</v>
      </c>
      <c r="AI74" s="75" t="str">
        <f t="shared" si="24"/>
        <v/>
      </c>
    </row>
    <row r="75" spans="1:35" s="9" customFormat="1" ht="47.25">
      <c r="A75" s="33">
        <f t="shared" si="19"/>
        <v>69</v>
      </c>
      <c r="B75" s="330" t="str">
        <f t="shared" si="20"/>
        <v>5.11</v>
      </c>
      <c r="C75" s="137" t="s">
        <v>342</v>
      </c>
      <c r="D75" s="137" t="s">
        <v>30</v>
      </c>
      <c r="E75" s="25" t="s">
        <v>755</v>
      </c>
      <c r="F75" s="174">
        <f t="shared" si="17"/>
        <v>45951</v>
      </c>
      <c r="G75" s="31" t="s">
        <v>756</v>
      </c>
      <c r="H75" s="21" t="s">
        <v>757</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752</v>
      </c>
      <c r="AG75" s="238" t="str">
        <f t="shared" si="14"/>
        <v>LTIA-5.11-LTICT-72020-RFA-MAS-0006</v>
      </c>
      <c r="AH75" s="243" t="b" cm="1">
        <f t="array" ref="AH75">$E75=_xlfn.XLOOKUP(
AG75,
_xlfn._xlws.FILTER($AG$7:$AG$4578,$L$7:$L$4578&lt;&gt;"X"),
_xlfn._xlws.FILTER($E$7:$E$4578,$L$7:$L$4578&lt;&gt;"X"),
"",
0,
-1
)</f>
        <v>1</v>
      </c>
      <c r="AI75" s="75" t="str">
        <f t="shared" si="24"/>
        <v/>
      </c>
    </row>
    <row r="76" spans="1:35" s="9" customFormat="1" ht="63">
      <c r="A76" s="33">
        <f t="shared" si="19"/>
        <v>70</v>
      </c>
      <c r="B76" s="330" t="str">
        <f t="shared" si="20"/>
        <v>5.11</v>
      </c>
      <c r="C76" s="137" t="s">
        <v>625</v>
      </c>
      <c r="D76" s="137" t="s">
        <v>30</v>
      </c>
      <c r="E76" s="25" t="s">
        <v>758</v>
      </c>
      <c r="F76" s="174">
        <f t="shared" si="17"/>
        <v>45951</v>
      </c>
      <c r="G76" s="31" t="s">
        <v>759</v>
      </c>
      <c r="H76" s="21" t="s">
        <v>760</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752</v>
      </c>
      <c r="AG76" s="238" t="str">
        <f t="shared" si="14"/>
        <v>LTIA-5.11-LTICT-72030-RFA-MAS-0007</v>
      </c>
      <c r="AH76" s="243" t="b" cm="1">
        <f t="array" ref="AH76">$E76=_xlfn.XLOOKUP(
AG76,
_xlfn._xlws.FILTER($AG$7:$AG$4578,$L$7:$L$4578&lt;&gt;"X"),
_xlfn._xlws.FILTER($E$7:$E$4578,$L$7:$L$4578&lt;&gt;"X"),
"",
0,
-1
)</f>
        <v>1</v>
      </c>
      <c r="AI76" s="75" t="str">
        <f t="shared" si="24"/>
        <v/>
      </c>
    </row>
    <row r="77" spans="1:35" s="9" customFormat="1" ht="47.25">
      <c r="A77" s="33">
        <f t="shared" si="19"/>
        <v>71</v>
      </c>
      <c r="B77" s="330" t="str">
        <f t="shared" si="20"/>
        <v>5.11</v>
      </c>
      <c r="C77" s="137" t="s">
        <v>644</v>
      </c>
      <c r="D77" s="137" t="s">
        <v>30</v>
      </c>
      <c r="E77" s="25" t="s">
        <v>763</v>
      </c>
      <c r="F77" s="174">
        <f t="shared" si="17"/>
        <v>45992</v>
      </c>
      <c r="G77" s="31" t="s">
        <v>761</v>
      </c>
      <c r="H77" s="21" t="s">
        <v>762</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764</v>
      </c>
      <c r="AG77" s="238" t="str">
        <f t="shared" si="14"/>
        <v>LTIA-5.11-LTICT-72090-RFA-MAS-0008</v>
      </c>
      <c r="AH77" s="243" t="b" cm="1">
        <f t="array" ref="AH77">$E77=_xlfn.XLOOKUP(
AG77,
_xlfn._xlws.FILTER($AG$7:$AG$4578,$L$7:$L$4578&lt;&gt;"X"),
_xlfn._xlws.FILTER($E$7:$E$4578,$L$7:$L$4578&lt;&gt;"X"),
"",
0,
-1
)</f>
        <v>1</v>
      </c>
      <c r="AI77" s="75" t="str">
        <f t="shared" si="24"/>
        <v/>
      </c>
    </row>
    <row r="78" spans="1:35" s="9" customFormat="1" ht="47.25">
      <c r="A78" s="33">
        <f t="shared" si="19"/>
        <v>72</v>
      </c>
      <c r="B78" s="330" t="str">
        <f t="shared" si="20"/>
        <v>5.11</v>
      </c>
      <c r="C78" s="137" t="s">
        <v>372</v>
      </c>
      <c r="D78" s="137" t="s">
        <v>30</v>
      </c>
      <c r="E78" s="25" t="s">
        <v>765</v>
      </c>
      <c r="F78" s="174">
        <f t="shared" si="17"/>
        <v>45965</v>
      </c>
      <c r="G78" s="31" t="s">
        <v>766</v>
      </c>
      <c r="H78" s="21" t="s">
        <v>767</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749</v>
      </c>
      <c r="Y78" s="230">
        <v>45958</v>
      </c>
      <c r="Z78" s="227"/>
      <c r="AA78" s="29" t="str">
        <f t="shared" si="21"/>
        <v/>
      </c>
      <c r="AB78" s="229"/>
      <c r="AC78" s="229" t="str">
        <f t="shared" si="22"/>
        <v/>
      </c>
      <c r="AD78" s="337" t="str">
        <f t="shared" si="23"/>
        <v/>
      </c>
      <c r="AE78" s="92" t="s">
        <v>768</v>
      </c>
      <c r="AG78" s="238" t="str">
        <f t="shared" si="14"/>
        <v>LTIA-5.11-LTICT-72120-RFA-MAS-0009</v>
      </c>
      <c r="AH78" s="243" t="b" cm="1">
        <f t="array" ref="AH78">$E78=_xlfn.XLOOKUP(
AG78,
_xlfn._xlws.FILTER($AG$7:$AG$4578,$L$7:$L$4578&lt;&gt;"X"),
_xlfn._xlws.FILTER($E$7:$E$4578,$L$7:$L$4578&lt;&gt;"X"),
"",
0,
-1
)</f>
        <v>1</v>
      </c>
      <c r="AI78" s="75" t="str">
        <f t="shared" si="24"/>
        <v/>
      </c>
    </row>
    <row r="79" spans="1:35" s="9" customFormat="1" ht="126">
      <c r="A79" s="33">
        <f t="shared" si="19"/>
        <v>73</v>
      </c>
      <c r="B79" s="330" t="str">
        <f t="shared" si="20"/>
        <v>5.11</v>
      </c>
      <c r="C79" s="137" t="s">
        <v>725</v>
      </c>
      <c r="D79" s="137" t="s">
        <v>30</v>
      </c>
      <c r="E79" s="25" t="s">
        <v>769</v>
      </c>
      <c r="F79" s="174">
        <f t="shared" si="17"/>
        <v>46069</v>
      </c>
      <c r="G79" s="31" t="s">
        <v>770</v>
      </c>
      <c r="H79" s="21" t="s">
        <v>771</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749</v>
      </c>
      <c r="Y79" s="230"/>
      <c r="Z79" s="227"/>
      <c r="AA79" s="29" t="b">
        <f t="shared" si="21"/>
        <v>0</v>
      </c>
      <c r="AB79" s="229"/>
      <c r="AC79" s="229" t="str">
        <f t="shared" si="22"/>
        <v/>
      </c>
      <c r="AD79" s="337" t="str">
        <f t="shared" si="23"/>
        <v/>
      </c>
      <c r="AE79" s="92" t="s">
        <v>772</v>
      </c>
      <c r="AG79" s="238" t="str">
        <f t="shared" si="14"/>
        <v>LTIA-5.11-LTICT-71000-RFA-MAS-0010</v>
      </c>
      <c r="AH79" s="243" t="b" cm="1">
        <f t="array" ref="AH79">$E79=_xlfn.XLOOKUP(
AG79,
_xlfn._xlws.FILTER($AG$7:$AG$4578,$L$7:$L$4578&lt;&gt;"X"),
_xlfn._xlws.FILTER($E$7:$E$4578,$L$7:$L$4578&lt;&gt;"X"),
"",
0,
-1
)</f>
        <v>1</v>
      </c>
      <c r="AI79" s="75" t="str">
        <f t="shared" si="24"/>
        <v/>
      </c>
    </row>
    <row r="80" spans="1:35" s="9" customFormat="1" ht="126">
      <c r="A80" s="33">
        <f t="shared" si="19"/>
        <v>74</v>
      </c>
      <c r="B80" s="330" t="str">
        <f t="shared" si="20"/>
        <v>5.11</v>
      </c>
      <c r="C80" s="137" t="s">
        <v>656</v>
      </c>
      <c r="D80" s="137" t="s">
        <v>30</v>
      </c>
      <c r="E80" s="25" t="s">
        <v>773</v>
      </c>
      <c r="F80" s="174">
        <f t="shared" si="17"/>
        <v>46072</v>
      </c>
      <c r="G80" s="31" t="s">
        <v>775</v>
      </c>
      <c r="H80" s="21" t="s">
        <v>776</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749</v>
      </c>
      <c r="Y80" s="230"/>
      <c r="Z80" s="227"/>
      <c r="AA80" s="29" t="b">
        <f t="shared" si="21"/>
        <v>0</v>
      </c>
      <c r="AB80" s="229"/>
      <c r="AC80" s="229" t="str">
        <f t="shared" si="22"/>
        <v/>
      </c>
      <c r="AD80" s="337" t="str">
        <f t="shared" si="23"/>
        <v/>
      </c>
      <c r="AE80" s="92" t="s">
        <v>934</v>
      </c>
      <c r="AG80" s="238" t="str">
        <f t="shared" si="14"/>
        <v>LTIA-5.11-LTICT-71110-RFA-MAS-0011</v>
      </c>
      <c r="AH80" s="243" t="b" cm="1">
        <f t="array" ref="AH80">$E80=_xlfn.XLOOKUP(
AG80,
_xlfn._xlws.FILTER($AG$7:$AG$4578,$L$7:$L$4578&lt;&gt;"X"),
_xlfn._xlws.FILTER($E$7:$E$4578,$L$7:$L$4578&lt;&gt;"X"),
"",
0,
-1
)</f>
        <v>1</v>
      </c>
      <c r="AI80" s="75" t="str">
        <f t="shared" si="24"/>
        <v/>
      </c>
    </row>
    <row r="81" spans="1:35" s="9" customFormat="1" ht="110.25">
      <c r="A81" s="33">
        <f t="shared" si="19"/>
        <v>75</v>
      </c>
      <c r="B81" s="330" t="str">
        <f t="shared" si="20"/>
        <v>5.11</v>
      </c>
      <c r="C81" s="164" t="s">
        <v>621</v>
      </c>
      <c r="D81" s="137" t="s">
        <v>30</v>
      </c>
      <c r="E81" s="25" t="s">
        <v>774</v>
      </c>
      <c r="F81" s="174">
        <f t="shared" si="17"/>
        <v>46029</v>
      </c>
      <c r="G81" s="31" t="s">
        <v>777</v>
      </c>
      <c r="H81" s="21" t="s">
        <v>778</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851</v>
      </c>
      <c r="AG81" s="238" t="str">
        <f t="shared" si="14"/>
        <v>LTIA-5.11-LTICT-72190-RFA-MAS-0012</v>
      </c>
      <c r="AH81" s="243" t="b" cm="1">
        <f t="array" ref="AH81">$E81=_xlfn.XLOOKUP(
AG81,
_xlfn._xlws.FILTER($AG$7:$AG$4578,$L$7:$L$4578&lt;&gt;"X"),
_xlfn._xlws.FILTER($E$7:$E$4578,$L$7:$L$4578&lt;&gt;"X"),
"",
0,
-1
)</f>
        <v>1</v>
      </c>
      <c r="AI81" s="75" t="str">
        <f t="shared" si="24"/>
        <v/>
      </c>
    </row>
    <row r="82" spans="1:35" s="9" customFormat="1" ht="47.25">
      <c r="A82" s="33">
        <f t="shared" si="19"/>
        <v>76</v>
      </c>
      <c r="B82" s="330" t="str">
        <f t="shared" si="20"/>
        <v>5.11</v>
      </c>
      <c r="C82" s="137" t="s">
        <v>342</v>
      </c>
      <c r="D82" s="137" t="s">
        <v>30</v>
      </c>
      <c r="E82" s="25" t="s">
        <v>779</v>
      </c>
      <c r="F82" s="174">
        <f t="shared" si="17"/>
        <v>46001</v>
      </c>
      <c r="G82" s="31" t="s">
        <v>780</v>
      </c>
      <c r="H82" s="21" t="s">
        <v>757</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781</v>
      </c>
      <c r="AG82" s="238" t="str">
        <f t="shared" si="14"/>
        <v>LTIA-5.11-LTICT-72010-RFA-MAS-0013</v>
      </c>
      <c r="AH82" s="243" t="b" cm="1">
        <f t="array" ref="AH82">$E82=_xlfn.XLOOKUP(
AG82,
_xlfn._xlws.FILTER($AG$7:$AG$4578,$L$7:$L$4578&lt;&gt;"X"),
_xlfn._xlws.FILTER($E$7:$E$4578,$L$7:$L$4578&lt;&gt;"X"),
"",
0,
-1
)</f>
        <v>1</v>
      </c>
      <c r="AI82" s="75" t="str">
        <f t="shared" si="24"/>
        <v/>
      </c>
    </row>
    <row r="83" spans="1:35" s="9" customFormat="1" ht="63">
      <c r="A83" s="33">
        <f t="shared" si="19"/>
        <v>77</v>
      </c>
      <c r="B83" s="330" t="str">
        <f t="shared" si="20"/>
        <v>5.11</v>
      </c>
      <c r="C83" s="164"/>
      <c r="D83" s="137" t="s">
        <v>30</v>
      </c>
      <c r="E83" s="25" t="s">
        <v>782</v>
      </c>
      <c r="F83" s="174"/>
      <c r="G83" s="31" t="s">
        <v>783</v>
      </c>
      <c r="H83" s="21" t="s">
        <v>786</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784</v>
      </c>
      <c r="AG83" s="238" t="str">
        <f t="shared" si="14"/>
        <v>LTIA-5.11LTICT-RFA-MAS-ACCESSORIES-001</v>
      </c>
      <c r="AH83" s="243" t="b" cm="1">
        <f t="array" ref="AH83">$E83=_xlfn.XLOOKUP(
AG83,
_xlfn._xlws.FILTER($AG$7:$AG$4578,$L$7:$L$4578&lt;&gt;"X"),
_xlfn._xlws.FILTER($E$7:$E$4578,$L$7:$L$4578&lt;&gt;"X"),
"",
0,
-1
)</f>
        <v>0</v>
      </c>
      <c r="AI83" s="75" t="str">
        <f t="shared" si="24"/>
        <v/>
      </c>
    </row>
    <row r="84" spans="1:35" s="9" customFormat="1" ht="141.75">
      <c r="A84" s="33">
        <f t="shared" si="19"/>
        <v>78</v>
      </c>
      <c r="B84" s="330" t="str">
        <f t="shared" si="20"/>
        <v>5.11</v>
      </c>
      <c r="C84" s="137"/>
      <c r="D84" s="137" t="s">
        <v>30</v>
      </c>
      <c r="E84" s="25" t="s">
        <v>785</v>
      </c>
      <c r="F84" s="174">
        <f t="shared" ref="F84:F94" si="26">IF($U84=0,$T84+22,$U84+21)</f>
        <v>46210</v>
      </c>
      <c r="G84" s="31" t="s">
        <v>783</v>
      </c>
      <c r="H84" s="21" t="s">
        <v>786</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918</v>
      </c>
      <c r="AG84" s="238" t="str">
        <f t="shared" si="14"/>
        <v>LTIA-5.11-LTICT-RFA-MAS-0014</v>
      </c>
      <c r="AH84" s="243" t="b" cm="1">
        <f t="array" ref="AH84">$E84=_xlfn.XLOOKUP(
AG84,
_xlfn._xlws.FILTER($AG$7:$AG$4578,$L$7:$L$4578&lt;&gt;"X"),
_xlfn._xlws.FILTER($E$7:$E$4578,$L$7:$L$4578&lt;&gt;"X"),
"",
0,
-1
)</f>
        <v>0</v>
      </c>
      <c r="AI84" s="75" t="str">
        <f t="shared" si="24"/>
        <v/>
      </c>
    </row>
    <row r="85" spans="1:35" s="9" customFormat="1" ht="94.5">
      <c r="A85" s="33">
        <f t="shared" si="19"/>
        <v>79</v>
      </c>
      <c r="B85" s="330" t="str">
        <f t="shared" si="20"/>
        <v>5.11</v>
      </c>
      <c r="C85" s="137" t="s">
        <v>637</v>
      </c>
      <c r="D85" s="137" t="s">
        <v>30</v>
      </c>
      <c r="E85" s="25" t="s">
        <v>787</v>
      </c>
      <c r="F85" s="174">
        <f t="shared" si="26"/>
        <v>46155</v>
      </c>
      <c r="G85" s="31" t="s">
        <v>742</v>
      </c>
      <c r="H85" s="21" t="s">
        <v>743</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949</v>
      </c>
      <c r="AG85" s="238" t="str">
        <f t="shared" si="14"/>
        <v>LTIA-5.11-LTICT-72102-RFA-MAS-0015</v>
      </c>
      <c r="AH85" s="243" t="b" cm="1">
        <f t="array" ref="AH85">$E85=_xlfn.XLOOKUP(
AG85,
_xlfn._xlws.FILTER($AG$7:$AG$4578,$L$7:$L$4578&lt;&gt;"X"),
_xlfn._xlws.FILTER($E$7:$E$4578,$L$7:$L$4578&lt;&gt;"X"),
"",
0,
-1
)</f>
        <v>1</v>
      </c>
      <c r="AI85" s="75" t="str">
        <f t="shared" si="24"/>
        <v/>
      </c>
    </row>
    <row r="86" spans="1:35" s="9" customFormat="1" ht="47.25">
      <c r="A86" s="33">
        <f t="shared" si="19"/>
        <v>80</v>
      </c>
      <c r="B86" s="330" t="str">
        <f t="shared" si="20"/>
        <v>5.11</v>
      </c>
      <c r="C86" s="164" t="s">
        <v>656</v>
      </c>
      <c r="D86" s="137" t="s">
        <v>30</v>
      </c>
      <c r="E86" s="25" t="s">
        <v>788</v>
      </c>
      <c r="F86" s="174">
        <f t="shared" si="26"/>
        <v>46183</v>
      </c>
      <c r="G86" s="31" t="s">
        <v>775</v>
      </c>
      <c r="H86" s="21" t="s">
        <v>776</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935</v>
      </c>
      <c r="AG86" s="238" t="str">
        <f t="shared" si="14"/>
        <v>LTIA-5.11-LTICT-71110-RFA-MAS-0016</v>
      </c>
      <c r="AH86" s="243" t="b" cm="1">
        <f t="array" ref="AH86">$E86=_xlfn.XLOOKUP(
AG86,
_xlfn._xlws.FILTER($AG$7:$AG$4578,$L$7:$L$4578&lt;&gt;"X"),
_xlfn._xlws.FILTER($E$7:$E$4578,$L$7:$L$4578&lt;&gt;"X"),
"",
0,
-1
)</f>
        <v>1</v>
      </c>
      <c r="AI86" s="75" t="str">
        <f t="shared" si="24"/>
        <v/>
      </c>
    </row>
    <row r="87" spans="1:35" s="9" customFormat="1" ht="47.25">
      <c r="A87" s="33">
        <f t="shared" si="19"/>
        <v>81</v>
      </c>
      <c r="B87" s="330" t="str">
        <f t="shared" si="20"/>
        <v>5.11</v>
      </c>
      <c r="C87" s="137" t="s">
        <v>725</v>
      </c>
      <c r="D87" s="137" t="s">
        <v>30</v>
      </c>
      <c r="E87" s="25" t="s">
        <v>789</v>
      </c>
      <c r="F87" s="174"/>
      <c r="G87" s="31" t="s">
        <v>770</v>
      </c>
      <c r="H87" s="21" t="s">
        <v>771</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853</v>
      </c>
      <c r="AG87" s="238" t="str">
        <f t="shared" si="14"/>
        <v>LTIA-5.11-LTICT-71000-RFA-MAS-0017</v>
      </c>
      <c r="AH87" s="243" t="b" cm="1">
        <f t="array" ref="AH87">$E87=_xlfn.XLOOKUP(
AG87,
_xlfn._xlws.FILTER($AG$7:$AG$4578,$L$7:$L$4578&lt;&gt;"X"),
_xlfn._xlws.FILTER($E$7:$E$4578,$L$7:$L$4578&lt;&gt;"X"),
"",
0,
-1
)</f>
        <v>0</v>
      </c>
      <c r="AI87" s="75" t="str">
        <f t="shared" si="24"/>
        <v/>
      </c>
    </row>
    <row r="88" spans="1:35" s="9" customFormat="1" ht="47.25">
      <c r="A88" s="33">
        <f t="shared" si="19"/>
        <v>82</v>
      </c>
      <c r="B88" s="330" t="str">
        <f t="shared" si="20"/>
        <v>5.11</v>
      </c>
      <c r="C88" s="164"/>
      <c r="D88" s="137" t="s">
        <v>24</v>
      </c>
      <c r="E88" s="25" t="s">
        <v>790</v>
      </c>
      <c r="F88" s="174">
        <f t="shared" si="26"/>
        <v>45930</v>
      </c>
      <c r="G88" s="31" t="s">
        <v>795</v>
      </c>
      <c r="H88" s="21" t="s">
        <v>796</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_xlfn._xlws.FILTER($AG$7:$AG$4578,$L$7:$L$4578&lt;&gt;"X"),
_xlfn._xlws.FILTER($E$7:$E$4578,$L$7:$L$4578&lt;&gt;"X"),
"",
0,
-1
)</f>
        <v>1</v>
      </c>
      <c r="AI88" s="75" t="str">
        <f t="shared" si="24"/>
        <v/>
      </c>
    </row>
    <row r="89" spans="1:35" s="9" customFormat="1" ht="47.25">
      <c r="A89" s="33">
        <f t="shared" si="19"/>
        <v>83</v>
      </c>
      <c r="B89" s="330" t="str">
        <f t="shared" si="20"/>
        <v>5.11</v>
      </c>
      <c r="C89" s="164"/>
      <c r="D89" s="137" t="s">
        <v>24</v>
      </c>
      <c r="E89" s="25" t="s">
        <v>791</v>
      </c>
      <c r="F89" s="174">
        <f t="shared" si="26"/>
        <v>45930</v>
      </c>
      <c r="G89" s="31" t="s">
        <v>797</v>
      </c>
      <c r="H89" s="21" t="s">
        <v>798</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799</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_xlfn._xlws.FILTER($AG$7:$AG$4578,$L$7:$L$4578&lt;&gt;"X"),
_xlfn._xlws.FILTER($E$7:$E$4578,$L$7:$L$4578&lt;&gt;"X"),
"",
0,
-1
)</f>
        <v>1</v>
      </c>
      <c r="AI89" s="75" t="str">
        <f t="shared" si="24"/>
        <v/>
      </c>
    </row>
    <row r="90" spans="1:35" s="9" customFormat="1" ht="47.25">
      <c r="A90" s="33">
        <f t="shared" si="19"/>
        <v>84</v>
      </c>
      <c r="B90" s="330" t="str">
        <f t="shared" si="20"/>
        <v>5.11</v>
      </c>
      <c r="C90" s="164"/>
      <c r="D90" s="137" t="s">
        <v>24</v>
      </c>
      <c r="E90" s="25" t="s">
        <v>792</v>
      </c>
      <c r="F90" s="174">
        <f t="shared" si="26"/>
        <v>45980</v>
      </c>
      <c r="G90" s="31" t="s">
        <v>801</v>
      </c>
      <c r="H90" s="21" t="s">
        <v>802</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800</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_xlfn._xlws.FILTER($AG$7:$AG$4578,$L$7:$L$4578&lt;&gt;"X"),
_xlfn._xlws.FILTER($E$7:$E$4578,$L$7:$L$4578&lt;&gt;"X"),
"",
0,
-1
)</f>
        <v>1</v>
      </c>
      <c r="AI90" s="75" t="str">
        <f t="shared" si="24"/>
        <v/>
      </c>
    </row>
    <row r="91" spans="1:35" s="9" customFormat="1" ht="47.25">
      <c r="A91" s="33">
        <f t="shared" si="19"/>
        <v>85</v>
      </c>
      <c r="B91" s="330" t="str">
        <f t="shared" si="20"/>
        <v>5.11</v>
      </c>
      <c r="C91" s="164"/>
      <c r="D91" s="137" t="s">
        <v>24</v>
      </c>
      <c r="E91" s="25" t="s">
        <v>793</v>
      </c>
      <c r="F91" s="174">
        <f t="shared" si="26"/>
        <v>46174</v>
      </c>
      <c r="G91" s="31" t="s">
        <v>803</v>
      </c>
      <c r="H91" s="21" t="s">
        <v>804</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861</v>
      </c>
      <c r="AG91" s="238" t="str">
        <f t="shared" si="14"/>
        <v>LTIA-5.11-LTICT-10000-RFA-GEN-0004</v>
      </c>
      <c r="AH91" s="243" t="b" cm="1">
        <f t="array" ref="AH91">$E91=_xlfn.XLOOKUP(
AG91,
_xlfn._xlws.FILTER($AG$7:$AG$4578,$L$7:$L$4578&lt;&gt;"X"),
_xlfn._xlws.FILTER($E$7:$E$4578,$L$7:$L$4578&lt;&gt;"X"),
"",
0,
-1
)</f>
        <v>0</v>
      </c>
      <c r="AI91" s="75" t="str">
        <f t="shared" si="24"/>
        <v/>
      </c>
    </row>
    <row r="92" spans="1:35" s="9" customFormat="1" ht="47.25">
      <c r="A92" s="33">
        <f t="shared" si="19"/>
        <v>86</v>
      </c>
      <c r="B92" s="330" t="str">
        <f t="shared" si="20"/>
        <v>5.11</v>
      </c>
      <c r="C92" s="164"/>
      <c r="D92" s="137" t="s">
        <v>24</v>
      </c>
      <c r="E92" s="25" t="s">
        <v>794</v>
      </c>
      <c r="F92" s="174">
        <f t="shared" si="26"/>
        <v>46181</v>
      </c>
      <c r="G92" s="31" t="s">
        <v>805</v>
      </c>
      <c r="H92" s="21" t="s">
        <v>806</v>
      </c>
      <c r="I92" s="138"/>
      <c r="J92" s="164">
        <f t="shared" ca="1" si="27"/>
        <v>154</v>
      </c>
      <c r="K92" s="47">
        <f t="shared" ca="1" si="28"/>
        <v>133</v>
      </c>
      <c r="L92" s="164" t="s">
        <v>1003</v>
      </c>
      <c r="M92" s="40" t="s">
        <v>8</v>
      </c>
      <c r="N92" s="41" t="s">
        <v>8</v>
      </c>
      <c r="O92" s="40"/>
      <c r="P92" s="41"/>
      <c r="Q92" s="40"/>
      <c r="R92" s="155"/>
      <c r="S92" s="27">
        <v>46160</v>
      </c>
      <c r="T92" s="27">
        <v>46160</v>
      </c>
      <c r="U92" s="188">
        <v>46160</v>
      </c>
      <c r="V92" s="29"/>
      <c r="W92" s="188"/>
      <c r="X92" s="235"/>
      <c r="Y92" s="230"/>
      <c r="Z92" s="227"/>
      <c r="AA92" s="29" t="str">
        <f t="shared" si="21"/>
        <v/>
      </c>
      <c r="AB92" s="229"/>
      <c r="AC92" s="229" t="str">
        <f t="shared" si="22"/>
        <v/>
      </c>
      <c r="AD92" s="337" t="str">
        <f t="shared" si="23"/>
        <v/>
      </c>
      <c r="AE92" s="92" t="s">
        <v>807</v>
      </c>
      <c r="AG92" s="238" t="str">
        <f t="shared" si="14"/>
        <v>LTIA-5.11-LTICT-10000-RFA-GEN-0005</v>
      </c>
      <c r="AH92" s="243" t="b" cm="1">
        <f t="array" ref="AH92">$E92=_xlfn.XLOOKUP(
AG92,
_xlfn._xlws.FILTER($AG$7:$AG$4578,$L$7:$L$4578&lt;&gt;"X"),
_xlfn._xlws.FILTER($E$7:$E$4578,$L$7:$L$4578&lt;&gt;"X"),
"",
0,
-1
)</f>
        <v>1</v>
      </c>
      <c r="AI92" s="75" t="str">
        <f t="shared" si="24"/>
        <v/>
      </c>
    </row>
    <row r="93" spans="1:35" s="9" customFormat="1" ht="63">
      <c r="A93" s="33">
        <f t="shared" si="19"/>
        <v>87</v>
      </c>
      <c r="B93" s="330" t="str">
        <f t="shared" si="20"/>
        <v>5.11</v>
      </c>
      <c r="C93" s="164" t="s">
        <v>816</v>
      </c>
      <c r="D93" s="137" t="s">
        <v>85</v>
      </c>
      <c r="E93" s="25" t="s">
        <v>808</v>
      </c>
      <c r="F93" s="174">
        <f t="shared" si="26"/>
        <v>45995</v>
      </c>
      <c r="G93" s="31" t="s">
        <v>818</v>
      </c>
      <c r="H93" s="21" t="s">
        <v>817</v>
      </c>
      <c r="I93" s="138" t="s">
        <v>1</v>
      </c>
      <c r="J93" s="164">
        <f t="shared" ca="1" si="27"/>
        <v>340</v>
      </c>
      <c r="K93" s="47">
        <f t="shared" ca="1" si="28"/>
        <v>319</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852</v>
      </c>
      <c r="AG93" s="238" t="str">
        <f t="shared" si="14"/>
        <v>LTIA-5.11-LTICT-RFA-OTH-0001</v>
      </c>
      <c r="AH93" s="243" t="b" cm="1">
        <f t="array" ref="AH93">$E93=_xlfn.XLOOKUP(
AG93,
_xlfn._xlws.FILTER($AG$7:$AG$4578,$L$7:$L$4578&lt;&gt;"X"),
_xlfn._xlws.FILTER($E$7:$E$4578,$L$7:$L$4578&lt;&gt;"X"),
"",
0,
-1
)</f>
        <v>0</v>
      </c>
      <c r="AI93" s="75" t="str">
        <f t="shared" si="24"/>
        <v/>
      </c>
    </row>
    <row r="94" spans="1:35" s="9" customFormat="1" ht="177.75" customHeight="1">
      <c r="A94" s="33">
        <f t="shared" si="19"/>
        <v>88</v>
      </c>
      <c r="B94" s="330" t="str">
        <f t="shared" si="20"/>
        <v>5.11</v>
      </c>
      <c r="C94" s="164" t="s">
        <v>725</v>
      </c>
      <c r="D94" s="137" t="s">
        <v>85</v>
      </c>
      <c r="E94" s="25" t="s">
        <v>809</v>
      </c>
      <c r="F94" s="174">
        <f t="shared" si="26"/>
        <v>46128</v>
      </c>
      <c r="G94" s="31" t="s">
        <v>819</v>
      </c>
      <c r="H94" s="21" t="s">
        <v>820</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821</v>
      </c>
      <c r="AG94" s="238" t="str">
        <f t="shared" si="14"/>
        <v>LTIA-5.11-LTICT-RFA-OTH-0002</v>
      </c>
      <c r="AH94" s="243" t="b" cm="1">
        <f t="array" ref="AH94">$E94=_xlfn.XLOOKUP(
AG94,
_xlfn._xlws.FILTER($AG$7:$AG$4578,$L$7:$L$4578&lt;&gt;"X"),
_xlfn._xlws.FILTER($E$7:$E$4578,$L$7:$L$4578&lt;&gt;"X"),
"",
0,
-1
)</f>
        <v>1</v>
      </c>
      <c r="AI94" s="75" t="str">
        <f t="shared" si="24"/>
        <v>YES</v>
      </c>
    </row>
    <row r="95" spans="1:35" s="9" customFormat="1" ht="78.75">
      <c r="A95" s="33">
        <f t="shared" si="19"/>
        <v>89</v>
      </c>
      <c r="B95" s="330" t="str">
        <f t="shared" si="20"/>
        <v>5.11</v>
      </c>
      <c r="C95" s="164"/>
      <c r="D95" s="137" t="s">
        <v>28</v>
      </c>
      <c r="E95" s="25" t="s">
        <v>810</v>
      </c>
      <c r="F95" s="174"/>
      <c r="G95" s="31" t="s">
        <v>822</v>
      </c>
      <c r="H95" s="21" t="s">
        <v>823</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824</v>
      </c>
      <c r="AG95" s="238" t="str">
        <f t="shared" si="14"/>
        <v>LTIA-5.11-LTICT-RFA-OTH-0003</v>
      </c>
      <c r="AH95" s="243" t="b" cm="1">
        <f t="array" ref="AH95">$E95=_xlfn.XLOOKUP(
AG95,
_xlfn._xlws.FILTER($AG$7:$AG$4578,$L$7:$L$4578&lt;&gt;"X"),
_xlfn._xlws.FILTER($E$7:$E$4578,$L$7:$L$4578&lt;&gt;"X"),
"",
0,
-1
)</f>
        <v>0</v>
      </c>
      <c r="AI95" s="75" t="str">
        <f t="shared" si="24"/>
        <v/>
      </c>
    </row>
    <row r="96" spans="1:35" s="9" customFormat="1" ht="47.25">
      <c r="A96" s="33">
        <f t="shared" si="19"/>
        <v>90</v>
      </c>
      <c r="B96" s="330" t="str">
        <f t="shared" si="20"/>
        <v>5.11</v>
      </c>
      <c r="C96" s="164" t="s">
        <v>725</v>
      </c>
      <c r="D96" s="137" t="s">
        <v>85</v>
      </c>
      <c r="E96" s="25" t="s">
        <v>811</v>
      </c>
      <c r="F96" s="174">
        <f t="shared" ref="F96:F141" si="29">IF($U96=0,$T96+22,$U96+21)</f>
        <v>46078</v>
      </c>
      <c r="G96" s="31" t="s">
        <v>826</v>
      </c>
      <c r="H96" s="21" t="s">
        <v>827</v>
      </c>
      <c r="I96" s="138" t="s">
        <v>1</v>
      </c>
      <c r="J96" s="164">
        <f t="shared" ref="J96:J141" si="30">IF(ISBLANK($W96),_xlfn.DAYS($J$1,$U96),_xlfn.DAYS($W96,$U96))</f>
        <v>48</v>
      </c>
      <c r="K96" s="47">
        <f t="shared" ref="K96:K141"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825</v>
      </c>
      <c r="AG96" s="238" t="str">
        <f t="shared" si="14"/>
        <v>LTIA-5.11-LTICT-RFA-OTH-0004</v>
      </c>
      <c r="AH96" s="243" t="b" cm="1">
        <f t="array" ref="AH96">$E96=_xlfn.XLOOKUP(
AG96,
_xlfn._xlws.FILTER($AG$7:$AG$4578,$L$7:$L$4578&lt;&gt;"X"),
_xlfn._xlws.FILTER($E$7:$E$4578,$L$7:$L$4578&lt;&gt;"X"),
"",
0,
-1
)</f>
        <v>1</v>
      </c>
      <c r="AI96" s="75" t="str">
        <f t="shared" si="24"/>
        <v>YES</v>
      </c>
    </row>
    <row r="97" spans="1:35" s="9" customFormat="1" ht="78.75">
      <c r="A97" s="33">
        <f t="shared" si="19"/>
        <v>91</v>
      </c>
      <c r="B97" s="330" t="str">
        <f t="shared" si="20"/>
        <v>5.11</v>
      </c>
      <c r="C97" s="164" t="s">
        <v>637</v>
      </c>
      <c r="D97" s="137" t="s">
        <v>85</v>
      </c>
      <c r="E97" s="25" t="s">
        <v>812</v>
      </c>
      <c r="F97" s="174">
        <f t="shared" si="29"/>
        <v>46106</v>
      </c>
      <c r="G97" s="31" t="s">
        <v>828</v>
      </c>
      <c r="H97" s="21" t="s">
        <v>829</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_xlfn._xlws.FILTER($AG$7:$AG$4578,$L$7:$L$4578&lt;&gt;"X"),
_xlfn._xlws.FILTER($E$7:$E$4578,$L$7:$L$4578&lt;&gt;"X"),
"",
0,
-1
)</f>
        <v>1</v>
      </c>
      <c r="AI97" s="75" t="str">
        <f t="shared" si="24"/>
        <v>YES</v>
      </c>
    </row>
    <row r="98" spans="1:35" s="9" customFormat="1" ht="47.25">
      <c r="A98" s="33">
        <f t="shared" si="19"/>
        <v>92</v>
      </c>
      <c r="B98" s="330" t="str">
        <f t="shared" si="20"/>
        <v>5.11</v>
      </c>
      <c r="C98" s="164" t="s">
        <v>633</v>
      </c>
      <c r="D98" s="137" t="s">
        <v>85</v>
      </c>
      <c r="E98" s="25" t="s">
        <v>813</v>
      </c>
      <c r="F98" s="174">
        <f t="shared" si="29"/>
        <v>46115</v>
      </c>
      <c r="G98" s="31" t="s">
        <v>830</v>
      </c>
      <c r="H98" s="21" t="s">
        <v>831</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_xlfn._xlws.FILTER($AG$7:$AG$4578,$L$7:$L$4578&lt;&gt;"X"),
_xlfn._xlws.FILTER($E$7:$E$4578,$L$7:$L$4578&lt;&gt;"X"),
"",
0,
-1
)</f>
        <v>1</v>
      </c>
      <c r="AI98" s="75" t="str">
        <f t="shared" si="24"/>
        <v>YES</v>
      </c>
    </row>
    <row r="99" spans="1:35" s="9" customFormat="1" ht="47.25">
      <c r="A99" s="33">
        <f t="shared" si="19"/>
        <v>93</v>
      </c>
      <c r="B99" s="330" t="str">
        <f t="shared" si="20"/>
        <v>5.11</v>
      </c>
      <c r="C99" s="164" t="s">
        <v>144</v>
      </c>
      <c r="D99" s="137" t="s">
        <v>28</v>
      </c>
      <c r="E99" s="25" t="s">
        <v>814</v>
      </c>
      <c r="F99" s="174">
        <f t="shared" si="29"/>
        <v>46128</v>
      </c>
      <c r="G99" s="31" t="s">
        <v>832</v>
      </c>
      <c r="H99" s="21" t="s">
        <v>833</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834</v>
      </c>
      <c r="AG99" s="238" t="str">
        <f t="shared" si="14"/>
        <v>LTIA-5.11-LTICT-RFA-OTH-0007</v>
      </c>
      <c r="AH99" s="243" t="b" cm="1">
        <f t="array" ref="AH99">$E99=_xlfn.XLOOKUP(
AG99,
_xlfn._xlws.FILTER($AG$7:$AG$4578,$L$7:$L$4578&lt;&gt;"X"),
_xlfn._xlws.FILTER($E$7:$E$4578,$L$7:$L$4578&lt;&gt;"X"),
"",
0,
-1
)</f>
        <v>0</v>
      </c>
      <c r="AI99" s="75" t="str">
        <f t="shared" si="24"/>
        <v/>
      </c>
    </row>
    <row r="100" spans="1:35" s="9" customFormat="1" ht="47.25">
      <c r="A100" s="33">
        <f t="shared" si="19"/>
        <v>94</v>
      </c>
      <c r="B100" s="330" t="str">
        <f t="shared" si="20"/>
        <v>5.11</v>
      </c>
      <c r="C100" s="164" t="s">
        <v>144</v>
      </c>
      <c r="D100" s="137" t="s">
        <v>28</v>
      </c>
      <c r="E100" s="25" t="s">
        <v>815</v>
      </c>
      <c r="F100" s="174">
        <f t="shared" si="29"/>
        <v>46197</v>
      </c>
      <c r="G100" s="31" t="s">
        <v>832</v>
      </c>
      <c r="H100" s="21" t="s">
        <v>833</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873</v>
      </c>
      <c r="AG100" s="238" t="str">
        <f t="shared" si="14"/>
        <v>LTIA-5.11-LTICT-RFA-OTH-0007</v>
      </c>
      <c r="AH100" s="243" t="b" cm="1">
        <f t="array" ref="AH100">$E100=_xlfn.XLOOKUP(
AG100,
_xlfn._xlws.FILTER($AG$7:$AG$4578,$L$7:$L$4578&lt;&gt;"X"),
_xlfn._xlws.FILTER($E$7:$E$4578,$L$7:$L$4578&lt;&gt;"X"),
"",
0,
-1
)</f>
        <v>1</v>
      </c>
      <c r="AI100" s="75" t="str">
        <f t="shared" si="24"/>
        <v/>
      </c>
    </row>
    <row r="101" spans="1:35" s="9" customFormat="1" ht="78.75">
      <c r="A101" s="33">
        <f t="shared" si="19"/>
        <v>95</v>
      </c>
      <c r="B101" s="330" t="str">
        <f t="shared" si="20"/>
        <v>5.11</v>
      </c>
      <c r="C101" s="164" t="s">
        <v>838</v>
      </c>
      <c r="D101" s="137" t="s">
        <v>32</v>
      </c>
      <c r="E101" s="25" t="s">
        <v>835</v>
      </c>
      <c r="F101" s="174">
        <f t="shared" si="29"/>
        <v>46115</v>
      </c>
      <c r="G101" s="31" t="s">
        <v>836</v>
      </c>
      <c r="H101" s="21" t="s">
        <v>837</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_xlfn._xlws.FILTER($AG$7:$AG$4578,$L$7:$L$4578&lt;&gt;"X"),
_xlfn._xlws.FILTER($E$7:$E$4578,$L$7:$L$4578&lt;&gt;"X"),
"",
0,
-1
)</f>
        <v>1</v>
      </c>
      <c r="AI101" s="75" t="str">
        <f t="shared" si="24"/>
        <v>YES</v>
      </c>
    </row>
    <row r="102" spans="1:35" s="9" customFormat="1" ht="78.75">
      <c r="A102" s="33">
        <f t="shared" si="19"/>
        <v>96</v>
      </c>
      <c r="B102" s="330" t="str">
        <f t="shared" si="20"/>
        <v>5.11</v>
      </c>
      <c r="C102" s="164" t="s">
        <v>637</v>
      </c>
      <c r="D102" s="137" t="s">
        <v>30</v>
      </c>
      <c r="E102" s="25" t="s">
        <v>843</v>
      </c>
      <c r="F102" s="174">
        <f t="shared" si="29"/>
        <v>46206</v>
      </c>
      <c r="G102" s="31" t="s">
        <v>844</v>
      </c>
      <c r="H102" s="21" t="s">
        <v>845</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945</v>
      </c>
      <c r="AG102" s="238" t="str">
        <f t="shared" si="14"/>
        <v>LTIA-5.11-LTICT-72120-RFA-MAS-0015</v>
      </c>
      <c r="AH102" s="243" t="b" cm="1">
        <f t="array" ref="AH102">$E102=_xlfn.XLOOKUP(
AG102,
_xlfn._xlws.FILTER($AG$7:$AG$4578,$L$7:$L$4578&lt;&gt;"X"),
_xlfn._xlws.FILTER($E$7:$E$4578,$L$7:$L$4578&lt;&gt;"X"),
"",
0,
-1
)</f>
        <v>0</v>
      </c>
      <c r="AI102" s="75" t="str">
        <f t="shared" si="24"/>
        <v/>
      </c>
    </row>
    <row r="103" spans="1:35" s="9" customFormat="1" ht="63">
      <c r="A103" s="33">
        <f t="shared" si="19"/>
        <v>97</v>
      </c>
      <c r="B103" s="330" t="str">
        <f t="shared" ref="B103" si="33">MID(E103, FIND("-", E103) + 1, 4)</f>
        <v>5.10</v>
      </c>
      <c r="C103" s="164" t="s">
        <v>144</v>
      </c>
      <c r="D103" s="137" t="s">
        <v>28</v>
      </c>
      <c r="E103" s="25" t="s">
        <v>869</v>
      </c>
      <c r="F103" s="174">
        <f t="shared" si="29"/>
        <v>46195</v>
      </c>
      <c r="G103" s="31" t="s">
        <v>870</v>
      </c>
      <c r="H103" s="21" t="s">
        <v>871</v>
      </c>
      <c r="I103" s="138" t="s">
        <v>1</v>
      </c>
      <c r="J103" s="164">
        <f t="shared" si="30"/>
        <v>23</v>
      </c>
      <c r="K103" s="47">
        <f t="shared" si="31"/>
        <v>2</v>
      </c>
      <c r="L103" s="164"/>
      <c r="M103" s="40" t="s">
        <v>8</v>
      </c>
      <c r="N103" s="41" t="s">
        <v>8</v>
      </c>
      <c r="O103" s="40" t="s">
        <v>8</v>
      </c>
      <c r="P103" s="41" t="s">
        <v>8</v>
      </c>
      <c r="Q103" s="40"/>
      <c r="R103" s="155"/>
      <c r="S103" s="27">
        <v>46174</v>
      </c>
      <c r="T103" s="27">
        <v>46174</v>
      </c>
      <c r="U103" s="27">
        <v>46174</v>
      </c>
      <c r="V103" s="29">
        <v>46196</v>
      </c>
      <c r="W103" s="188">
        <v>46197</v>
      </c>
      <c r="X103" s="235" t="s">
        <v>240</v>
      </c>
      <c r="Y103" s="230"/>
      <c r="Z103" s="227"/>
      <c r="AA103" s="29">
        <f t="shared" si="21"/>
        <v>46204</v>
      </c>
      <c r="AB103" s="229">
        <v>46247</v>
      </c>
      <c r="AC103" s="229" t="str">
        <f t="shared" si="22"/>
        <v/>
      </c>
      <c r="AD103" s="337" t="str">
        <f t="shared" ref="AD103" si="34">IF(AC103="Late Resubmission",IF(AB103="","",AB103-AA103),IF(AC103="Not submit yet",IF(AA103="","",$J$1-AA103),""))</f>
        <v/>
      </c>
      <c r="AE103" s="92" t="s">
        <v>872</v>
      </c>
      <c r="AG103" s="238" t="str">
        <f t="shared" si="14"/>
        <v>LTIA-5.10-VIETUR-70000-RFA-OTH-0712</v>
      </c>
      <c r="AH103" s="243" t="b" cm="1">
        <f t="array" ref="AH103">$E103=_xlfn.XLOOKUP(
AG103,
_xlfn._xlws.FILTER($AG$7:$AG$4578,$L$7:$L$4578&lt;&gt;"X"),
_xlfn._xlws.FILTER($E$7:$E$4578,$L$7:$L$4578&lt;&gt;"X"),
"",
0,
-1
)</f>
        <v>0</v>
      </c>
      <c r="AI103" s="75" t="str">
        <f t="shared" si="24"/>
        <v/>
      </c>
    </row>
    <row r="104" spans="1:35" s="9" customFormat="1" ht="63">
      <c r="A104" s="33">
        <f t="shared" si="19"/>
        <v>98</v>
      </c>
      <c r="B104" s="330" t="str">
        <f t="shared" si="20"/>
        <v>5.10</v>
      </c>
      <c r="C104" s="164" t="s">
        <v>151</v>
      </c>
      <c r="D104" s="137" t="s">
        <v>28</v>
      </c>
      <c r="E104" s="25" t="s">
        <v>846</v>
      </c>
      <c r="F104" s="174">
        <f t="shared" si="29"/>
        <v>46209</v>
      </c>
      <c r="G104" s="31" t="s">
        <v>847</v>
      </c>
      <c r="H104" s="21" t="s">
        <v>848</v>
      </c>
      <c r="I104" s="138" t="s">
        <v>1</v>
      </c>
      <c r="J104" s="164">
        <f t="shared" si="30"/>
        <v>9</v>
      </c>
      <c r="K104" s="47">
        <f t="shared" si="31"/>
        <v>0</v>
      </c>
      <c r="L104" s="164"/>
      <c r="M104" s="40" t="s">
        <v>8</v>
      </c>
      <c r="N104" s="41" t="s">
        <v>8</v>
      </c>
      <c r="O104" s="40" t="s">
        <v>8</v>
      </c>
      <c r="P104" s="41" t="s">
        <v>8</v>
      </c>
      <c r="Q104" s="40"/>
      <c r="R104" s="155"/>
      <c r="S104" s="27">
        <v>46188</v>
      </c>
      <c r="T104" s="27">
        <v>46188</v>
      </c>
      <c r="U104" s="188">
        <v>46188</v>
      </c>
      <c r="V104" s="29">
        <v>46196</v>
      </c>
      <c r="W104" s="188">
        <v>46197</v>
      </c>
      <c r="X104" s="235" t="s">
        <v>240</v>
      </c>
      <c r="Y104" s="230"/>
      <c r="Z104" s="227"/>
      <c r="AA104" s="29">
        <f t="shared" si="21"/>
        <v>46204</v>
      </c>
      <c r="AB104" s="229">
        <v>46262</v>
      </c>
      <c r="AC104" s="229" t="str">
        <f t="shared" si="22"/>
        <v/>
      </c>
      <c r="AD104" s="337" t="str">
        <f t="shared" si="32"/>
        <v/>
      </c>
      <c r="AE104" s="92" t="s">
        <v>872</v>
      </c>
      <c r="AG104" s="238" t="str">
        <f t="shared" si="14"/>
        <v>LTIA-5.10-VIETUR-70000-RFA-OTH-0721</v>
      </c>
      <c r="AH104" s="243" t="b" cm="1">
        <f t="array" ref="AH104">$E104=_xlfn.XLOOKUP(
AG104,
_xlfn._xlws.FILTER($AG$7:$AG$4578,$L$7:$L$4578&lt;&gt;"X"),
_xlfn._xlws.FILTER($E$7:$E$4578,$L$7:$L$4578&lt;&gt;"X"),
"",
0,
-1
)</f>
        <v>0</v>
      </c>
      <c r="AI104" s="75" t="str">
        <f t="shared" si="24"/>
        <v/>
      </c>
    </row>
    <row r="105" spans="1:35" s="9" customFormat="1" ht="63">
      <c r="A105" s="33">
        <f t="shared" si="19"/>
        <v>99</v>
      </c>
      <c r="B105" s="330" t="str">
        <f t="shared" si="20"/>
        <v>5.10</v>
      </c>
      <c r="C105" s="164" t="s">
        <v>195</v>
      </c>
      <c r="D105" s="137" t="s">
        <v>28</v>
      </c>
      <c r="E105" s="25" t="s">
        <v>854</v>
      </c>
      <c r="F105" s="174">
        <f t="shared" si="29"/>
        <v>46209</v>
      </c>
      <c r="G105" s="31" t="s">
        <v>855</v>
      </c>
      <c r="H105" s="21" t="s">
        <v>856</v>
      </c>
      <c r="I105" s="138" t="s">
        <v>1</v>
      </c>
      <c r="J105" s="164">
        <f t="shared" si="30"/>
        <v>9</v>
      </c>
      <c r="K105" s="47">
        <f t="shared" si="31"/>
        <v>0</v>
      </c>
      <c r="L105" s="164"/>
      <c r="M105" s="40" t="s">
        <v>8</v>
      </c>
      <c r="N105" s="41" t="s">
        <v>8</v>
      </c>
      <c r="O105" s="40" t="s">
        <v>8</v>
      </c>
      <c r="P105" s="41" t="s">
        <v>8</v>
      </c>
      <c r="Q105" s="40"/>
      <c r="R105" s="155"/>
      <c r="S105" s="27">
        <v>46188</v>
      </c>
      <c r="T105" s="27">
        <v>46188</v>
      </c>
      <c r="U105" s="188">
        <v>46188</v>
      </c>
      <c r="V105" s="29">
        <v>46196</v>
      </c>
      <c r="W105" s="188">
        <v>46197</v>
      </c>
      <c r="X105" s="235" t="s">
        <v>240</v>
      </c>
      <c r="Y105" s="230"/>
      <c r="Z105" s="227"/>
      <c r="AA105" s="29">
        <f t="shared" si="21"/>
        <v>46204</v>
      </c>
      <c r="AB105" s="229">
        <v>46247</v>
      </c>
      <c r="AC105" s="229" t="str">
        <f t="shared" si="22"/>
        <v/>
      </c>
      <c r="AD105" s="337" t="str">
        <f t="shared" si="32"/>
        <v/>
      </c>
      <c r="AE105" s="92" t="s">
        <v>872</v>
      </c>
      <c r="AG105" s="238" t="str">
        <f t="shared" si="14"/>
        <v>LTIA-5.10-VIETUR-70000-RFA-OTH-0725</v>
      </c>
      <c r="AH105" s="243" t="b" cm="1">
        <f t="array" ref="AH105">$E105=_xlfn.XLOOKUP(
AG105,
_xlfn._xlws.FILTER($AG$7:$AG$4578,$L$7:$L$4578&lt;&gt;"X"),
_xlfn._xlws.FILTER($E$7:$E$4578,$L$7:$L$4578&lt;&gt;"X"),
"",
0,
-1
)</f>
        <v>0</v>
      </c>
      <c r="AI105" s="75" t="str">
        <f t="shared" si="24"/>
        <v/>
      </c>
    </row>
    <row r="106" spans="1:35" s="9" customFormat="1" ht="47.25">
      <c r="A106" s="33">
        <f t="shared" si="19"/>
        <v>100</v>
      </c>
      <c r="B106" s="330" t="str">
        <f t="shared" ref="B106" si="35">MID(E106, FIND("-", E106) + 1, 4)</f>
        <v>5.11</v>
      </c>
      <c r="C106" s="164"/>
      <c r="D106" s="137" t="s">
        <v>24</v>
      </c>
      <c r="E106" s="25" t="s">
        <v>858</v>
      </c>
      <c r="F106" s="174">
        <f t="shared" si="29"/>
        <v>46266</v>
      </c>
      <c r="G106" s="31" t="s">
        <v>859</v>
      </c>
      <c r="H106" s="21" t="s">
        <v>860</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980</v>
      </c>
      <c r="AG106" s="238" t="str">
        <f t="shared" si="14"/>
        <v>LTIA-5.11-LTICT-10000-RFA-GEN-0004</v>
      </c>
      <c r="AH106" s="243" t="b" cm="1">
        <f t="array" ref="AH106">$E106=_xlfn.XLOOKUP(
AG106,
_xlfn._xlws.FILTER($AG$7:$AG$4578,$L$7:$L$4578&lt;&gt;"X"),
_xlfn._xlws.FILTER($E$7:$E$4578,$L$7:$L$4578&lt;&gt;"X"),
"",
0,
-1
)</f>
        <v>1</v>
      </c>
      <c r="AI106" s="75" t="str">
        <f t="shared" si="24"/>
        <v/>
      </c>
    </row>
    <row r="107" spans="1:35" s="9" customFormat="1" ht="63">
      <c r="A107" s="33">
        <f t="shared" si="19"/>
        <v>101</v>
      </c>
      <c r="B107" s="330" t="str">
        <f t="shared" ref="B107" si="37">MID(E107, FIND("-", E107) + 1, 4)</f>
        <v>5.11</v>
      </c>
      <c r="C107" s="164" t="s">
        <v>644</v>
      </c>
      <c r="D107" s="137" t="s">
        <v>28</v>
      </c>
      <c r="E107" s="25" t="s">
        <v>862</v>
      </c>
      <c r="F107" s="174"/>
      <c r="G107" s="31" t="s">
        <v>863</v>
      </c>
      <c r="H107" s="21" t="s">
        <v>864</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900</v>
      </c>
      <c r="AG107" s="238" t="str">
        <f t="shared" si="14"/>
        <v>LTIA-5.11-LTICT-OTH-RFA-0008</v>
      </c>
      <c r="AH107" s="243" t="b" cm="1">
        <f t="array" ref="AH107">$E107=_xlfn.XLOOKUP(
AG107,
_xlfn._xlws.FILTER($AG$7:$AG$4578,$L$7:$L$4578&lt;&gt;"X"),
_xlfn._xlws.FILTER($E$7:$E$4578,$L$7:$L$4578&lt;&gt;"X"),
"",
0,
-1
)</f>
        <v>0</v>
      </c>
      <c r="AI107" s="75" t="str">
        <f t="shared" si="24"/>
        <v/>
      </c>
    </row>
    <row r="108" spans="1:35" s="9" customFormat="1" ht="47.25">
      <c r="A108" s="33">
        <f t="shared" si="19"/>
        <v>102</v>
      </c>
      <c r="B108" s="330" t="str">
        <f t="shared" ref="B108" si="39">MID(E108, FIND("-", E108) + 1, 4)</f>
        <v>5.11</v>
      </c>
      <c r="C108" s="164" t="s">
        <v>342</v>
      </c>
      <c r="D108" s="137" t="s">
        <v>28</v>
      </c>
      <c r="E108" s="25" t="s">
        <v>883</v>
      </c>
      <c r="F108" s="174">
        <f t="shared" si="29"/>
        <v>46219</v>
      </c>
      <c r="G108" s="31" t="s">
        <v>884</v>
      </c>
      <c r="H108" s="21" t="s">
        <v>885</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670</v>
      </c>
      <c r="Y108" s="230"/>
      <c r="Z108" s="227"/>
      <c r="AA108" s="29">
        <f t="shared" si="21"/>
        <v>46226</v>
      </c>
      <c r="AB108" s="229">
        <v>46312</v>
      </c>
      <c r="AC108" s="229" t="str">
        <f t="shared" si="22"/>
        <v/>
      </c>
      <c r="AD108" s="337" t="str">
        <f t="shared" ref="AD108" si="40">IF(AC108="Late Resubmission",IF(AB108="","",AB108-AA108),IF(AC108="Not submit yet",IF(AA108="","",$J$1-AA108),""))</f>
        <v/>
      </c>
      <c r="AE108" s="92" t="s">
        <v>936</v>
      </c>
      <c r="AG108" s="238" t="str">
        <f t="shared" si="14"/>
        <v>LTIA-5.11-LTICT-RFA-OTH-0009</v>
      </c>
      <c r="AH108" s="243" t="b" cm="1">
        <f t="array" ref="AH108">$E108=_xlfn.XLOOKUP(
AG108,
_xlfn._xlws.FILTER($AG$7:$AG$4578,$L$7:$L$4578&lt;&gt;"X"),
_xlfn._xlws.FILTER($E$7:$E$4578,$L$7:$L$4578&lt;&gt;"X"),
"",
0,
-1
)</f>
        <v>1</v>
      </c>
      <c r="AI108" s="75" t="str">
        <f t="shared" si="24"/>
        <v>YES</v>
      </c>
    </row>
    <row r="109" spans="1:35" s="9" customFormat="1" ht="63">
      <c r="A109" s="33">
        <f t="shared" si="19"/>
        <v>103</v>
      </c>
      <c r="B109" s="330" t="str">
        <f t="shared" ref="B109" si="41">MID(E109, FIND("-", E109) + 1, 4)</f>
        <v>5.11</v>
      </c>
      <c r="C109" s="164" t="s">
        <v>144</v>
      </c>
      <c r="D109" s="137" t="s">
        <v>28</v>
      </c>
      <c r="E109" s="25" t="s">
        <v>901</v>
      </c>
      <c r="F109" s="174">
        <f t="shared" si="29"/>
        <v>46300</v>
      </c>
      <c r="G109" s="31" t="s">
        <v>902</v>
      </c>
      <c r="H109" s="21" t="s">
        <v>903</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670</v>
      </c>
      <c r="Y109" s="230"/>
      <c r="Z109" s="227"/>
      <c r="AA109" s="29" t="b">
        <f t="shared" si="21"/>
        <v>0</v>
      </c>
      <c r="AB109" s="229"/>
      <c r="AC109" s="229" t="str">
        <f t="shared" si="22"/>
        <v/>
      </c>
      <c r="AD109" s="337" t="str">
        <f t="shared" ref="AD109" si="42">IF(AC109="Late Resubmission",IF(AB109="","",AB109-AA109),IF(AC109="Not submit yet",IF(AA109="","",$J$1-AA109),""))</f>
        <v/>
      </c>
      <c r="AE109" s="92" t="s">
        <v>1013</v>
      </c>
      <c r="AG109" s="238" t="str">
        <f t="shared" si="14"/>
        <v>LTIA-5.11-LTICT-OTH-RFA-0010</v>
      </c>
      <c r="AH109" s="243" t="b" cm="1">
        <f t="array" ref="AH109">$E109=_xlfn.XLOOKUP(
AG109,
_xlfn._xlws.FILTER($AG$7:$AG$4578,$L$7:$L$4578&lt;&gt;"X"),
_xlfn._xlws.FILTER($E$7:$E$4578,$L$7:$L$4578&lt;&gt;"X"),
"",
0,
-1
)</f>
        <v>1</v>
      </c>
      <c r="AI109" s="75" t="str">
        <f t="shared" si="24"/>
        <v/>
      </c>
    </row>
    <row r="110" spans="1:35" s="9" customFormat="1" ht="47.25">
      <c r="A110" s="33">
        <f t="shared" si="19"/>
        <v>104</v>
      </c>
      <c r="B110" s="330" t="str">
        <f t="shared" ref="B110" si="43">MID(E110, FIND("-", E110) + 1, 4)</f>
        <v>5.11</v>
      </c>
      <c r="C110" s="164" t="s">
        <v>656</v>
      </c>
      <c r="D110" s="137" t="s">
        <v>30</v>
      </c>
      <c r="E110" s="25" t="s">
        <v>912</v>
      </c>
      <c r="F110" s="174">
        <f t="shared" si="29"/>
        <v>46219</v>
      </c>
      <c r="G110" s="31" t="s">
        <v>775</v>
      </c>
      <c r="H110" s="21" t="s">
        <v>913</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_xlfn._xlws.FILTER($AG$7:$AG$4578,$L$7:$L$4578&lt;&gt;"X"),
_xlfn._xlws.FILTER($E$7:$E$4578,$L$7:$L$4578&lt;&gt;"X"),
"",
0,
-1
)</f>
        <v>1</v>
      </c>
      <c r="AI110" s="75" t="str">
        <f t="shared" si="24"/>
        <v/>
      </c>
    </row>
    <row r="111" spans="1:35" s="9" customFormat="1" ht="63">
      <c r="A111" s="33">
        <f t="shared" si="19"/>
        <v>105</v>
      </c>
      <c r="B111" s="330" t="str">
        <f t="shared" ref="B111" si="45">MID(E111, FIND("-", E111) + 1, 4)</f>
        <v>5.11</v>
      </c>
      <c r="C111" s="164" t="s">
        <v>725</v>
      </c>
      <c r="D111" s="137" t="s">
        <v>85</v>
      </c>
      <c r="E111" s="25" t="s">
        <v>914</v>
      </c>
      <c r="F111" s="174">
        <f t="shared" si="29"/>
        <v>46224</v>
      </c>
      <c r="G111" s="31" t="s">
        <v>915</v>
      </c>
      <c r="H111" s="21" t="s">
        <v>916</v>
      </c>
      <c r="I111" s="23"/>
      <c r="J111" s="164">
        <f t="shared" ca="1" si="30"/>
        <v>111</v>
      </c>
      <c r="K111" s="47">
        <f t="shared" ca="1" si="31"/>
        <v>90</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1002</v>
      </c>
      <c r="AG111" s="238" t="str">
        <f t="shared" si="14"/>
        <v>LTIA-5.11-LTICT-PPS-71000-RFA-ICD-0001</v>
      </c>
      <c r="AH111" s="243" t="b" cm="1">
        <f t="array" ref="AH111">$E111=_xlfn.XLOOKUP(
AG111,
_xlfn._xlws.FILTER($AG$7:$AG$4578,$L$7:$L$4578&lt;&gt;"X"),
_xlfn._xlws.FILTER($E$7:$E$4578,$L$7:$L$4578&lt;&gt;"X"),
"",
0,
-1
)</f>
        <v>0</v>
      </c>
      <c r="AI111" s="75" t="str">
        <f t="shared" si="24"/>
        <v/>
      </c>
    </row>
    <row r="112" spans="1:35" s="9" customFormat="1" ht="47.25">
      <c r="A112" s="33">
        <f t="shared" si="19"/>
        <v>106</v>
      </c>
      <c r="B112" s="330" t="str">
        <f t="shared" ref="B112" si="47">MID(E112, FIND("-", E112) + 1, 4)</f>
        <v>5.10</v>
      </c>
      <c r="C112" s="164" t="s">
        <v>184</v>
      </c>
      <c r="D112" s="137" t="s">
        <v>28</v>
      </c>
      <c r="E112" s="25" t="s">
        <v>919</v>
      </c>
      <c r="F112" s="174">
        <f t="shared" si="29"/>
        <v>46231</v>
      </c>
      <c r="G112" s="31" t="s">
        <v>920</v>
      </c>
      <c r="H112" s="21" t="s">
        <v>921</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938</v>
      </c>
      <c r="AG112" s="238" t="str">
        <f t="shared" si="14"/>
        <v>LTIA-5.10-VIETUR-70000-RFA-OTH-0732</v>
      </c>
      <c r="AH112" s="243" t="b" cm="1">
        <f t="array" ref="AH112">$E112=_xlfn.XLOOKUP(
AG112,
_xlfn._xlws.FILTER($AG$7:$AG$4578,$L$7:$L$4578&lt;&gt;"X"),
_xlfn._xlws.FILTER($E$7:$E$4578,$L$7:$L$4578&lt;&gt;"X"),
"",
0,
-1
)</f>
        <v>1</v>
      </c>
      <c r="AI112" s="75" t="str">
        <f t="shared" si="24"/>
        <v>YES</v>
      </c>
    </row>
    <row r="113" spans="1:35" s="9" customFormat="1" ht="110.25">
      <c r="A113" s="33">
        <f t="shared" si="19"/>
        <v>107</v>
      </c>
      <c r="B113" s="330" t="str">
        <f t="shared" ref="B113" si="49">MID(E113, FIND("-", E113) + 1, 4)</f>
        <v>5.10</v>
      </c>
      <c r="C113" s="164" t="s">
        <v>131</v>
      </c>
      <c r="D113" s="137" t="s">
        <v>28</v>
      </c>
      <c r="E113" s="25" t="s">
        <v>923</v>
      </c>
      <c r="F113" s="174">
        <f t="shared" si="29"/>
        <v>46234</v>
      </c>
      <c r="G113" s="31" t="s">
        <v>994</v>
      </c>
      <c r="H113" s="21" t="s">
        <v>924</v>
      </c>
      <c r="I113" s="138" t="s">
        <v>1</v>
      </c>
      <c r="J113" s="164">
        <f t="shared" si="30"/>
        <v>15</v>
      </c>
      <c r="K113" s="47">
        <f t="shared" si="31"/>
        <v>0</v>
      </c>
      <c r="L113" s="164"/>
      <c r="M113" s="40" t="s">
        <v>8</v>
      </c>
      <c r="N113" s="41"/>
      <c r="O113" s="40" t="s">
        <v>8</v>
      </c>
      <c r="P113" s="41"/>
      <c r="Q113" s="40"/>
      <c r="R113" s="155"/>
      <c r="S113" s="27">
        <v>46213</v>
      </c>
      <c r="T113" s="27">
        <v>46213</v>
      </c>
      <c r="U113" s="188">
        <v>46213</v>
      </c>
      <c r="V113" s="29">
        <v>46223</v>
      </c>
      <c r="W113" s="188">
        <v>46228</v>
      </c>
      <c r="X113" s="235" t="s">
        <v>670</v>
      </c>
      <c r="Y113" s="230"/>
      <c r="Z113" s="227"/>
      <c r="AA113" s="29">
        <f t="shared" si="21"/>
        <v>46235</v>
      </c>
      <c r="AB113" s="229">
        <v>46289</v>
      </c>
      <c r="AC113" s="229" t="str">
        <f t="shared" si="22"/>
        <v/>
      </c>
      <c r="AD113" s="337" t="str">
        <f t="shared" ref="AD113" si="50">IF(AC113="Late Resubmission",IF(AB113="","",AB113-AA113),IF(AC113="Not submit yet",IF(AA113="","",$J$1-AA113),""))</f>
        <v/>
      </c>
      <c r="AE113" s="92"/>
      <c r="AG113" s="238" t="str">
        <f t="shared" si="14"/>
        <v>LTIA-5.10-VIETUR-70000-RFA-OTH-0733</v>
      </c>
      <c r="AH113" s="243" t="b" cm="1">
        <f t="array" ref="AH113">$E113=_xlfn.XLOOKUP(
AG113,
_xlfn._xlws.FILTER($AG$7:$AG$4578,$L$7:$L$4578&lt;&gt;"X"),
_xlfn._xlws.FILTER($E$7:$E$4578,$L$7:$L$4578&lt;&gt;"X"),
"",
0,
-1
)</f>
        <v>0</v>
      </c>
      <c r="AI113" s="75" t="str">
        <f t="shared" si="24"/>
        <v/>
      </c>
    </row>
    <row r="114" spans="1:35" s="9" customFormat="1" ht="47.25">
      <c r="A114" s="33">
        <f t="shared" si="19"/>
        <v>108</v>
      </c>
      <c r="B114" s="330" t="str">
        <f t="shared" ref="B114" si="51">MID(E114, FIND("-", E114) + 1, 4)</f>
        <v>5.11</v>
      </c>
      <c r="C114" s="164" t="s">
        <v>725</v>
      </c>
      <c r="D114" s="137" t="s">
        <v>30</v>
      </c>
      <c r="E114" s="25" t="s">
        <v>946</v>
      </c>
      <c r="F114" s="174">
        <f t="shared" si="29"/>
        <v>46251</v>
      </c>
      <c r="G114" s="31" t="s">
        <v>947</v>
      </c>
      <c r="H114" s="21" t="s">
        <v>948</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1019</v>
      </c>
      <c r="AG114" s="238" t="str">
        <f t="shared" si="14"/>
        <v>LTIA-5.11-LTICT-71000-RFA-MAS-0019</v>
      </c>
      <c r="AH114" s="243" t="b" cm="1">
        <f t="array" ref="AH114">$E114=_xlfn.XLOOKUP(
AG114,
_xlfn._xlws.FILTER($AG$7:$AG$4578,$L$7:$L$4578&lt;&gt;"X"),
_xlfn._xlws.FILTER($E$7:$E$4578,$L$7:$L$4578&lt;&gt;"X"),
"",
0,
-1
)</f>
        <v>1</v>
      </c>
      <c r="AI114" s="75" t="str">
        <f t="shared" si="24"/>
        <v/>
      </c>
    </row>
    <row r="115" spans="1:35" s="9" customFormat="1" ht="63">
      <c r="A115" s="33">
        <f t="shared" si="19"/>
        <v>109</v>
      </c>
      <c r="B115" s="330" t="str">
        <f t="shared" ref="B115" si="53">MID(E115, FIND("-", E115) + 1, 4)</f>
        <v>5.10</v>
      </c>
      <c r="C115" s="164" t="s">
        <v>195</v>
      </c>
      <c r="D115" s="137" t="s">
        <v>28</v>
      </c>
      <c r="E115" s="25" t="s">
        <v>957</v>
      </c>
      <c r="F115" s="174">
        <f t="shared" si="29"/>
        <v>46310</v>
      </c>
      <c r="G115" s="31" t="s">
        <v>855</v>
      </c>
      <c r="H115" s="21" t="s">
        <v>856</v>
      </c>
      <c r="I115" s="138" t="s">
        <v>2</v>
      </c>
      <c r="J115" s="164">
        <f t="shared" si="30"/>
        <v>8</v>
      </c>
      <c r="K115" s="47">
        <f t="shared" si="31"/>
        <v>0</v>
      </c>
      <c r="L115" s="164"/>
      <c r="M115" s="40" t="s">
        <v>8</v>
      </c>
      <c r="N115" s="41"/>
      <c r="O115" s="40" t="s">
        <v>8</v>
      </c>
      <c r="P115" s="41"/>
      <c r="Q115" s="40"/>
      <c r="R115" s="155" t="s">
        <v>3</v>
      </c>
      <c r="S115" s="27">
        <v>46247</v>
      </c>
      <c r="T115" s="27">
        <v>46247</v>
      </c>
      <c r="U115" s="188">
        <v>46289</v>
      </c>
      <c r="V115" s="29">
        <v>46290</v>
      </c>
      <c r="W115" s="188">
        <v>46297</v>
      </c>
      <c r="X115" s="235" t="s">
        <v>240</v>
      </c>
      <c r="Y115" s="230"/>
      <c r="Z115" s="227"/>
      <c r="AA115" s="29" t="str">
        <f t="shared" si="21"/>
        <v/>
      </c>
      <c r="AB115" s="229"/>
      <c r="AC115" s="229" t="str">
        <f t="shared" si="22"/>
        <v/>
      </c>
      <c r="AD115" s="337" t="str">
        <f t="shared" ref="AD115" si="54">IF(AC115="Late Resubmission",IF(AB115="","",AB115-AA115),IF(AC115="Not submit yet",IF(AA115="","",$J$1-AA115),""))</f>
        <v/>
      </c>
      <c r="AE115" s="92" t="s">
        <v>1026</v>
      </c>
      <c r="AG115" s="238" t="str">
        <f t="shared" si="14"/>
        <v>LTIA-5.10-VIETUR-70000-RFA-OTH-0725</v>
      </c>
      <c r="AH115" s="243" t="b" cm="1">
        <f t="array" ref="AH115">$E115=_xlfn.XLOOKUP(
AG115,
_xlfn._xlws.FILTER($AG$7:$AG$4578,$L$7:$L$4578&lt;&gt;"X"),
_xlfn._xlws.FILTER($E$7:$E$4578,$L$7:$L$4578&lt;&gt;"X"),
"",
0,
-1
)</f>
        <v>1</v>
      </c>
      <c r="AI115" s="75" t="str">
        <f t="shared" si="24"/>
        <v/>
      </c>
    </row>
    <row r="116" spans="1:35" s="9" customFormat="1" ht="63">
      <c r="A116" s="33">
        <f t="shared" si="19"/>
        <v>110</v>
      </c>
      <c r="B116" s="330" t="str">
        <f t="shared" ref="B116" si="55">MID(E116, FIND("-", E116) + 1, 4)</f>
        <v>5.10</v>
      </c>
      <c r="C116" s="164" t="s">
        <v>144</v>
      </c>
      <c r="D116" s="137" t="s">
        <v>28</v>
      </c>
      <c r="E116" s="25" t="s">
        <v>958</v>
      </c>
      <c r="F116" s="174">
        <f t="shared" si="29"/>
        <v>46268</v>
      </c>
      <c r="G116" s="31" t="s">
        <v>870</v>
      </c>
      <c r="H116" s="21" t="s">
        <v>871</v>
      </c>
      <c r="I116" s="138" t="s">
        <v>2</v>
      </c>
      <c r="J116" s="164">
        <f t="shared" si="30"/>
        <v>22</v>
      </c>
      <c r="K116" s="47">
        <f t="shared" si="31"/>
        <v>1</v>
      </c>
      <c r="L116" s="164"/>
      <c r="M116" s="40" t="s">
        <v>8</v>
      </c>
      <c r="N116" s="41"/>
      <c r="O116" s="40" t="s">
        <v>8</v>
      </c>
      <c r="P116" s="41"/>
      <c r="Q116" s="40"/>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1016</v>
      </c>
      <c r="AG116" s="238" t="str">
        <f t="shared" si="14"/>
        <v>LTIA-5.10-VIETUR-70000-RFA-OTH-0712</v>
      </c>
      <c r="AH116" s="243" t="b" cm="1">
        <f t="array" ref="AH116">$E116=_xlfn.XLOOKUP(
AG116,
_xlfn._xlws.FILTER($AG$7:$AG$4578,$L$7:$L$4578&lt;&gt;"X"),
_xlfn._xlws.FILTER($E$7:$E$4578,$L$7:$L$4578&lt;&gt;"X"),
"",
0,
-1
)</f>
        <v>1</v>
      </c>
      <c r="AI116" s="75" t="str">
        <f t="shared" si="24"/>
        <v/>
      </c>
    </row>
    <row r="117" spans="1:35" s="9" customFormat="1" ht="94.5">
      <c r="A117" s="33">
        <f t="shared" si="19"/>
        <v>111</v>
      </c>
      <c r="B117" s="330" t="str">
        <f t="shared" ref="B117" si="57">MID(E117, FIND("-", E117) + 1, 4)</f>
        <v>5.11</v>
      </c>
      <c r="C117" s="164"/>
      <c r="D117" s="137" t="s">
        <v>28</v>
      </c>
      <c r="E117" s="25" t="s">
        <v>959</v>
      </c>
      <c r="F117" s="174">
        <f t="shared" si="29"/>
        <v>46268</v>
      </c>
      <c r="G117" s="31" t="s">
        <v>960</v>
      </c>
      <c r="H117" s="21" t="s">
        <v>961</v>
      </c>
      <c r="I117" s="138"/>
      <c r="J117" s="164">
        <f t="shared" ca="1" si="30"/>
        <v>67</v>
      </c>
      <c r="K117" s="47">
        <f t="shared" ca="1" si="31"/>
        <v>46</v>
      </c>
      <c r="L117" s="164" t="s">
        <v>1003</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1001</v>
      </c>
      <c r="AG117" s="238" t="str">
        <f t="shared" si="14"/>
        <v>LTIA-5.11-LTICT-RFA-OTH-0011</v>
      </c>
      <c r="AH117" s="243" t="b" cm="1">
        <f t="array" ref="AH117">$E117=_xlfn.XLOOKUP(
AG117,
_xlfn._xlws.FILTER($AG$7:$AG$4578,$L$7:$L$4578&lt;&gt;"X"),
_xlfn._xlws.FILTER($E$7:$E$4578,$L$7:$L$4578&lt;&gt;"X"),
"",
0,
-1
)</f>
        <v>1</v>
      </c>
      <c r="AI117" s="75" t="str">
        <f t="shared" si="24"/>
        <v/>
      </c>
    </row>
    <row r="118" spans="1:35" s="9" customFormat="1" ht="78.75">
      <c r="A118" s="33">
        <f t="shared" si="19"/>
        <v>112</v>
      </c>
      <c r="B118" s="330" t="str">
        <f t="shared" ref="B118" si="59">MID(E118, FIND("-", E118) + 1, 4)</f>
        <v>5.10</v>
      </c>
      <c r="C118" s="164" t="s">
        <v>131</v>
      </c>
      <c r="D118" s="137" t="s">
        <v>30</v>
      </c>
      <c r="E118" s="25" t="s">
        <v>962</v>
      </c>
      <c r="F118" s="174">
        <f t="shared" si="29"/>
        <v>46268</v>
      </c>
      <c r="G118" s="31" t="s">
        <v>963</v>
      </c>
      <c r="H118" s="21" t="s">
        <v>964</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852</v>
      </c>
      <c r="AG118" s="238" t="str">
        <f t="shared" si="14"/>
        <v>LTIA-5.10-VIETUR-70000-RFA-MAS-0814</v>
      </c>
      <c r="AH118" s="243" t="b" cm="1">
        <f t="array" ref="AH118">$E118=_xlfn.XLOOKUP(
AG118,
_xlfn._xlws.FILTER($AG$7:$AG$4578,$L$7:$L$4578&lt;&gt;"X"),
_xlfn._xlws.FILTER($E$7:$E$4578,$L$7:$L$4578&lt;&gt;"X"),
"",
0,
-1
)</f>
        <v>1</v>
      </c>
      <c r="AI118" s="75" t="str">
        <f t="shared" si="24"/>
        <v/>
      </c>
    </row>
    <row r="119" spans="1:35" s="9" customFormat="1" ht="47.25">
      <c r="A119" s="33">
        <f t="shared" si="19"/>
        <v>113</v>
      </c>
      <c r="B119" s="330" t="str">
        <f t="shared" ref="B119" si="61">MID(E119, FIND("-", E119) + 1, 4)</f>
        <v>5.11</v>
      </c>
      <c r="C119" s="164" t="s">
        <v>621</v>
      </c>
      <c r="D119" s="137" t="s">
        <v>28</v>
      </c>
      <c r="E119" s="25" t="s">
        <v>1064</v>
      </c>
      <c r="F119" s="174">
        <f t="shared" si="29"/>
        <v>46275</v>
      </c>
      <c r="G119" s="31" t="s">
        <v>965</v>
      </c>
      <c r="H119" s="21" t="s">
        <v>966</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670</v>
      </c>
      <c r="Y119" s="230"/>
      <c r="Z119" s="227"/>
      <c r="AA119" s="29" t="b">
        <f t="shared" si="21"/>
        <v>0</v>
      </c>
      <c r="AB119" s="229">
        <v>46301</v>
      </c>
      <c r="AC119" s="229" t="str">
        <f t="shared" si="22"/>
        <v/>
      </c>
      <c r="AD119" s="337" t="str">
        <f t="shared" ref="AD119" si="62">IF(AC119="Late Resubmission",IF(AB119="","",AB119-AA119),IF(AC119="Not submit yet",IF(AA119="","",$J$1-AA119),""))</f>
        <v/>
      </c>
      <c r="AE119" s="92" t="s">
        <v>1012</v>
      </c>
      <c r="AG119" s="238" t="str">
        <f t="shared" si="14"/>
        <v>LTIA-5.11-LTICT- 71110 -RFA-OTH-0012</v>
      </c>
      <c r="AH119" s="243" t="b" cm="1">
        <f t="array" ref="AH119">$E119=_xlfn.XLOOKUP(
AG119,
_xlfn._xlws.FILTER($AG$7:$AG$4578,$L$7:$L$4578&lt;&gt;"X"),
_xlfn._xlws.FILTER($E$7:$E$4578,$L$7:$L$4578&lt;&gt;"X"),
"",
0,
-1
)</f>
        <v>0</v>
      </c>
      <c r="AI119" s="75" t="str">
        <f t="shared" si="24"/>
        <v/>
      </c>
    </row>
    <row r="120" spans="1:35" s="9" customFormat="1" ht="63">
      <c r="A120" s="33">
        <f t="shared" si="19"/>
        <v>114</v>
      </c>
      <c r="B120" s="330" t="str">
        <f t="shared" ref="B120" si="63">MID(E120, FIND("-", E120) + 1, 4)</f>
        <v>5.10</v>
      </c>
      <c r="C120" s="164" t="s">
        <v>197</v>
      </c>
      <c r="D120" s="137" t="s">
        <v>28</v>
      </c>
      <c r="E120" s="25" t="s">
        <v>967</v>
      </c>
      <c r="F120" s="174">
        <f t="shared" si="29"/>
        <v>46276</v>
      </c>
      <c r="G120" s="31" t="s">
        <v>968</v>
      </c>
      <c r="H120" s="21" t="s">
        <v>969</v>
      </c>
      <c r="I120" s="138" t="s">
        <v>1</v>
      </c>
      <c r="J120" s="164">
        <f t="shared" si="30"/>
        <v>20</v>
      </c>
      <c r="K120" s="47">
        <f t="shared" si="31"/>
        <v>0</v>
      </c>
      <c r="L120" s="164"/>
      <c r="M120" s="40" t="s">
        <v>8</v>
      </c>
      <c r="N120" s="41"/>
      <c r="O120" s="40" t="s">
        <v>8</v>
      </c>
      <c r="P120" s="41"/>
      <c r="Q120" s="40"/>
      <c r="R120" s="155"/>
      <c r="S120" s="27">
        <v>46255</v>
      </c>
      <c r="T120" s="27">
        <v>46255</v>
      </c>
      <c r="U120" s="188">
        <v>46255</v>
      </c>
      <c r="V120" s="29">
        <v>46272</v>
      </c>
      <c r="W120" s="188">
        <v>46275</v>
      </c>
      <c r="X120" s="235" t="s">
        <v>240</v>
      </c>
      <c r="Y120" s="230"/>
      <c r="Z120" s="227"/>
      <c r="AA120" s="29">
        <f t="shared" si="21"/>
        <v>46282</v>
      </c>
      <c r="AB120" s="229"/>
      <c r="AC120" s="229" t="str">
        <f t="shared" si="22"/>
        <v/>
      </c>
      <c r="AD120" s="337" t="str">
        <f t="shared" ref="AD120" si="64">IF(AC120="Late Resubmission",IF(AB120="","",AB120-AA120),IF(AC120="Not submit yet",IF(AA120="","",$J$1-AA120),""))</f>
        <v/>
      </c>
      <c r="AE120" s="92" t="s">
        <v>1014</v>
      </c>
      <c r="AG120" s="238" t="str">
        <f t="shared" si="14"/>
        <v>LTIA-5.10-VIETUR-72150-RFA-OTH-0750</v>
      </c>
      <c r="AH120" s="243" t="b" cm="1">
        <f t="array" ref="AH120">$E120=_xlfn.XLOOKUP(
AG120,
_xlfn._xlws.FILTER($AG$7:$AG$4578,$L$7:$L$4578&lt;&gt;"X"),
_xlfn._xlws.FILTER($E$7:$E$4578,$L$7:$L$4578&lt;&gt;"X"),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973</v>
      </c>
      <c r="F121" s="174">
        <f t="shared" si="29"/>
        <v>46283</v>
      </c>
      <c r="G121" s="31" t="s">
        <v>847</v>
      </c>
      <c r="H121" s="21" t="s">
        <v>848</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996</v>
      </c>
      <c r="AG121" s="238" t="str">
        <f t="shared" si="14"/>
        <v>LTIA-5.10-VIETUR-70000-RFA-OTH-0754</v>
      </c>
      <c r="AH121" s="243" t="b" cm="1">
        <f t="array" ref="AH121">$E121=_xlfn.XLOOKUP(
AG121,
_xlfn._xlws.FILTER($AG$7:$AG$4578,$L$7:$L$4578&lt;&gt;"X"),
_xlfn._xlws.FILTER($E$7:$E$4578,$L$7:$L$4578&lt;&gt;"X"),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974</v>
      </c>
      <c r="F122" s="174">
        <f t="shared" si="29"/>
        <v>46283</v>
      </c>
      <c r="G122" s="31" t="s">
        <v>847</v>
      </c>
      <c r="H122" s="21" t="s">
        <v>848</v>
      </c>
      <c r="I122" s="138" t="s">
        <v>2</v>
      </c>
      <c r="J122" s="164">
        <f t="shared" si="30"/>
        <v>17</v>
      </c>
      <c r="K122" s="47">
        <f t="shared" si="31"/>
        <v>0</v>
      </c>
      <c r="L122" s="164"/>
      <c r="M122" s="40" t="s">
        <v>8</v>
      </c>
      <c r="N122" s="41"/>
      <c r="O122" s="40" t="s">
        <v>8</v>
      </c>
      <c r="P122" s="41"/>
      <c r="Q122" s="40"/>
      <c r="R122" s="155"/>
      <c r="S122" s="27">
        <v>46262</v>
      </c>
      <c r="T122" s="27">
        <v>46262</v>
      </c>
      <c r="U122" s="188">
        <v>46262</v>
      </c>
      <c r="V122" s="29">
        <v>46276</v>
      </c>
      <c r="W122" s="188">
        <v>46279</v>
      </c>
      <c r="X122" s="235" t="s">
        <v>240</v>
      </c>
      <c r="Y122" s="230"/>
      <c r="Z122" s="227"/>
      <c r="AA122" s="29">
        <f t="shared" ref="AA122:AA143" si="68">IF(AND($R122="",$I122=""),"",IF(OR($R122="B",$R122="C"),IF($Z122&lt;&gt;"",$Z122+7,IF($Y122&lt;&gt;"",$Y122+8,"")),IF($R122="",IF(OR($I122="B",$I122="C"),IF($W122&lt;&gt;"",$W122+7,IF($V122&lt;&gt;"",$V122+8,""))),"")))</f>
        <v>46286</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_xlfn._xlws.FILTER($AG$7:$AG$4578,$L$7:$L$4578&lt;&gt;"X"),
_xlfn._xlws.FILTER($E$7:$E$4578,$L$7:$L$4578&lt;&gt;"X"),
"",
0,
-1
)</f>
        <v>1</v>
      </c>
      <c r="AI122" s="75" t="str">
        <f>IF($AH122,IF(OR($R122="B",$R122="C"),"YES",IF($R122="",IF(OR($I122="B",$I122="C"),"YES",""),"")),"")</f>
        <v>YES</v>
      </c>
    </row>
    <row r="123" spans="1:35" s="9" customFormat="1" ht="110.25">
      <c r="A123" s="33">
        <f t="shared" si="19"/>
        <v>117</v>
      </c>
      <c r="B123" s="330" t="str">
        <f t="shared" ref="B123" si="70">MID(E123, FIND("-", E123) + 1, 4)</f>
        <v>5.10</v>
      </c>
      <c r="C123" s="164" t="s">
        <v>131</v>
      </c>
      <c r="D123" s="137" t="s">
        <v>28</v>
      </c>
      <c r="E123" s="25" t="s">
        <v>977</v>
      </c>
      <c r="F123" s="174">
        <f t="shared" si="29"/>
        <v>46293</v>
      </c>
      <c r="G123" s="31" t="s">
        <v>978</v>
      </c>
      <c r="H123" s="21" t="s">
        <v>924</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999</v>
      </c>
      <c r="AG123" s="238" t="str">
        <f t="shared" si="14"/>
        <v>LTIA-5.10-VIETUR-70000-RFA-OTH-0757</v>
      </c>
      <c r="AH123" s="243" t="b" cm="1">
        <f t="array" ref="AH123">$E123=_xlfn.XLOOKUP(
AG123,
_xlfn._xlws.FILTER($AG$7:$AG$4578,$L$7:$L$4578&lt;&gt;"X"),
_xlfn._xlws.FILTER($E$7:$E$4578,$L$7:$L$4578&lt;&gt;"X"),
"",
0,
-1
)</f>
        <v>0</v>
      </c>
      <c r="AI123" s="75" t="str">
        <f>IF($AH123,IF(OR($R123="B",$R123="C"),"YES",IF($R123="",IF(OR($I123="B",$I123="C"),"YES",""),"")),"")</f>
        <v/>
      </c>
    </row>
    <row r="124" spans="1:35" s="9" customFormat="1" ht="47.25">
      <c r="A124" s="33">
        <f t="shared" si="19"/>
        <v>118</v>
      </c>
      <c r="B124" s="330" t="str">
        <f t="shared" ref="B124:B125" si="72">MID(E124, FIND("-", E124) + 1, 4)</f>
        <v>5.10</v>
      </c>
      <c r="C124" s="164" t="s">
        <v>556</v>
      </c>
      <c r="D124" s="137" t="s">
        <v>30</v>
      </c>
      <c r="E124" s="25" t="s">
        <v>981</v>
      </c>
      <c r="F124" s="174">
        <f t="shared" si="29"/>
        <v>46324</v>
      </c>
      <c r="G124" s="31" t="s">
        <v>982</v>
      </c>
      <c r="H124" s="21" t="s">
        <v>983</v>
      </c>
      <c r="I124" s="138" t="s">
        <v>3</v>
      </c>
      <c r="J124" s="164">
        <f t="shared" si="30"/>
        <v>1</v>
      </c>
      <c r="K124" s="47">
        <f t="shared" si="31"/>
        <v>0</v>
      </c>
      <c r="L124" s="164"/>
      <c r="M124" s="40" t="s">
        <v>8</v>
      </c>
      <c r="N124" s="41"/>
      <c r="O124" s="40" t="s">
        <v>8</v>
      </c>
      <c r="P124" s="41"/>
      <c r="Q124" s="40"/>
      <c r="R124" s="155"/>
      <c r="S124" s="27">
        <v>46280</v>
      </c>
      <c r="T124" s="27">
        <v>46280</v>
      </c>
      <c r="U124" s="188">
        <v>46303</v>
      </c>
      <c r="V124" s="29">
        <v>46275</v>
      </c>
      <c r="W124" s="188">
        <v>46304</v>
      </c>
      <c r="X124" s="235" t="s">
        <v>240</v>
      </c>
      <c r="Y124" s="230"/>
      <c r="Z124" s="227"/>
      <c r="AA124" s="29" t="b">
        <f t="shared" si="68"/>
        <v>0</v>
      </c>
      <c r="AB124" s="229"/>
      <c r="AC124" s="229" t="str">
        <f t="shared" si="22"/>
        <v/>
      </c>
      <c r="AD124" s="337" t="str">
        <f t="shared" ref="AD124:AD125" si="73">IF(AC124="Late Resubmission",IF(AB124="","",AB124-AA124),IF(AC124="Not submit yet",IF(AA124="","",$J$1-AA124),""))</f>
        <v/>
      </c>
      <c r="AE124" s="92" t="s">
        <v>1055</v>
      </c>
      <c r="AG124" s="238" t="str">
        <f t="shared" si="14"/>
        <v xml:space="preserve">LTIA-5.10-VIETUR-70000-RFA-MAS-0821 </v>
      </c>
      <c r="AH124" s="243" t="b" cm="1">
        <f t="array" ref="AH124">$E124=_xlfn.XLOOKUP(
AG124,
_xlfn._xlws.FILTER($AG$7:$AG$4578,$L$7:$L$4578&lt;&gt;"X"),
_xlfn._xlws.FILTER($E$7:$E$4578,$L$7:$L$4578&lt;&gt;"X"),
"",
0,
-1
)</f>
        <v>1</v>
      </c>
      <c r="AI124" s="75" t="str">
        <f t="shared" ref="AI124:AI143" si="74">IF($AH124,IF(OR($R124="B",$R124="C"),"YES",IF($R124="",IF(OR($I124="B",$I124="C"),"YES",""),"")),"")</f>
        <v/>
      </c>
    </row>
    <row r="125" spans="1:35" s="9" customFormat="1" ht="47.25">
      <c r="A125" s="33">
        <f t="shared" si="19"/>
        <v>119</v>
      </c>
      <c r="B125" s="330" t="str">
        <f t="shared" si="72"/>
        <v>5.11</v>
      </c>
      <c r="C125" s="164" t="s">
        <v>656</v>
      </c>
      <c r="D125" s="137" t="s">
        <v>30</v>
      </c>
      <c r="E125" s="25" t="s">
        <v>997</v>
      </c>
      <c r="F125" s="174">
        <f t="shared" si="29"/>
        <v>46310</v>
      </c>
      <c r="G125" s="31" t="s">
        <v>998</v>
      </c>
      <c r="H125" s="21" t="s">
        <v>776</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1024</v>
      </c>
      <c r="AG125" s="238" t="str">
        <f t="shared" ref="AG125:AG141" si="75">IF(AND(RIGHT($E125,1)&gt;="A",RIGHT($E125,1)&lt;="Z"),LEFT($E125,LEN($E125)-1),$E125)</f>
        <v xml:space="preserve"> LTIA-5.11-LTICT-71110-RFA-MAS-0021</v>
      </c>
      <c r="AH125" s="243" t="b" cm="1">
        <f t="array" ref="AH125">$E125=_xlfn.XLOOKUP(
AG125,
_xlfn._xlws.FILTER($AG$7:$AG$4579,$L$7:$L$4579&lt;&gt;"X"),
_xlfn._xlws.FILTER($E$7:$E$4579,$L$7:$L$4579&lt;&gt;"X"),
"",
0,
-1
)</f>
        <v>1</v>
      </c>
      <c r="AI125" s="75" t="str">
        <f t="shared" si="74"/>
        <v/>
      </c>
    </row>
    <row r="126" spans="1:35" s="9" customFormat="1" ht="110.25">
      <c r="A126" s="33">
        <f t="shared" si="19"/>
        <v>120</v>
      </c>
      <c r="B126" s="330" t="str">
        <f t="shared" ref="B126:B129" si="76">MID(E126, FIND("-", E126) + 1, 4)</f>
        <v>5.10</v>
      </c>
      <c r="C126" s="164" t="s">
        <v>131</v>
      </c>
      <c r="D126" s="137" t="s">
        <v>28</v>
      </c>
      <c r="E126" s="25" t="s">
        <v>1000</v>
      </c>
      <c r="F126" s="174">
        <f t="shared" si="29"/>
        <v>46310</v>
      </c>
      <c r="G126" s="31" t="s">
        <v>978</v>
      </c>
      <c r="H126" s="21" t="s">
        <v>924</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1032</v>
      </c>
      <c r="AG126" s="238" t="str">
        <f t="shared" si="75"/>
        <v>LTIA-5.10-VIETUR-70000-RFA-OTH-0733</v>
      </c>
      <c r="AH126" s="243" t="b" cm="1">
        <f t="array" ref="AH126">$E126=_xlfn.XLOOKUP(
AG126,
_xlfn._xlws.FILTER($AG$7:$AG$4579,$L$7:$L$4579&lt;&gt;"X"),
_xlfn._xlws.FILTER($E$7:$E$4579,$L$7:$L$4579&lt;&gt;"X"),
"",
0,
-1
)</f>
        <v>1</v>
      </c>
      <c r="AI126" s="75" t="str">
        <f t="shared" si="74"/>
        <v>YES</v>
      </c>
    </row>
    <row r="127" spans="1:35" s="9" customFormat="1" ht="78.75">
      <c r="A127" s="33">
        <f t="shared" si="19"/>
        <v>121</v>
      </c>
      <c r="B127" s="330" t="str">
        <f t="shared" si="76"/>
        <v>5.10</v>
      </c>
      <c r="C127" s="164" t="s">
        <v>131</v>
      </c>
      <c r="D127" s="137" t="s">
        <v>30</v>
      </c>
      <c r="E127" s="25" t="s">
        <v>962</v>
      </c>
      <c r="F127" s="174">
        <f t="shared" si="29"/>
        <v>46314</v>
      </c>
      <c r="G127" s="31" t="s">
        <v>963</v>
      </c>
      <c r="H127" s="21" t="s">
        <v>964</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1030</v>
      </c>
      <c r="AG127" s="238" t="str">
        <f t="shared" si="75"/>
        <v>LTIA-5.10-VIETUR-70000-RFA-MAS-0814</v>
      </c>
      <c r="AH127" s="243" t="b" cm="1">
        <f t="array" ref="AH127">$E127=_xlfn.XLOOKUP(
AG127,
_xlfn._xlws.FILTER($AG$7:$AG$4579,$L$7:$L$4579&lt;&gt;"X"),
_xlfn._xlws.FILTER($E$7:$E$4579,$L$7:$L$4579&lt;&gt;"X"),
"",
0,
-1
)</f>
        <v>1</v>
      </c>
      <c r="AI127" s="75" t="str">
        <f t="shared" si="74"/>
        <v/>
      </c>
    </row>
    <row r="128" spans="1:35" s="9" customFormat="1" ht="47.25">
      <c r="A128" s="33">
        <f t="shared" si="19"/>
        <v>122</v>
      </c>
      <c r="B128" s="330" t="str">
        <f t="shared" si="76"/>
        <v>5.10</v>
      </c>
      <c r="C128" s="164" t="s">
        <v>131</v>
      </c>
      <c r="D128" s="137" t="s">
        <v>30</v>
      </c>
      <c r="E128" s="25" t="s">
        <v>1005</v>
      </c>
      <c r="F128" s="174">
        <f t="shared" si="29"/>
        <v>46316</v>
      </c>
      <c r="G128" s="31" t="s">
        <v>1006</v>
      </c>
      <c r="H128" s="21" t="s">
        <v>1007</v>
      </c>
      <c r="I128" s="138"/>
      <c r="J128" s="164">
        <f t="shared" ca="1" si="30"/>
        <v>19</v>
      </c>
      <c r="K128" s="47">
        <f t="shared" ca="1" si="31"/>
        <v>0</v>
      </c>
      <c r="L128" s="164"/>
      <c r="M128" s="40" t="s">
        <v>8</v>
      </c>
      <c r="N128" s="41"/>
      <c r="O128" s="40"/>
      <c r="P128" s="41"/>
      <c r="Q128" s="40"/>
      <c r="R128" s="155"/>
      <c r="S128" s="27">
        <v>46295</v>
      </c>
      <c r="T128" s="27">
        <v>46295</v>
      </c>
      <c r="U128" s="188">
        <v>46295</v>
      </c>
      <c r="V128" s="29"/>
      <c r="W128" s="188"/>
      <c r="X128" s="235"/>
      <c r="Y128" s="230"/>
      <c r="Z128" s="227"/>
      <c r="AA128" s="29" t="str">
        <f t="shared" si="68"/>
        <v/>
      </c>
      <c r="AB128" s="229"/>
      <c r="AC128" s="229"/>
      <c r="AD128" s="337"/>
      <c r="AE128" s="92"/>
      <c r="AG128" s="238" t="str">
        <f t="shared" si="75"/>
        <v>LTIA-5.10-VIETUR-70000-RFA-MAS-0696</v>
      </c>
      <c r="AH128" s="243" t="b" cm="1">
        <f t="array" ref="AH128">$E128=_xlfn.XLOOKUP(
AG128,
_xlfn._xlws.FILTER($AG$7:$AG$4579,$L$7:$L$4579&lt;&gt;"X"),
_xlfn._xlws.FILTER($E$7:$E$4579,$L$7:$L$4579&lt;&gt;"X"),
"",
0,
-1
)</f>
        <v>1</v>
      </c>
      <c r="AI128" s="75" t="str">
        <f t="shared" si="74"/>
        <v/>
      </c>
    </row>
    <row r="129" spans="1:35" s="9" customFormat="1" ht="47.25">
      <c r="A129" s="33">
        <f t="shared" si="19"/>
        <v>123</v>
      </c>
      <c r="B129" s="330" t="str">
        <f t="shared" si="76"/>
        <v>5.11</v>
      </c>
      <c r="C129" s="164" t="s">
        <v>372</v>
      </c>
      <c r="D129" s="137" t="s">
        <v>32</v>
      </c>
      <c r="E129" s="25" t="s">
        <v>1027</v>
      </c>
      <c r="F129" s="174">
        <f t="shared" si="29"/>
        <v>46319</v>
      </c>
      <c r="G129" s="31" t="s">
        <v>1028</v>
      </c>
      <c r="H129" s="21" t="s">
        <v>1029</v>
      </c>
      <c r="I129" s="138"/>
      <c r="J129" s="164">
        <f t="shared" ca="1" si="30"/>
        <v>16</v>
      </c>
      <c r="K129" s="47">
        <f t="shared" ca="1" si="31"/>
        <v>0</v>
      </c>
      <c r="L129" s="164"/>
      <c r="M129" s="40" t="s">
        <v>8</v>
      </c>
      <c r="N129" s="41"/>
      <c r="O129" s="40"/>
      <c r="P129" s="41"/>
      <c r="Q129" s="40"/>
      <c r="R129" s="155"/>
      <c r="S129" s="27">
        <v>46298</v>
      </c>
      <c r="T129" s="27">
        <v>46298</v>
      </c>
      <c r="U129" s="188">
        <v>46298</v>
      </c>
      <c r="V129" s="29"/>
      <c r="W129" s="188"/>
      <c r="X129" s="235"/>
      <c r="Y129" s="230"/>
      <c r="Z129" s="227"/>
      <c r="AA129" s="29" t="str">
        <f t="shared" si="68"/>
        <v/>
      </c>
      <c r="AB129" s="229"/>
      <c r="AC129" s="229"/>
      <c r="AD129" s="337"/>
      <c r="AE129" s="92" t="s">
        <v>1062</v>
      </c>
      <c r="AG129" s="238" t="str">
        <f t="shared" si="75"/>
        <v>LTIA-5.11- LTICT- 72100-RFA-MSS-0002</v>
      </c>
      <c r="AH129" s="243" t="b" cm="1">
        <f t="array" ref="AH129">$E129=_xlfn.XLOOKUP(
AG129,
_xlfn._xlws.FILTER($AG$7:$AG$4579,$L$7:$L$4579&lt;&gt;"X"),
_xlfn._xlws.FILTER($E$7:$E$4579,$L$7:$L$4579&lt;&gt;"X"),
"",
0,
-1
)</f>
        <v>1</v>
      </c>
      <c r="AI129" s="75" t="str">
        <f t="shared" si="74"/>
        <v/>
      </c>
    </row>
    <row r="130" spans="1:35" s="9" customFormat="1" ht="47.25">
      <c r="A130" s="33">
        <f t="shared" si="19"/>
        <v>124</v>
      </c>
      <c r="B130" s="330" t="str">
        <f t="shared" ref="B130" si="78">MID(E130, FIND("-", E130) + 1, 4)</f>
        <v>5.11</v>
      </c>
      <c r="C130" s="164" t="s">
        <v>144</v>
      </c>
      <c r="D130" s="137" t="s">
        <v>32</v>
      </c>
      <c r="E130" s="25" t="s">
        <v>1035</v>
      </c>
      <c r="F130" s="174">
        <f t="shared" si="29"/>
        <v>46321</v>
      </c>
      <c r="G130" s="31" t="s">
        <v>1033</v>
      </c>
      <c r="H130" s="21" t="s">
        <v>1034</v>
      </c>
      <c r="I130" s="138"/>
      <c r="J130" s="164">
        <f t="shared" ca="1" si="30"/>
        <v>14</v>
      </c>
      <c r="K130" s="47">
        <f t="shared" ca="1" si="31"/>
        <v>0</v>
      </c>
      <c r="L130" s="164"/>
      <c r="M130" s="40" t="s">
        <v>8</v>
      </c>
      <c r="N130" s="41"/>
      <c r="O130" s="40"/>
      <c r="P130" s="41"/>
      <c r="Q130" s="40"/>
      <c r="R130" s="155"/>
      <c r="S130" s="27">
        <v>46300</v>
      </c>
      <c r="T130" s="27">
        <v>46300</v>
      </c>
      <c r="U130" s="188">
        <v>46300</v>
      </c>
      <c r="V130" s="29"/>
      <c r="W130" s="188"/>
      <c r="X130" s="235"/>
      <c r="Y130" s="230"/>
      <c r="Z130" s="227"/>
      <c r="AA130" s="29" t="str">
        <f t="shared" si="68"/>
        <v/>
      </c>
      <c r="AB130" s="229"/>
      <c r="AC130" s="229"/>
      <c r="AD130" s="337"/>
      <c r="AE130" s="92"/>
      <c r="AG130" s="238" t="str">
        <f t="shared" si="75"/>
        <v>LTIA-5.11-LTICT- 72010 -RFA-MSS-0003</v>
      </c>
      <c r="AH130" s="243" t="b" cm="1">
        <f t="array" ref="AH130">$E130=_xlfn.XLOOKUP(
AG130,
_xlfn._xlws.FILTER($AG$7:$AG$4579,$L$7:$L$4579&lt;&gt;"X"),
_xlfn._xlws.FILTER($E$7:$E$4579,$L$7:$L$4579&lt;&gt;"X"),
"",
0,
-1
)</f>
        <v>1</v>
      </c>
      <c r="AI130" s="75" t="str">
        <f t="shared" si="74"/>
        <v/>
      </c>
    </row>
    <row r="131" spans="1:35" s="9" customFormat="1" ht="47.25">
      <c r="A131" s="33">
        <f t="shared" si="19"/>
        <v>125</v>
      </c>
      <c r="B131" s="330" t="str">
        <f t="shared" ref="B131" si="79">MID(E131, FIND("-", E131) + 1, 4)</f>
        <v>5.11</v>
      </c>
      <c r="C131" s="164" t="s">
        <v>637</v>
      </c>
      <c r="D131" s="137" t="s">
        <v>32</v>
      </c>
      <c r="E131" s="25" t="s">
        <v>1036</v>
      </c>
      <c r="F131" s="174">
        <f t="shared" si="29"/>
        <v>46321</v>
      </c>
      <c r="G131" s="31" t="s">
        <v>1037</v>
      </c>
      <c r="H131" s="21" t="s">
        <v>1038</v>
      </c>
      <c r="I131" s="138"/>
      <c r="J131" s="164">
        <f t="shared" ca="1" si="30"/>
        <v>14</v>
      </c>
      <c r="K131" s="47">
        <f t="shared" ca="1" si="31"/>
        <v>0</v>
      </c>
      <c r="L131" s="164"/>
      <c r="M131" s="40" t="s">
        <v>8</v>
      </c>
      <c r="N131" s="41"/>
      <c r="O131" s="40"/>
      <c r="P131" s="41"/>
      <c r="Q131" s="40"/>
      <c r="R131" s="155"/>
      <c r="S131" s="27">
        <v>46300</v>
      </c>
      <c r="T131" s="27">
        <v>46300</v>
      </c>
      <c r="U131" s="188">
        <v>46300</v>
      </c>
      <c r="V131" s="29"/>
      <c r="W131" s="188"/>
      <c r="X131" s="235"/>
      <c r="Y131" s="230"/>
      <c r="Z131" s="227"/>
      <c r="AA131" s="29" t="str">
        <f t="shared" si="68"/>
        <v/>
      </c>
      <c r="AB131" s="229"/>
      <c r="AC131" s="229"/>
      <c r="AD131" s="337"/>
      <c r="AE131" s="92" t="s">
        <v>1072</v>
      </c>
      <c r="AG131" s="238" t="str">
        <f t="shared" si="75"/>
        <v>LTIA-5.11-LTICT- 72120 -RFA-MSS-0004</v>
      </c>
      <c r="AH131" s="243" t="b" cm="1">
        <f t="array" ref="AH131">$E131=_xlfn.XLOOKUP(
AG131,
_xlfn._xlws.FILTER($AG$7:$AG$4579,$L$7:$L$4579&lt;&gt;"X"),
_xlfn._xlws.FILTER($E$7:$E$4579,$L$7:$L$4579&lt;&gt;"X"),
"",
0,
-1
)</f>
        <v>1</v>
      </c>
      <c r="AI131" s="75" t="str">
        <f t="shared" si="74"/>
        <v/>
      </c>
    </row>
    <row r="132" spans="1:35" s="9" customFormat="1" ht="47.25">
      <c r="A132" s="33">
        <f t="shared" si="19"/>
        <v>126</v>
      </c>
      <c r="B132" s="330" t="str">
        <f t="shared" ref="B132" si="80">MID(E132, FIND("-", E132) + 1, 4)</f>
        <v>5.11</v>
      </c>
      <c r="C132" s="164" t="s">
        <v>633</v>
      </c>
      <c r="D132" s="137" t="s">
        <v>32</v>
      </c>
      <c r="E132" s="25" t="s">
        <v>1039</v>
      </c>
      <c r="F132" s="174">
        <f t="shared" si="29"/>
        <v>46322</v>
      </c>
      <c r="G132" s="31" t="s">
        <v>1040</v>
      </c>
      <c r="H132" s="21" t="s">
        <v>1041</v>
      </c>
      <c r="I132" s="138"/>
      <c r="J132" s="164">
        <f t="shared" ca="1" si="30"/>
        <v>13</v>
      </c>
      <c r="K132" s="47">
        <f t="shared" ca="1" si="31"/>
        <v>0</v>
      </c>
      <c r="L132" s="164"/>
      <c r="M132" s="40" t="s">
        <v>8</v>
      </c>
      <c r="N132" s="41"/>
      <c r="O132" s="40"/>
      <c r="P132" s="41"/>
      <c r="Q132" s="40"/>
      <c r="R132" s="155"/>
      <c r="S132" s="27">
        <v>46301</v>
      </c>
      <c r="T132" s="27">
        <v>46301</v>
      </c>
      <c r="U132" s="188">
        <v>46301</v>
      </c>
      <c r="V132" s="29"/>
      <c r="W132" s="188"/>
      <c r="X132" s="235"/>
      <c r="Y132" s="230"/>
      <c r="Z132" s="227"/>
      <c r="AA132" s="29" t="str">
        <f t="shared" si="68"/>
        <v/>
      </c>
      <c r="AB132" s="229"/>
      <c r="AC132" s="229"/>
      <c r="AD132" s="337"/>
      <c r="AE132" s="92" t="s">
        <v>1063</v>
      </c>
      <c r="AG132" s="238" t="str">
        <f t="shared" si="75"/>
        <v>LTIA-5.11-LTICT-70100-RFA-MSS-0007</v>
      </c>
      <c r="AH132" s="243" t="b" cm="1">
        <f t="array" ref="AH132">$E132=_xlfn.XLOOKUP(
AG132,
_xlfn._xlws.FILTER($AG$7:$AG$4579,$L$7:$L$4579&lt;&gt;"X"),
_xlfn._xlws.FILTER($E$7:$E$4579,$L$7:$L$4579&lt;&gt;"X"),
"",
0,
-1
)</f>
        <v>1</v>
      </c>
      <c r="AI132" s="75" t="str">
        <f t="shared" si="74"/>
        <v/>
      </c>
    </row>
    <row r="133" spans="1:35" s="9" customFormat="1" ht="47.25">
      <c r="A133" s="33">
        <f t="shared" si="19"/>
        <v>127</v>
      </c>
      <c r="B133" s="330" t="str">
        <f t="shared" ref="B133" si="81">MID(E133, FIND("-", E133) + 1, 4)</f>
        <v>5.11</v>
      </c>
      <c r="C133" s="164" t="s">
        <v>621</v>
      </c>
      <c r="D133" s="137" t="s">
        <v>32</v>
      </c>
      <c r="E133" s="25" t="s">
        <v>1042</v>
      </c>
      <c r="F133" s="174">
        <f t="shared" si="29"/>
        <v>46322</v>
      </c>
      <c r="G133" s="31" t="s">
        <v>1043</v>
      </c>
      <c r="H133" s="21" t="s">
        <v>1044</v>
      </c>
      <c r="I133" s="138"/>
      <c r="J133" s="164">
        <f t="shared" ca="1" si="30"/>
        <v>13</v>
      </c>
      <c r="K133" s="47">
        <f t="shared" ca="1" si="31"/>
        <v>0</v>
      </c>
      <c r="L133" s="164"/>
      <c r="M133" s="40" t="s">
        <v>8</v>
      </c>
      <c r="N133" s="41"/>
      <c r="O133" s="40"/>
      <c r="P133" s="41"/>
      <c r="Q133" s="40"/>
      <c r="R133" s="155"/>
      <c r="S133" s="27">
        <v>46301</v>
      </c>
      <c r="T133" s="27">
        <v>46301</v>
      </c>
      <c r="U133" s="188">
        <v>46301</v>
      </c>
      <c r="V133" s="29"/>
      <c r="W133" s="188"/>
      <c r="X133" s="235"/>
      <c r="Y133" s="230"/>
      <c r="Z133" s="227"/>
      <c r="AA133" s="29" t="str">
        <f t="shared" si="68"/>
        <v/>
      </c>
      <c r="AB133" s="229"/>
      <c r="AC133" s="229"/>
      <c r="AD133" s="337"/>
      <c r="AE133" s="92"/>
      <c r="AG133" s="238" t="str">
        <f t="shared" si="75"/>
        <v>LTIA-5.11-LTICT- 72190 -RFA-MSS-0005</v>
      </c>
      <c r="AH133" s="243" t="b" cm="1">
        <f t="array" ref="AH133">$E133=_xlfn.XLOOKUP(
AG133,
_xlfn._xlws.FILTER($AG$7:$AG$4579,$L$7:$L$4579&lt;&gt;"X"),
_xlfn._xlws.FILTER($E$7:$E$4579,$L$7:$L$4579&lt;&gt;"X"),
"",
0,
-1
)</f>
        <v>1</v>
      </c>
      <c r="AI133" s="75" t="str">
        <f t="shared" si="74"/>
        <v/>
      </c>
    </row>
    <row r="134" spans="1:35" s="9" customFormat="1" ht="47.25">
      <c r="A134" s="33">
        <f t="shared" si="19"/>
        <v>128</v>
      </c>
      <c r="B134" s="330" t="str">
        <f t="shared" ref="B134" si="82">MID(E134, FIND("-", E134) + 1, 4)</f>
        <v>5.11</v>
      </c>
      <c r="C134" s="164" t="s">
        <v>656</v>
      </c>
      <c r="D134" s="137" t="s">
        <v>32</v>
      </c>
      <c r="E134" s="25" t="s">
        <v>1045</v>
      </c>
      <c r="F134" s="174">
        <f t="shared" si="29"/>
        <v>46322</v>
      </c>
      <c r="G134" s="31" t="s">
        <v>1046</v>
      </c>
      <c r="H134" s="21" t="s">
        <v>1047</v>
      </c>
      <c r="I134" s="138"/>
      <c r="J134" s="164">
        <f t="shared" ca="1" si="30"/>
        <v>13</v>
      </c>
      <c r="K134" s="47">
        <f t="shared" ca="1" si="31"/>
        <v>0</v>
      </c>
      <c r="L134" s="164"/>
      <c r="M134" s="40" t="s">
        <v>8</v>
      </c>
      <c r="N134" s="41"/>
      <c r="O134" s="40"/>
      <c r="P134" s="41"/>
      <c r="Q134" s="40"/>
      <c r="R134" s="155"/>
      <c r="S134" s="27">
        <v>46301</v>
      </c>
      <c r="T134" s="27">
        <v>46301</v>
      </c>
      <c r="U134" s="188">
        <v>46301</v>
      </c>
      <c r="V134" s="29"/>
      <c r="W134" s="188"/>
      <c r="X134" s="235"/>
      <c r="Y134" s="230"/>
      <c r="Z134" s="227"/>
      <c r="AA134" s="29" t="str">
        <f t="shared" si="68"/>
        <v/>
      </c>
      <c r="AB134" s="229"/>
      <c r="AC134" s="229"/>
      <c r="AD134" s="337"/>
      <c r="AE134" s="92"/>
      <c r="AG134" s="238" t="str">
        <f t="shared" si="75"/>
        <v>LTIA-5.11-LTICT- 71110 -RFA-MSS-0006</v>
      </c>
      <c r="AH134" s="243" t="b" cm="1">
        <f t="array" ref="AH134">$E134=_xlfn.XLOOKUP(
AG134,
_xlfn._xlws.FILTER($AG$7:$AG$4579,$L$7:$L$4579&lt;&gt;"X"),
_xlfn._xlws.FILTER($E$7:$E$4579,$L$7:$L$4579&lt;&gt;"X"),
"",
0,
-1
)</f>
        <v>1</v>
      </c>
      <c r="AI134" s="75" t="str">
        <f t="shared" si="74"/>
        <v/>
      </c>
    </row>
    <row r="135" spans="1:35" s="9" customFormat="1" ht="47.25">
      <c r="A135" s="33">
        <f t="shared" si="19"/>
        <v>129</v>
      </c>
      <c r="B135" s="330" t="str">
        <f t="shared" ref="B135:B136" si="83">MID(E135, FIND("-", E135) + 1, 4)</f>
        <v>5.11</v>
      </c>
      <c r="C135" s="164" t="s">
        <v>621</v>
      </c>
      <c r="D135" s="137" t="s">
        <v>28</v>
      </c>
      <c r="E135" s="25" t="s">
        <v>1048</v>
      </c>
      <c r="F135" s="174">
        <f t="shared" si="29"/>
        <v>46322</v>
      </c>
      <c r="G135" s="31" t="s">
        <v>1049</v>
      </c>
      <c r="H135" s="21" t="s">
        <v>1050</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1070</v>
      </c>
      <c r="AG135" s="238" t="str">
        <f t="shared" si="75"/>
        <v>LTIA-5.11-LTICT- 71110 -RFA-OTH-0012</v>
      </c>
      <c r="AH135" s="243" t="b" cm="1">
        <f t="array" ref="AH135">$E135=_xlfn.XLOOKUP(
AG135,
_xlfn._xlws.FILTER($AG$7:$AG$4579,$L$7:$L$4579&lt;&gt;"X"),
_xlfn._xlws.FILTER($E$7:$E$4579,$L$7:$L$4579&lt;&gt;"X"),
"",
0,
-1
)</f>
        <v>1</v>
      </c>
      <c r="AI135" s="75" t="str">
        <f t="shared" si="74"/>
        <v/>
      </c>
    </row>
    <row r="136" spans="1:35" s="9" customFormat="1" ht="47.25">
      <c r="A136" s="33">
        <f t="shared" si="19"/>
        <v>130</v>
      </c>
      <c r="B136" s="330" t="str">
        <f t="shared" si="83"/>
        <v>5.11</v>
      </c>
      <c r="C136" s="164" t="s">
        <v>751</v>
      </c>
      <c r="D136" s="137" t="s">
        <v>32</v>
      </c>
      <c r="E136" s="25" t="s">
        <v>1073</v>
      </c>
      <c r="F136" s="174">
        <f t="shared" si="29"/>
        <v>46330</v>
      </c>
      <c r="G136" s="31" t="s">
        <v>1074</v>
      </c>
      <c r="H136" s="21" t="s">
        <v>1075</v>
      </c>
      <c r="I136" s="138"/>
      <c r="J136" s="164">
        <f t="shared" ca="1" si="30"/>
        <v>5</v>
      </c>
      <c r="K136" s="47">
        <f t="shared" ca="1" si="31"/>
        <v>0</v>
      </c>
      <c r="L136" s="164"/>
      <c r="M136" s="40" t="s">
        <v>8</v>
      </c>
      <c r="N136" s="41"/>
      <c r="O136" s="40"/>
      <c r="P136" s="41"/>
      <c r="Q136" s="40"/>
      <c r="R136" s="155"/>
      <c r="S136" s="27">
        <v>46309</v>
      </c>
      <c r="T136" s="27">
        <v>46309</v>
      </c>
      <c r="U136" s="188">
        <v>46309</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_xlfn._xlws.FILTER($AG$7:$AG$4579,$L$7:$L$4579&lt;&gt;"X"),
_xlfn._xlws.FILTER($E$7:$E$4579,$L$7:$L$4579&lt;&gt;"X"),
"",
0,
-1
)</f>
        <v>1</v>
      </c>
      <c r="AI136" s="75" t="str">
        <f t="shared" si="74"/>
        <v/>
      </c>
    </row>
    <row r="137" spans="1:35" s="9" customFormat="1" ht="47.25">
      <c r="A137" s="33">
        <f t="shared" si="19"/>
        <v>131</v>
      </c>
      <c r="B137" s="330" t="str">
        <f t="shared" ref="B137" si="84">MID(E137, FIND("-", E137) + 1, 4)</f>
        <v>5.11</v>
      </c>
      <c r="C137" s="164" t="s">
        <v>342</v>
      </c>
      <c r="D137" s="137" t="s">
        <v>32</v>
      </c>
      <c r="E137" s="25" t="s">
        <v>1076</v>
      </c>
      <c r="F137" s="174">
        <f t="shared" si="29"/>
        <v>46330</v>
      </c>
      <c r="G137" s="31" t="s">
        <v>1077</v>
      </c>
      <c r="H137" s="21" t="s">
        <v>1078</v>
      </c>
      <c r="I137" s="138"/>
      <c r="J137" s="164">
        <f t="shared" ca="1" si="30"/>
        <v>5</v>
      </c>
      <c r="K137" s="47">
        <f t="shared" ca="1" si="31"/>
        <v>0</v>
      </c>
      <c r="L137" s="164"/>
      <c r="M137" s="40" t="s">
        <v>8</v>
      </c>
      <c r="N137" s="41"/>
      <c r="O137" s="40"/>
      <c r="P137" s="41"/>
      <c r="Q137" s="40"/>
      <c r="R137" s="155"/>
      <c r="S137" s="27">
        <v>46309</v>
      </c>
      <c r="T137" s="27">
        <v>46309</v>
      </c>
      <c r="U137" s="188">
        <v>46309</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_xlfn._xlws.FILTER($AG$7:$AG$4579,$L$7:$L$4579&lt;&gt;"X"),
_xlfn._xlws.FILTER($E$7:$E$4579,$L$7:$L$4579&lt;&gt;"X"),
"",
0,
-1
)</f>
        <v>1</v>
      </c>
      <c r="AI137" s="75" t="str">
        <f t="shared" si="74"/>
        <v/>
      </c>
    </row>
    <row r="138" spans="1:35" s="9" customFormat="1" ht="78.75">
      <c r="A138" s="33">
        <f t="shared" si="19"/>
        <v>132</v>
      </c>
      <c r="B138" s="330" t="str">
        <f t="shared" ref="B138" si="85">MID(E138, FIND("-", E138) + 1, 4)</f>
        <v>5.11</v>
      </c>
      <c r="C138" s="164" t="s">
        <v>1082</v>
      </c>
      <c r="D138" s="137" t="s">
        <v>32</v>
      </c>
      <c r="E138" s="25" t="s">
        <v>1079</v>
      </c>
      <c r="F138" s="174">
        <f t="shared" si="29"/>
        <v>46330</v>
      </c>
      <c r="G138" s="31" t="s">
        <v>1080</v>
      </c>
      <c r="H138" s="21" t="s">
        <v>1081</v>
      </c>
      <c r="I138" s="138"/>
      <c r="J138" s="164">
        <f t="shared" ca="1" si="30"/>
        <v>5</v>
      </c>
      <c r="K138" s="47">
        <f t="shared" ca="1" si="31"/>
        <v>0</v>
      </c>
      <c r="L138" s="164"/>
      <c r="M138" s="40" t="s">
        <v>8</v>
      </c>
      <c r="N138" s="41"/>
      <c r="O138" s="40"/>
      <c r="P138" s="41"/>
      <c r="Q138" s="40"/>
      <c r="R138" s="155"/>
      <c r="S138" s="27">
        <v>46309</v>
      </c>
      <c r="T138" s="27">
        <v>46309</v>
      </c>
      <c r="U138" s="188">
        <v>46309</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_xlfn._xlws.FILTER($AG$7:$AG$4579,$L$7:$L$4579&lt;&gt;"X"),
_xlfn._xlws.FILTER($E$7:$E$4579,$L$7:$L$4579&lt;&gt;"X"),
"",
0,
-1
)</f>
        <v>1</v>
      </c>
      <c r="AI138" s="75" t="str">
        <f t="shared" si="74"/>
        <v/>
      </c>
    </row>
    <row r="139" spans="1:35" s="9" customFormat="1" ht="78.75">
      <c r="A139" s="33">
        <f t="shared" si="19"/>
        <v>133</v>
      </c>
      <c r="B139" s="330" t="str">
        <f t="shared" ref="B139" si="86">MID(E139, FIND("-", E139) + 1, 4)</f>
        <v>5.11</v>
      </c>
      <c r="C139" s="164" t="s">
        <v>1086</v>
      </c>
      <c r="D139" s="137" t="s">
        <v>32</v>
      </c>
      <c r="E139" s="25" t="s">
        <v>1083</v>
      </c>
      <c r="F139" s="174">
        <f t="shared" si="29"/>
        <v>46330</v>
      </c>
      <c r="G139" s="31" t="s">
        <v>1084</v>
      </c>
      <c r="H139" s="21" t="s">
        <v>1085</v>
      </c>
      <c r="I139" s="138"/>
      <c r="J139" s="164">
        <f t="shared" ca="1" si="30"/>
        <v>5</v>
      </c>
      <c r="K139" s="47">
        <f t="shared" ca="1" si="31"/>
        <v>0</v>
      </c>
      <c r="L139" s="164"/>
      <c r="M139" s="40" t="s">
        <v>8</v>
      </c>
      <c r="N139" s="41"/>
      <c r="O139" s="40"/>
      <c r="P139" s="41"/>
      <c r="Q139" s="40"/>
      <c r="R139" s="155"/>
      <c r="S139" s="27">
        <v>46309</v>
      </c>
      <c r="T139" s="27">
        <v>46309</v>
      </c>
      <c r="U139" s="188">
        <v>46309</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_xlfn._xlws.FILTER($AG$7:$AG$4579,$L$7:$L$4579&lt;&gt;"X"),
_xlfn._xlws.FILTER($E$7:$E$4579,$L$7:$L$4579&lt;&gt;"X"),
"",
0,
-1
)</f>
        <v>1</v>
      </c>
      <c r="AI139" s="75" t="str">
        <f t="shared" si="74"/>
        <v/>
      </c>
    </row>
    <row r="140" spans="1:35" s="9" customFormat="1" ht="63">
      <c r="A140" s="33">
        <f t="shared" si="19"/>
        <v>134</v>
      </c>
      <c r="B140" s="330" t="str">
        <f t="shared" ref="B140" si="87">MID(E140, FIND("-", E140) + 1, 4)</f>
        <v>5.10</v>
      </c>
      <c r="C140" s="164" t="s">
        <v>180</v>
      </c>
      <c r="D140" s="137" t="s">
        <v>32</v>
      </c>
      <c r="E140" s="25" t="s">
        <v>1087</v>
      </c>
      <c r="F140" s="174">
        <f t="shared" si="29"/>
        <v>46331</v>
      </c>
      <c r="G140" s="31" t="s">
        <v>1088</v>
      </c>
      <c r="H140" s="21" t="s">
        <v>1089</v>
      </c>
      <c r="I140" s="138"/>
      <c r="J140" s="164">
        <f t="shared" ca="1" si="30"/>
        <v>4</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_xlfn._xlws.FILTER($AG$7:$AG$4579,$L$7:$L$4579&lt;&gt;"X"),
_xlfn._xlws.FILTER($E$7:$E$4579,$L$7:$L$4579&lt;&gt;"X"),
"",
0,
-1
)</f>
        <v>1</v>
      </c>
      <c r="AI140" s="75" t="str">
        <f t="shared" si="74"/>
        <v/>
      </c>
    </row>
    <row r="141" spans="1:35" s="9" customFormat="1" ht="47.25">
      <c r="A141" s="33">
        <f t="shared" si="19"/>
        <v>135</v>
      </c>
      <c r="B141" s="330" t="str">
        <f t="shared" ref="B141" si="88">MID(E141, FIND("-", E141) + 1, 4)</f>
        <v>5.11</v>
      </c>
      <c r="C141" s="164" t="s">
        <v>342</v>
      </c>
      <c r="D141" s="137" t="s">
        <v>28</v>
      </c>
      <c r="E141" s="25" t="s">
        <v>1093</v>
      </c>
      <c r="F141" s="174">
        <f t="shared" si="29"/>
        <v>46333</v>
      </c>
      <c r="G141" s="31" t="s">
        <v>1094</v>
      </c>
      <c r="H141" s="21" t="s">
        <v>1095</v>
      </c>
      <c r="I141" s="138"/>
      <c r="J141" s="164">
        <f t="shared" ca="1" si="30"/>
        <v>2</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c r="AG141" s="238" t="str">
        <f t="shared" si="75"/>
        <v>LTIA-5.11-LTICT-72020-RFA-OTH-0009</v>
      </c>
      <c r="AH141" s="243" t="b" cm="1">
        <f t="array" ref="AH141">$E141=_xlfn.XLOOKUP(
AG141,
_xlfn._xlws.FILTER($AG$7:$AG$4579,$L$7:$L$4579&lt;&gt;"X"),
_xlfn._xlws.FILTER($E$7:$E$4579,$L$7:$L$4579&lt;&gt;"X"),
"",
0,
-1
)</f>
        <v>1</v>
      </c>
      <c r="AI141" s="75" t="str">
        <f t="shared" si="74"/>
        <v/>
      </c>
    </row>
    <row r="142" spans="1:35" s="9" customFormat="1">
      <c r="A142" s="33"/>
      <c r="B142" s="330"/>
      <c r="C142" s="164"/>
      <c r="D142" s="137"/>
      <c r="E142" s="25"/>
      <c r="F142" s="174"/>
      <c r="G142" s="31"/>
      <c r="H142" s="21"/>
      <c r="I142" s="138"/>
      <c r="J142" s="164"/>
      <c r="K142" s="47"/>
      <c r="L142" s="164"/>
      <c r="M142" s="40"/>
      <c r="N142" s="41"/>
      <c r="O142" s="40"/>
      <c r="P142" s="41"/>
      <c r="Q142" s="40"/>
      <c r="R142" s="155"/>
      <c r="S142" s="27"/>
      <c r="T142" s="27"/>
      <c r="U142" s="188"/>
      <c r="V142" s="29"/>
      <c r="W142" s="188"/>
      <c r="X142" s="235"/>
      <c r="Y142" s="230"/>
      <c r="Z142" s="227"/>
      <c r="AA142" s="29" t="str">
        <f t="shared" si="68"/>
        <v/>
      </c>
      <c r="AB142" s="229"/>
      <c r="AC142" s="229"/>
      <c r="AD142" s="337"/>
      <c r="AE142" s="92"/>
      <c r="AG142" s="238"/>
      <c r="AH142" s="243"/>
      <c r="AI142" s="75" t="str">
        <f t="shared" si="74"/>
        <v/>
      </c>
    </row>
    <row r="143" spans="1:35" s="9" customFormat="1" ht="16.5" thickBot="1">
      <c r="A143" s="347"/>
      <c r="B143" s="338"/>
      <c r="C143" s="178"/>
      <c r="D143" s="139"/>
      <c r="E143" s="339"/>
      <c r="F143" s="340"/>
      <c r="G143" s="32"/>
      <c r="H143" s="22"/>
      <c r="I143" s="139"/>
      <c r="J143" s="178"/>
      <c r="K143" s="49"/>
      <c r="L143" s="178"/>
      <c r="M143" s="341"/>
      <c r="N143" s="342"/>
      <c r="O143" s="341"/>
      <c r="P143" s="342"/>
      <c r="Q143" s="341"/>
      <c r="R143" s="343"/>
      <c r="S143" s="344"/>
      <c r="T143" s="344"/>
      <c r="U143" s="345"/>
      <c r="V143" s="232"/>
      <c r="W143" s="345"/>
      <c r="X143" s="258"/>
      <c r="Y143" s="232"/>
      <c r="Z143" s="228"/>
      <c r="AA143" s="232" t="str">
        <f t="shared" si="68"/>
        <v/>
      </c>
      <c r="AB143" s="233"/>
      <c r="AC143" s="233"/>
      <c r="AD143" s="346"/>
      <c r="AE143" s="93"/>
      <c r="AG143" s="239"/>
      <c r="AH143" s="244"/>
      <c r="AI143" s="241" t="str">
        <f t="shared" si="74"/>
        <v/>
      </c>
    </row>
    <row r="144" spans="1:35" ht="16.5" thickBot="1"/>
    <row r="145" spans="1:35" ht="16.5" thickBot="1">
      <c r="A145" s="128"/>
      <c r="B145" s="128"/>
      <c r="C145" s="166" t="s">
        <v>20</v>
      </c>
      <c r="D145" s="376" t="s">
        <v>21</v>
      </c>
      <c r="E145" s="376"/>
      <c r="F145" s="377"/>
      <c r="G145" s="46"/>
      <c r="H145" s="68"/>
      <c r="I145" s="356" t="s">
        <v>14</v>
      </c>
      <c r="J145" s="357"/>
      <c r="K145" s="357"/>
      <c r="L145" s="357"/>
      <c r="M145" s="357"/>
      <c r="N145" s="358"/>
      <c r="O145" s="362" t="s">
        <v>7</v>
      </c>
      <c r="P145" s="363"/>
      <c r="Q145" s="362" t="s">
        <v>109</v>
      </c>
      <c r="R145" s="363"/>
      <c r="S145" s="1"/>
      <c r="T145" s="1"/>
      <c r="U145" s="140"/>
      <c r="V145" s="1"/>
      <c r="X145" s="11"/>
      <c r="Y145" s="11"/>
      <c r="Z145" s="11"/>
      <c r="AA145" s="11"/>
      <c r="AB145" s="11"/>
      <c r="AC145" s="11"/>
      <c r="AD145" s="11"/>
      <c r="AG145" s="11"/>
      <c r="AH145" s="11"/>
      <c r="AI145" s="11"/>
    </row>
    <row r="146" spans="1:35" ht="16.5" thickBot="1">
      <c r="A146" s="128"/>
      <c r="B146" s="128"/>
      <c r="C146" s="167" t="s">
        <v>109</v>
      </c>
      <c r="D146" s="354" t="s">
        <v>111</v>
      </c>
      <c r="E146" s="354"/>
      <c r="F146" s="355"/>
      <c r="G146" s="46"/>
      <c r="H146" s="46"/>
      <c r="I146" s="356" t="s">
        <v>19</v>
      </c>
      <c r="J146" s="357"/>
      <c r="K146" s="357"/>
      <c r="L146" s="358"/>
      <c r="M146" s="105">
        <f t="shared" ref="M146:M151" ca="1" si="89">N146/$N$146</f>
        <v>1</v>
      </c>
      <c r="N146" s="106">
        <f ca="1">SUM($N$147:$N$151)</f>
        <v>140</v>
      </c>
      <c r="O146" s="102" t="s">
        <v>15</v>
      </c>
      <c r="P146" s="103" t="s">
        <v>16</v>
      </c>
      <c r="Q146" s="105">
        <f ca="1">R146/$R$146</f>
        <v>1</v>
      </c>
      <c r="R146" s="220">
        <f ca="1">SUM(R147:R150)</f>
        <v>123</v>
      </c>
      <c r="S146" s="1"/>
      <c r="T146" s="1"/>
      <c r="U146" s="140"/>
      <c r="V146" s="1"/>
      <c r="X146" s="11"/>
      <c r="Y146" s="11"/>
      <c r="Z146" s="11"/>
      <c r="AA146" s="11"/>
      <c r="AB146" s="11"/>
      <c r="AC146" s="11"/>
      <c r="AD146" s="11"/>
      <c r="AG146" s="11"/>
      <c r="AH146" s="11"/>
      <c r="AI146" s="11"/>
    </row>
    <row r="147" spans="1:35">
      <c r="A147" s="128"/>
      <c r="B147" s="128"/>
      <c r="C147" s="167" t="s">
        <v>22</v>
      </c>
      <c r="D147" s="354" t="s">
        <v>23</v>
      </c>
      <c r="E147" s="354"/>
      <c r="F147" s="355"/>
      <c r="G147" s="70"/>
      <c r="H147" s="6"/>
      <c r="I147" s="379" t="s">
        <v>66</v>
      </c>
      <c r="J147" s="380"/>
      <c r="K147" s="380"/>
      <c r="L147" s="381"/>
      <c r="M147" s="107">
        <f t="shared" ca="1" si="89"/>
        <v>0.49285714285714288</v>
      </c>
      <c r="N147" s="108">
        <f>COUNTIF($I$7:$I$143,"A")</f>
        <v>69</v>
      </c>
      <c r="O147" s="100">
        <f ca="1">COUNTIFS($J$7:$J$143,"&lt;=21",$I$7:$I$143,"A")</f>
        <v>56</v>
      </c>
      <c r="P147" s="101">
        <f ca="1">COUNTIFS($J$7:$J$143,"&gt;21",$I$7:$I$143,"A")</f>
        <v>12</v>
      </c>
      <c r="Q147" s="107">
        <f ca="1">R147/$R$146</f>
        <v>0.4065040650406504</v>
      </c>
      <c r="R147" s="108">
        <f>COUNTIF($R$7:$R$143,"A")</f>
        <v>50</v>
      </c>
      <c r="S147" s="1"/>
      <c r="T147" s="1"/>
      <c r="U147" s="140"/>
      <c r="V147" s="1"/>
      <c r="X147" s="11"/>
      <c r="Y147" s="11"/>
      <c r="Z147" s="11"/>
      <c r="AA147" s="11"/>
      <c r="AB147" s="11"/>
      <c r="AC147" s="11"/>
      <c r="AD147" s="11"/>
      <c r="AG147" s="11"/>
      <c r="AH147" s="11"/>
      <c r="AI147" s="11"/>
    </row>
    <row r="148" spans="1:35">
      <c r="A148" s="128"/>
      <c r="B148" s="128"/>
      <c r="C148" s="167" t="s">
        <v>24</v>
      </c>
      <c r="D148" s="354" t="s">
        <v>25</v>
      </c>
      <c r="E148" s="354"/>
      <c r="F148" s="355"/>
      <c r="H148" s="6"/>
      <c r="I148" s="382" t="s">
        <v>67</v>
      </c>
      <c r="J148" s="383"/>
      <c r="K148" s="383"/>
      <c r="L148" s="384"/>
      <c r="M148" s="109">
        <f t="shared" ca="1" si="89"/>
        <v>0.1</v>
      </c>
      <c r="N148" s="110">
        <f>COUNTIF($I$7:$I$143,"B")</f>
        <v>14</v>
      </c>
      <c r="O148" s="98">
        <f ca="1">COUNTIFS($J$7:$J$143,"&lt;=21",$I$7:$I$143,"B")</f>
        <v>7</v>
      </c>
      <c r="P148" s="50">
        <f ca="1">COUNTIFS($J$7:$J$143,"&gt;21",$I$7:$I$143,"B")</f>
        <v>7</v>
      </c>
      <c r="Q148" s="109">
        <f t="shared" ref="Q148:Q150" ca="1" si="90">R148/$R$146</f>
        <v>7.3170731707317069E-2</v>
      </c>
      <c r="R148" s="110">
        <f>COUNTIF($R$7:$R$143,"B")</f>
        <v>9</v>
      </c>
      <c r="S148" s="1"/>
      <c r="T148" s="1"/>
      <c r="U148" s="140"/>
      <c r="V148" s="1"/>
      <c r="X148" s="11"/>
      <c r="Y148" s="11"/>
      <c r="Z148" s="11"/>
      <c r="AA148" s="11"/>
      <c r="AB148" s="11"/>
      <c r="AC148" s="11"/>
      <c r="AD148" s="11"/>
      <c r="AG148" s="11"/>
      <c r="AH148" s="11"/>
      <c r="AI148" s="11"/>
    </row>
    <row r="149" spans="1:35">
      <c r="A149" s="129"/>
      <c r="B149" s="129"/>
      <c r="C149" s="167" t="s">
        <v>26</v>
      </c>
      <c r="D149" s="354" t="s">
        <v>27</v>
      </c>
      <c r="E149" s="354"/>
      <c r="F149" s="355"/>
      <c r="G149" s="71"/>
      <c r="H149" s="6"/>
      <c r="I149" s="385" t="s">
        <v>68</v>
      </c>
      <c r="J149" s="386"/>
      <c r="K149" s="386"/>
      <c r="L149" s="387"/>
      <c r="M149" s="111">
        <f t="shared" ca="1" si="89"/>
        <v>0.19285714285714287</v>
      </c>
      <c r="N149" s="112">
        <f>COUNTIF($I$7:$I$143,"C")</f>
        <v>27</v>
      </c>
      <c r="O149" s="98">
        <f ca="1">COUNTIFS($J$7:$J$143,"&lt;=21",$I$7:$I$143,"C")</f>
        <v>13</v>
      </c>
      <c r="P149" s="50">
        <f ca="1">COUNTIFS($J$7:$J$143,"&gt;21",$I$7:$I$143,"C")</f>
        <v>14</v>
      </c>
      <c r="Q149" s="111">
        <f t="shared" ca="1" si="90"/>
        <v>0.13821138211382114</v>
      </c>
      <c r="R149" s="112">
        <f>COUNTIF($R$7:$R$143,"C")</f>
        <v>17</v>
      </c>
      <c r="S149" s="1"/>
      <c r="T149" s="1"/>
      <c r="U149" s="140"/>
      <c r="V149" s="1"/>
      <c r="X149" s="11"/>
      <c r="Y149" s="11"/>
      <c r="Z149" s="11"/>
      <c r="AA149" s="11"/>
      <c r="AB149" s="11"/>
      <c r="AC149" s="11"/>
      <c r="AD149" s="11"/>
      <c r="AG149" s="11"/>
      <c r="AH149" s="11"/>
      <c r="AI149" s="11"/>
    </row>
    <row r="150" spans="1:35">
      <c r="A150" s="129"/>
      <c r="B150" s="129"/>
      <c r="C150" s="168" t="s">
        <v>28</v>
      </c>
      <c r="D150" s="354" t="s">
        <v>29</v>
      </c>
      <c r="E150" s="354"/>
      <c r="F150" s="355"/>
      <c r="G150" s="72"/>
      <c r="I150" s="388" t="s">
        <v>70</v>
      </c>
      <c r="J150" s="389"/>
      <c r="K150" s="389"/>
      <c r="L150" s="390"/>
      <c r="M150" s="114">
        <f t="shared" ca="1" si="89"/>
        <v>0.10714285714285714</v>
      </c>
      <c r="N150" s="115">
        <f ca="1">SUM(O150:P150)</f>
        <v>15</v>
      </c>
      <c r="O150" s="98">
        <f ca="1">COUNTIFS($J$7:$J$143,"&lt;=21",$V$7:$V$143,"",$L$7:$L$143,"&lt;&gt;X")</f>
        <v>13</v>
      </c>
      <c r="P150" s="50">
        <f ca="1">COUNTIFS($J$7:$J$143,"&gt;21",$V$7:$V$143,"",$L$7:$L$143,"&lt;&gt;X")</f>
        <v>2</v>
      </c>
      <c r="Q150" s="114">
        <f t="shared" ca="1" si="90"/>
        <v>0.38211382113821141</v>
      </c>
      <c r="R150" s="115">
        <f ca="1">COUNTIFS($J$7:$J$143,"&gt;=0",$Q$7:$Q$143,"",$L$7:$L$143,"&lt;&gt;X")</f>
        <v>47</v>
      </c>
      <c r="S150" s="1" t="s">
        <v>10</v>
      </c>
      <c r="T150" s="1"/>
      <c r="U150" s="140"/>
      <c r="V150" s="1"/>
      <c r="X150" s="11"/>
      <c r="Y150" s="11"/>
      <c r="Z150" s="11"/>
      <c r="AA150" s="11"/>
      <c r="AB150" s="11"/>
      <c r="AC150" s="11"/>
      <c r="AD150" s="11"/>
      <c r="AG150" s="11"/>
      <c r="AH150" s="11"/>
      <c r="AI150" s="11"/>
    </row>
    <row r="151" spans="1:35" ht="16.5" thickBot="1">
      <c r="A151" s="129"/>
      <c r="B151" s="129"/>
      <c r="C151" s="168" t="s">
        <v>30</v>
      </c>
      <c r="D151" s="354" t="s">
        <v>31</v>
      </c>
      <c r="E151" s="354"/>
      <c r="F151" s="355"/>
      <c r="H151" s="6"/>
      <c r="I151" s="391" t="s">
        <v>71</v>
      </c>
      <c r="J151" s="392"/>
      <c r="K151" s="392"/>
      <c r="L151" s="393"/>
      <c r="M151" s="113">
        <f t="shared" ca="1" si="89"/>
        <v>0.10714285714285714</v>
      </c>
      <c r="N151" s="97">
        <f>COUNTIFS($L$7:$L$143,"X")</f>
        <v>15</v>
      </c>
      <c r="O151" s="99"/>
      <c r="P151" s="51"/>
      <c r="Q151" s="221"/>
      <c r="R151" s="222"/>
    </row>
    <row r="152" spans="1:35">
      <c r="A152" s="128"/>
      <c r="B152" s="128"/>
      <c r="C152" s="168" t="s">
        <v>32</v>
      </c>
      <c r="D152" s="354" t="s">
        <v>33</v>
      </c>
      <c r="E152" s="354"/>
      <c r="F152" s="355"/>
      <c r="H152" s="1" t="s">
        <v>11</v>
      </c>
    </row>
    <row r="153" spans="1:35">
      <c r="C153" s="167" t="s">
        <v>34</v>
      </c>
      <c r="D153" s="354" t="s">
        <v>35</v>
      </c>
      <c r="E153" s="354"/>
      <c r="F153" s="355"/>
      <c r="H153" s="13"/>
      <c r="I153" s="141"/>
      <c r="J153" s="141"/>
      <c r="K153" s="13"/>
      <c r="L153" s="141"/>
      <c r="M153" s="6"/>
      <c r="N153" s="6"/>
      <c r="O153" s="6"/>
      <c r="P153" s="6"/>
      <c r="Q153" s="6"/>
      <c r="S153" s="6"/>
      <c r="T153" s="1"/>
      <c r="U153" s="140"/>
      <c r="V153" s="1"/>
      <c r="W153" s="140"/>
      <c r="X153" s="1"/>
      <c r="Y153" s="1"/>
      <c r="Z153" s="1"/>
      <c r="AA153" s="1"/>
      <c r="AB153" s="1"/>
      <c r="AC153" s="1"/>
      <c r="AD153" s="1"/>
      <c r="AG153" s="160"/>
      <c r="AH153" s="1"/>
      <c r="AI153" s="1"/>
    </row>
    <row r="154" spans="1:35">
      <c r="C154" s="394" t="s">
        <v>75</v>
      </c>
      <c r="D154" s="350" t="s">
        <v>76</v>
      </c>
      <c r="E154" s="350"/>
      <c r="F154" s="351"/>
      <c r="H154" s="13"/>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ht="16.5" thickBot="1">
      <c r="C155" s="395"/>
      <c r="D155" s="352"/>
      <c r="E155" s="352"/>
      <c r="F155" s="353"/>
      <c r="H155" s="13"/>
      <c r="I155" s="141"/>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78" t="s">
        <v>41</v>
      </c>
      <c r="D157" s="378"/>
      <c r="E157" s="378"/>
      <c r="F157" s="378"/>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169" t="s">
        <v>8</v>
      </c>
      <c r="D158" s="396" t="s">
        <v>91</v>
      </c>
      <c r="E158" s="396"/>
      <c r="F158" s="396"/>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396" t="s">
        <v>92</v>
      </c>
      <c r="E159" s="396"/>
      <c r="F159" s="396"/>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396" t="s">
        <v>93</v>
      </c>
      <c r="E160" s="396"/>
      <c r="F160" s="396"/>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ht="16.5" thickBot="1">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C162" s="402" t="s">
        <v>96</v>
      </c>
      <c r="D162" s="403"/>
      <c r="E162" s="403"/>
      <c r="F162" s="404"/>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212" t="s">
        <v>81</v>
      </c>
      <c r="D163" s="405" t="s">
        <v>97</v>
      </c>
      <c r="E163" s="405"/>
      <c r="F163" s="406"/>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3" t="s">
        <v>82</v>
      </c>
      <c r="D164" s="397" t="s">
        <v>98</v>
      </c>
      <c r="E164" s="397"/>
      <c r="F164" s="398"/>
    </row>
    <row r="165" spans="3:35">
      <c r="C165" s="213" t="s">
        <v>83</v>
      </c>
      <c r="D165" s="397" t="s">
        <v>99</v>
      </c>
      <c r="E165" s="397"/>
      <c r="F165" s="398"/>
    </row>
    <row r="166" spans="3:35">
      <c r="C166" s="214" t="s">
        <v>84</v>
      </c>
      <c r="D166" s="397" t="s">
        <v>100</v>
      </c>
      <c r="E166" s="397"/>
      <c r="F166" s="398"/>
    </row>
    <row r="167" spans="3:35">
      <c r="C167" s="214" t="s">
        <v>85</v>
      </c>
      <c r="D167" s="397" t="s">
        <v>101</v>
      </c>
      <c r="E167" s="397"/>
      <c r="F167" s="398"/>
    </row>
    <row r="168" spans="3:35" ht="18.75">
      <c r="C168" s="214" t="s">
        <v>86</v>
      </c>
      <c r="D168" s="397" t="s">
        <v>102</v>
      </c>
      <c r="E168" s="397"/>
      <c r="F168" s="398"/>
    </row>
    <row r="169" spans="3:35" ht="18.75">
      <c r="C169" s="213" t="s">
        <v>87</v>
      </c>
      <c r="D169" s="397" t="s">
        <v>103</v>
      </c>
      <c r="E169" s="397"/>
      <c r="F169" s="398"/>
    </row>
    <row r="170" spans="3:35">
      <c r="C170" s="215" t="s">
        <v>88</v>
      </c>
      <c r="D170" s="399" t="s">
        <v>104</v>
      </c>
      <c r="E170" s="400"/>
      <c r="F170" s="401"/>
    </row>
    <row r="171" spans="3:35" ht="18.75">
      <c r="C171" s="215" t="s">
        <v>89</v>
      </c>
      <c r="D171" s="397" t="s">
        <v>105</v>
      </c>
      <c r="E171" s="397"/>
      <c r="F171" s="398"/>
    </row>
    <row r="172" spans="3:35">
      <c r="C172" s="213" t="s">
        <v>90</v>
      </c>
      <c r="D172" s="397" t="s">
        <v>106</v>
      </c>
      <c r="E172" s="397"/>
      <c r="F172" s="398"/>
    </row>
    <row r="173" spans="3:35" ht="16.5" thickBot="1">
      <c r="C173" s="216" t="s">
        <v>94</v>
      </c>
      <c r="D173" s="373" t="s">
        <v>107</v>
      </c>
      <c r="E173" s="374"/>
      <c r="F173" s="375"/>
    </row>
  </sheetData>
  <autoFilter ref="A6:AE143" xr:uid="{C724CDAB-378C-47DB-9F45-08EE3BFB6E8B}">
    <sortState xmlns:xlrd2="http://schemas.microsoft.com/office/spreadsheetml/2017/richdata2" ref="A7:AE69">
      <sortCondition ref="T6:T69"/>
    </sortState>
  </autoFilter>
  <mergeCells count="5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 ref="D172:F172"/>
    <mergeCell ref="D159:F159"/>
    <mergeCell ref="D160:F160"/>
    <mergeCell ref="D167:F167"/>
    <mergeCell ref="D168:F168"/>
    <mergeCell ref="D169:F169"/>
    <mergeCell ref="D170:F170"/>
    <mergeCell ref="D171:F171"/>
    <mergeCell ref="C162:F162"/>
    <mergeCell ref="D163:F163"/>
    <mergeCell ref="D164:F164"/>
    <mergeCell ref="D165:F165"/>
    <mergeCell ref="D166:F166"/>
    <mergeCell ref="D173:F173"/>
    <mergeCell ref="D145:F145"/>
    <mergeCell ref="C157:F157"/>
    <mergeCell ref="O145:P145"/>
    <mergeCell ref="I145:N145"/>
    <mergeCell ref="I147:L147"/>
    <mergeCell ref="I148:L148"/>
    <mergeCell ref="I149:L149"/>
    <mergeCell ref="I150:L150"/>
    <mergeCell ref="I151:L151"/>
    <mergeCell ref="C154:C155"/>
    <mergeCell ref="D147:F147"/>
    <mergeCell ref="D148:F148"/>
    <mergeCell ref="D149:F149"/>
    <mergeCell ref="D150:F150"/>
    <mergeCell ref="D158:F158"/>
    <mergeCell ref="B4:B5"/>
    <mergeCell ref="D154:F155"/>
    <mergeCell ref="D146:F146"/>
    <mergeCell ref="I146:L146"/>
    <mergeCell ref="AA4:AD4"/>
    <mergeCell ref="Q145:R145"/>
    <mergeCell ref="D151:F151"/>
    <mergeCell ref="D152:F152"/>
    <mergeCell ref="D153:F153"/>
    <mergeCell ref="S4:U4"/>
    <mergeCell ref="L4:L5"/>
    <mergeCell ref="Q4:R4"/>
    <mergeCell ref="K4:K5"/>
    <mergeCell ref="Y4:Z4"/>
  </mergeCells>
  <phoneticPr fontId="5" type="noConversion"/>
  <conditionalFormatting sqref="A7:AE143 AG7:AI143">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8" r:id="rId237" xr:uid="{8E310CD5-A28F-4463-BCF0-54C44E66ED53}"/>
    <hyperlink ref="C159" r:id="rId238" xr:uid="{5182D641-FE70-4AC5-A684-B03DCC409CD2}"/>
    <hyperlink ref="C160"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s>
  <pageMargins left="0.25" right="0.17" top="0.5" bottom="0.25" header="0.3" footer="0.3"/>
  <pageSetup paperSize="9" scale="28" orientation="landscape" horizontalDpi="300" verticalDpi="300" r:id="rId506"/>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53"/>
  <sheetViews>
    <sheetView zoomScale="85" zoomScaleNormal="85" zoomScaleSheetLayoutView="85" workbookViewId="0">
      <pane xSplit="5" ySplit="6" topLeftCell="V33" activePane="bottomRight" state="frozen"/>
      <selection pane="topRight" activeCell="D1" sqref="D1"/>
      <selection pane="bottomLeft" activeCell="A7" sqref="A7"/>
      <selection pane="bottomRight" activeCell="AD40" sqref="AD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46314</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408" t="s">
        <v>0</v>
      </c>
      <c r="B4" s="348" t="s">
        <v>515</v>
      </c>
      <c r="C4" s="414" t="s">
        <v>45</v>
      </c>
      <c r="D4" s="369" t="s">
        <v>46</v>
      </c>
      <c r="E4" s="412" t="s">
        <v>47</v>
      </c>
      <c r="F4" s="369" t="s">
        <v>4</v>
      </c>
      <c r="G4" s="410" t="s">
        <v>5</v>
      </c>
      <c r="H4" s="366" t="s">
        <v>48</v>
      </c>
      <c r="I4" s="366" t="s">
        <v>49</v>
      </c>
      <c r="J4" s="369" t="s">
        <v>78</v>
      </c>
      <c r="K4" s="366" t="s">
        <v>80</v>
      </c>
      <c r="L4" s="364" t="s">
        <v>53</v>
      </c>
      <c r="M4" s="365"/>
      <c r="N4" s="368" t="s">
        <v>55</v>
      </c>
      <c r="O4" s="365"/>
      <c r="P4" s="368" t="s">
        <v>72</v>
      </c>
      <c r="Q4" s="365"/>
      <c r="R4" s="364" t="s">
        <v>53</v>
      </c>
      <c r="S4" s="364"/>
      <c r="T4" s="365"/>
      <c r="U4" s="368" t="s">
        <v>55</v>
      </c>
      <c r="V4" s="364"/>
      <c r="W4" s="365"/>
      <c r="X4" s="371" t="s">
        <v>72</v>
      </c>
      <c r="Y4" s="417"/>
      <c r="Z4" s="371" t="s">
        <v>112</v>
      </c>
      <c r="AA4" s="360"/>
      <c r="AB4" s="360"/>
      <c r="AC4" s="361"/>
      <c r="AD4" s="369" t="s">
        <v>79</v>
      </c>
      <c r="AG4" s="236"/>
    </row>
    <row r="5" spans="1:35" ht="78.75">
      <c r="A5" s="409"/>
      <c r="B5" s="349"/>
      <c r="C5" s="415"/>
      <c r="D5" s="370"/>
      <c r="E5" s="413"/>
      <c r="F5" s="370"/>
      <c r="G5" s="411"/>
      <c r="H5" s="367"/>
      <c r="I5" s="367"/>
      <c r="J5" s="370"/>
      <c r="K5" s="367"/>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416"/>
      <c r="AG5" s="422" t="s">
        <v>119</v>
      </c>
      <c r="AH5" s="424" t="s">
        <v>120</v>
      </c>
      <c r="AI5" s="42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23"/>
      <c r="AH6" s="425"/>
      <c r="AI6" s="427"/>
    </row>
    <row r="7" spans="1:35" s="9" customFormat="1" ht="47.25">
      <c r="A7" s="33">
        <f t="shared" ref="A7:A40" si="0">A6+1</f>
        <v>1</v>
      </c>
      <c r="B7" s="33" t="str">
        <f t="shared" ref="B7:B33" si="1">MID(D7, FIND("-", D7) + 1, 4)</f>
        <v>5.10</v>
      </c>
      <c r="C7" s="164" t="s">
        <v>522</v>
      </c>
      <c r="D7" s="25" t="s">
        <v>519</v>
      </c>
      <c r="E7" s="174">
        <f t="shared" ref="E7:E40"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523</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_xlfn._xlws.FILTER($AG$7:$AG$4869,$K$7:$K$4869&lt;&gt;"X"),
_xlfn._xlws.FILTER($D$7:$D$4869,$K$7:$K$4869&lt;&gt;"X"),
"",
0,
-1
)</f>
        <v>0</v>
      </c>
      <c r="AI7" s="240" t="str">
        <f>IF($AH7,IF(OR($Q7="B",$Q7="C"),"YES",IF($Q7="",IF(OR($H7="B",$H7="C"),"YES",""),"")),"")</f>
        <v/>
      </c>
    </row>
    <row r="8" spans="1:35" s="9" customFormat="1" ht="94.5">
      <c r="A8" s="33">
        <f t="shared" si="0"/>
        <v>2</v>
      </c>
      <c r="B8" s="33" t="str">
        <f t="shared" si="1"/>
        <v>5.10</v>
      </c>
      <c r="C8" s="164" t="s">
        <v>527</v>
      </c>
      <c r="D8" s="25" t="s">
        <v>524</v>
      </c>
      <c r="E8" s="174">
        <f t="shared" si="2"/>
        <v>45562</v>
      </c>
      <c r="F8" s="31" t="s">
        <v>525</v>
      </c>
      <c r="G8" s="21" t="s">
        <v>526</v>
      </c>
      <c r="H8" s="138" t="s">
        <v>2</v>
      </c>
      <c r="I8" s="164">
        <f t="shared" si="3"/>
        <v>25</v>
      </c>
      <c r="J8" s="47">
        <f t="shared" ref="J8:J40"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42" si="5">IF(AND($Q8="",$H8=""),"",IF(OR($Q8="B",$Q8="C"),IF($Y8&lt;&gt;"",$Y8+7,IF($X8&lt;&gt;"",$X8+8,"")),IF($Q8="",IF(OR($H8="B",$H8="C"),IF($V8&lt;&gt;"",$V8+7,IF($U8&lt;&gt;"",$U8+8,""))),"")))</f>
        <v>45681</v>
      </c>
      <c r="AA8" s="229">
        <v>45850</v>
      </c>
      <c r="AB8" s="229" t="str">
        <f t="shared" ref="AB8:AB40" si="6">IF(OR($Q8="B",$Q8="C"),IF($Z8="","",IF($AA8="",IF($Z8&gt;=$I$1,"In progress","Not submit yet"),IF($Z8&gt;=$AA8,"Timely Response","Late Resubmission"))),"")</f>
        <v>Late Resubmission</v>
      </c>
      <c r="AC8" s="183">
        <f t="shared" ref="AC8:AC33" si="7">IF(AB8="Late Resubmission",IF(AA8="","",AA8-Z8),IF(AB8="Not submit yet",IF(Z8="","",$I$1-Z8),""))</f>
        <v>169</v>
      </c>
      <c r="AD8" s="92"/>
      <c r="AG8" s="238" t="str">
        <f t="shared" ref="AG8:AG40" si="8">IF(AND(RIGHT($D8,1)&gt;="A",RIGHT($D8,1)&lt;="Z"),LEFT($D8,LEN($D8)-1),$D8)</f>
        <v>LTIA-5.10-VIETUR-80000-RFA-SDS-0122</v>
      </c>
      <c r="AH8" s="243" t="b" cm="1">
        <f t="array" ref="AH8">$D8=_xlfn.XLOOKUP(
AG8,
_xlfn._xlws.FILTER($AG$7:$AG$4869,$K$7:$K$4869&lt;&gt;"X"),
_xlfn._xlws.FILTER($D$7:$D$4869,$K$7:$K$4869&lt;&gt;"X"),
"",
0,
-1
)</f>
        <v>0</v>
      </c>
      <c r="AI8" s="75" t="str">
        <f t="shared" ref="AI8:AI38" si="9">IF(
AND(
$AH8,
OR($Q8="B",$Q8="C")
),
"YES",
""
)</f>
        <v/>
      </c>
    </row>
    <row r="9" spans="1:35" s="9" customFormat="1" ht="110.25">
      <c r="A9" s="33">
        <f t="shared" si="0"/>
        <v>3</v>
      </c>
      <c r="B9" s="33" t="str">
        <f t="shared" si="1"/>
        <v>5.10</v>
      </c>
      <c r="C9" s="164" t="s">
        <v>531</v>
      </c>
      <c r="D9" s="25" t="s">
        <v>528</v>
      </c>
      <c r="E9" s="174">
        <f t="shared" si="2"/>
        <v>45608</v>
      </c>
      <c r="F9" s="31" t="s">
        <v>529</v>
      </c>
      <c r="G9" s="21" t="s">
        <v>530</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532</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_xlfn._xlws.FILTER($AG$7:$AG$4869,$K$7:$K$4869&lt;&gt;"X"),
_xlfn._xlws.FILTER($D$7:$D$4869,$K$7:$K$4869&lt;&gt;"X"),
"",
0,
-1
)</f>
        <v>0</v>
      </c>
      <c r="AI9" s="75" t="str">
        <f t="shared" si="9"/>
        <v/>
      </c>
    </row>
    <row r="10" spans="1:35" s="9" customFormat="1" ht="94.5">
      <c r="A10" s="33">
        <f t="shared" si="0"/>
        <v>4</v>
      </c>
      <c r="B10" s="33" t="str">
        <f t="shared" si="1"/>
        <v>5.10</v>
      </c>
      <c r="C10" s="164" t="s">
        <v>527</v>
      </c>
      <c r="D10" s="25" t="s">
        <v>533</v>
      </c>
      <c r="E10" s="174">
        <f t="shared" si="2"/>
        <v>45638</v>
      </c>
      <c r="F10" s="31" t="s">
        <v>534</v>
      </c>
      <c r="G10" s="21" t="s">
        <v>535</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_xlfn._xlws.FILTER($AG$7:$AG$4869,$K$7:$K$4869&lt;&gt;"X"),
_xlfn._xlws.FILTER($D$7:$D$4869,$K$7:$K$4869&lt;&gt;"X"),
"",
0,
-1
)</f>
        <v>0</v>
      </c>
      <c r="AI10" s="75" t="str">
        <f t="shared" si="9"/>
        <v/>
      </c>
    </row>
    <row r="11" spans="1:35" s="9" customFormat="1" ht="94.5">
      <c r="A11" s="33">
        <f t="shared" si="0"/>
        <v>5</v>
      </c>
      <c r="B11" s="33" t="str">
        <f t="shared" si="1"/>
        <v>5.10</v>
      </c>
      <c r="C11" s="164" t="s">
        <v>527</v>
      </c>
      <c r="D11" s="25" t="s">
        <v>536</v>
      </c>
      <c r="E11" s="174">
        <f t="shared" si="2"/>
        <v>45659</v>
      </c>
      <c r="F11" s="31" t="s">
        <v>537</v>
      </c>
      <c r="G11" s="21" t="s">
        <v>538</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523</v>
      </c>
      <c r="X11" s="230">
        <v>45721</v>
      </c>
      <c r="Y11" s="227">
        <v>45722</v>
      </c>
      <c r="Z11" s="29">
        <f t="shared" si="5"/>
        <v>45729</v>
      </c>
      <c r="AA11" s="229">
        <v>45861</v>
      </c>
      <c r="AB11" s="229" t="str">
        <f t="shared" si="6"/>
        <v>Late Resubmission</v>
      </c>
      <c r="AC11" s="183">
        <f t="shared" si="7"/>
        <v>132</v>
      </c>
      <c r="AD11" s="332" t="s">
        <v>539</v>
      </c>
      <c r="AG11" s="238" t="str">
        <f t="shared" si="8"/>
        <v>LTIA-5.10-VIETUR-80000-RFA-SDS-0197</v>
      </c>
      <c r="AH11" s="243" t="b" cm="1">
        <f t="array" ref="AH11">$D11=_xlfn.XLOOKUP(
AG11,
_xlfn._xlws.FILTER($AG$7:$AG$4869,$K$7:$K$4869&lt;&gt;"X"),
_xlfn._xlws.FILTER($D$7:$D$4869,$K$7:$K$4869&lt;&gt;"X"),
"",
0,
-1
)</f>
        <v>0</v>
      </c>
      <c r="AI11" s="75" t="str">
        <f t="shared" si="9"/>
        <v/>
      </c>
    </row>
    <row r="12" spans="1:35" s="58" customFormat="1" ht="78.75">
      <c r="A12" s="33">
        <f t="shared" si="0"/>
        <v>6</v>
      </c>
      <c r="B12" s="33" t="str">
        <f t="shared" si="1"/>
        <v>5.10</v>
      </c>
      <c r="C12" s="164" t="s">
        <v>543</v>
      </c>
      <c r="D12" s="25" t="s">
        <v>540</v>
      </c>
      <c r="E12" s="196">
        <f t="shared" si="2"/>
        <v>45720</v>
      </c>
      <c r="F12" s="31" t="s">
        <v>541</v>
      </c>
      <c r="G12" s="21" t="s">
        <v>542</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544</v>
      </c>
      <c r="X12" s="231">
        <v>45756</v>
      </c>
      <c r="Y12" s="235">
        <v>45756</v>
      </c>
      <c r="Z12" s="29">
        <f t="shared" si="5"/>
        <v>45763</v>
      </c>
      <c r="AA12" s="229"/>
      <c r="AB12" s="229" t="str">
        <f t="shared" ca="1" si="6"/>
        <v>Not submit yet</v>
      </c>
      <c r="AC12" s="183">
        <f t="shared" ca="1" si="7"/>
        <v>551</v>
      </c>
      <c r="AD12" s="92"/>
      <c r="AG12" s="238" t="str">
        <f t="shared" si="8"/>
        <v>LTIA-5.10-VIETUR-80000-RFA-SDS-0214</v>
      </c>
      <c r="AH12" s="243" t="b" cm="1">
        <f t="array" ref="AH12">$D12=_xlfn.XLOOKUP(
AG12,
_xlfn._xlws.FILTER($AG$7:$AG$4869,$K$7:$K$4869&lt;&gt;"X"),
_xlfn._xlws.FILTER($D$7:$D$4869,$K$7:$K$4869&lt;&gt;"X"),
"",
0,
-1
)</f>
        <v>1</v>
      </c>
      <c r="AI12" s="75" t="str">
        <f t="shared" si="9"/>
        <v>YES</v>
      </c>
    </row>
    <row r="13" spans="1:35" s="9" customFormat="1" ht="63">
      <c r="A13" s="33">
        <f t="shared" si="0"/>
        <v>7</v>
      </c>
      <c r="B13" s="33" t="str">
        <f t="shared" si="1"/>
        <v>5.10</v>
      </c>
      <c r="C13" s="137"/>
      <c r="D13" s="25" t="s">
        <v>545</v>
      </c>
      <c r="E13" s="196">
        <f t="shared" si="2"/>
        <v>45720</v>
      </c>
      <c r="F13" s="31" t="s">
        <v>546</v>
      </c>
      <c r="G13" s="21" t="s">
        <v>547</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_xlfn._xlws.FILTER($AG$7:$AG$4869,$K$7:$K$4869&lt;&gt;"X"),
_xlfn._xlws.FILTER($D$7:$D$4869,$K$7:$K$4869&lt;&gt;"X"),
"",
0,
-1
)</f>
        <v>0</v>
      </c>
      <c r="AI13" s="75" t="str">
        <f t="shared" si="9"/>
        <v/>
      </c>
    </row>
    <row r="14" spans="1:35" s="9" customFormat="1" ht="47.25">
      <c r="A14" s="33">
        <f t="shared" si="0"/>
        <v>8</v>
      </c>
      <c r="B14" s="33" t="str">
        <f t="shared" si="1"/>
        <v>5.10</v>
      </c>
      <c r="C14" s="137" t="s">
        <v>131</v>
      </c>
      <c r="D14" s="25" t="s">
        <v>548</v>
      </c>
      <c r="E14" s="174">
        <f t="shared" si="2"/>
        <v>45822</v>
      </c>
      <c r="F14" s="31" t="s">
        <v>549</v>
      </c>
      <c r="G14" s="21" t="s">
        <v>550</v>
      </c>
      <c r="H14" s="138" t="s">
        <v>2</v>
      </c>
      <c r="I14" s="164">
        <f t="shared" ref="I14:I40"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461</v>
      </c>
      <c r="AD14" s="92"/>
      <c r="AG14" s="238" t="str">
        <f t="shared" si="8"/>
        <v>LTIA-5.10-VIETUR-80000-RFA-SDS-0297</v>
      </c>
      <c r="AH14" s="243" t="b" cm="1">
        <f t="array" ref="AH14">$D14=_xlfn.XLOOKUP(
AG14,
_xlfn._xlws.FILTER($AG$7:$AG$4869,$K$7:$K$4869&lt;&gt;"X"),
_xlfn._xlws.FILTER($D$7:$D$4869,$K$7:$K$4869&lt;&gt;"X"),
"",
0,
-1
)</f>
        <v>1</v>
      </c>
      <c r="AI14" s="75" t="str">
        <f t="shared" si="9"/>
        <v>YES</v>
      </c>
    </row>
    <row r="15" spans="1:35" s="9" customFormat="1" ht="63">
      <c r="A15" s="33">
        <f t="shared" si="0"/>
        <v>9</v>
      </c>
      <c r="B15" s="33" t="str">
        <f t="shared" si="1"/>
        <v>5.10</v>
      </c>
      <c r="C15" s="137"/>
      <c r="D15" s="25" t="s">
        <v>551</v>
      </c>
      <c r="E15" s="174">
        <f t="shared" si="2"/>
        <v>45832</v>
      </c>
      <c r="F15" s="31" t="s">
        <v>552</v>
      </c>
      <c r="G15" s="21" t="s">
        <v>553</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554</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_xlfn._xlws.FILTER($AG$7:$AG$4869,$K$7:$K$4869&lt;&gt;"X"),
_xlfn._xlws.FILTER($D$7:$D$4869,$K$7:$K$4869&lt;&gt;"X"),
"",
0,
-1
)</f>
        <v>0</v>
      </c>
      <c r="AI15" s="75" t="str">
        <f t="shared" si="9"/>
        <v/>
      </c>
    </row>
    <row r="16" spans="1:35" s="9" customFormat="1" ht="63">
      <c r="A16" s="33">
        <f t="shared" si="0"/>
        <v>10</v>
      </c>
      <c r="B16" s="33" t="str">
        <f t="shared" si="1"/>
        <v>5.10</v>
      </c>
      <c r="C16" s="137" t="s">
        <v>556</v>
      </c>
      <c r="D16" s="25" t="s">
        <v>555</v>
      </c>
      <c r="E16" s="174">
        <f t="shared" si="2"/>
        <v>45873</v>
      </c>
      <c r="F16" s="31" t="s">
        <v>557</v>
      </c>
      <c r="G16" s="21" t="s">
        <v>558</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559</v>
      </c>
      <c r="X16" s="230">
        <v>45954</v>
      </c>
      <c r="Y16" s="227">
        <v>45957</v>
      </c>
      <c r="Z16" s="29">
        <f t="shared" si="5"/>
        <v>45964</v>
      </c>
      <c r="AA16" s="229"/>
      <c r="AB16" s="229" t="str">
        <f t="shared" ca="1" si="6"/>
        <v>Not submit yet</v>
      </c>
      <c r="AC16" s="183">
        <f t="shared" ca="1" si="7"/>
        <v>350</v>
      </c>
      <c r="AD16" s="92"/>
      <c r="AG16" s="238" t="str">
        <f t="shared" si="8"/>
        <v>LTIA-5.10-VIETUR-80000-RFA-SDS-0330</v>
      </c>
      <c r="AH16" s="243" t="b" cm="1">
        <f t="array" ref="AH16">$D16=_xlfn.XLOOKUP(
AG16,
_xlfn._xlws.FILTER($AG$7:$AG$4869,$K$7:$K$4869&lt;&gt;"X"),
_xlfn._xlws.FILTER($D$7:$D$4869,$K$7:$K$4869&lt;&gt;"X"),
"",
0,
-1
)</f>
        <v>1</v>
      </c>
      <c r="AI16" s="75" t="str">
        <f t="shared" si="9"/>
        <v>YES</v>
      </c>
    </row>
    <row r="17" spans="1:35" s="9" customFormat="1" ht="110.25">
      <c r="A17" s="33">
        <f t="shared" si="0"/>
        <v>11</v>
      </c>
      <c r="B17" s="33" t="str">
        <f t="shared" si="1"/>
        <v>5.10</v>
      </c>
      <c r="C17" s="164" t="s">
        <v>563</v>
      </c>
      <c r="D17" s="25" t="s">
        <v>560</v>
      </c>
      <c r="E17" s="174">
        <f t="shared" si="2"/>
        <v>45876</v>
      </c>
      <c r="F17" s="31" t="s">
        <v>561</v>
      </c>
      <c r="G17" s="21" t="s">
        <v>562</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559</v>
      </c>
      <c r="X17" s="230">
        <v>45954</v>
      </c>
      <c r="Y17" s="227">
        <v>45957</v>
      </c>
      <c r="Z17" s="29">
        <f t="shared" si="5"/>
        <v>45964</v>
      </c>
      <c r="AA17" s="229"/>
      <c r="AB17" s="229" t="str">
        <f t="shared" ca="1" si="6"/>
        <v>Not submit yet</v>
      </c>
      <c r="AC17" s="183">
        <f t="shared" ca="1" si="7"/>
        <v>350</v>
      </c>
      <c r="AD17" s="92"/>
      <c r="AG17" s="238" t="str">
        <f t="shared" si="8"/>
        <v>LTIA-5.10-VIETUR-80000-RFA-SDS-0122</v>
      </c>
      <c r="AH17" s="243" t="b" cm="1">
        <f t="array" ref="AH17">$D17=_xlfn.XLOOKUP(
AG17,
_xlfn._xlws.FILTER($AG$7:$AG$4869,$K$7:$K$4869&lt;&gt;"X"),
_xlfn._xlws.FILTER($D$7:$D$4869,$K$7:$K$4869&lt;&gt;"X"),
"",
0,
-1
)</f>
        <v>1</v>
      </c>
      <c r="AI17" s="75" t="str">
        <f t="shared" si="9"/>
        <v>YES</v>
      </c>
    </row>
    <row r="18" spans="1:35" s="9" customFormat="1" ht="47.25">
      <c r="A18" s="33">
        <f t="shared" si="0"/>
        <v>12</v>
      </c>
      <c r="B18" s="33" t="str">
        <f t="shared" si="1"/>
        <v>5.10</v>
      </c>
      <c r="C18" s="137" t="s">
        <v>556</v>
      </c>
      <c r="D18" s="25" t="s">
        <v>564</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559</v>
      </c>
      <c r="X18" s="230">
        <v>45954</v>
      </c>
      <c r="Y18" s="227">
        <v>45957</v>
      </c>
      <c r="Z18" s="29">
        <f t="shared" si="5"/>
        <v>45964</v>
      </c>
      <c r="AA18" s="229"/>
      <c r="AB18" s="229" t="str">
        <f t="shared" ca="1" si="6"/>
        <v>Not submit yet</v>
      </c>
      <c r="AC18" s="183">
        <f t="shared" ca="1" si="7"/>
        <v>350</v>
      </c>
      <c r="AD18" s="92"/>
      <c r="AG18" s="238" t="str">
        <f t="shared" si="8"/>
        <v>LTIA-5.10-VIETUR-80000-RFA-SDS-0080</v>
      </c>
      <c r="AH18" s="243" t="b" cm="1">
        <f t="array" ref="AH18">$D18=_xlfn.XLOOKUP(
AG18,
_xlfn._xlws.FILTER($AG$7:$AG$4869,$K$7:$K$4869&lt;&gt;"X"),
_xlfn._xlws.FILTER($D$7:$D$4869,$K$7:$K$4869&lt;&gt;"X"),
"",
0,
-1
)</f>
        <v>1</v>
      </c>
      <c r="AI18" s="75" t="str">
        <f t="shared" si="9"/>
        <v>YES</v>
      </c>
    </row>
    <row r="19" spans="1:35" s="9" customFormat="1" ht="47.25">
      <c r="A19" s="33">
        <f t="shared" si="0"/>
        <v>13</v>
      </c>
      <c r="B19" s="33" t="str">
        <f t="shared" si="1"/>
        <v>5.10</v>
      </c>
      <c r="C19" s="137" t="s">
        <v>556</v>
      </c>
      <c r="D19" s="25" t="s">
        <v>565</v>
      </c>
      <c r="E19" s="174">
        <f t="shared" si="2"/>
        <v>45887</v>
      </c>
      <c r="F19" s="31" t="s">
        <v>529</v>
      </c>
      <c r="G19" s="21" t="s">
        <v>530</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559</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_xlfn._xlws.FILTER($AG$7:$AG$4869,$K$7:$K$4869&lt;&gt;"X"),
_xlfn._xlws.FILTER($D$7:$D$4869,$K$7:$K$4869&lt;&gt;"X"),
"",
0,
-1
)</f>
        <v>0</v>
      </c>
      <c r="AI19" s="75" t="str">
        <f t="shared" si="9"/>
        <v/>
      </c>
    </row>
    <row r="20" spans="1:35" s="9" customFormat="1" ht="47.25">
      <c r="A20" s="33">
        <f t="shared" si="0"/>
        <v>14</v>
      </c>
      <c r="B20" s="33" t="str">
        <f t="shared" si="1"/>
        <v>5.10</v>
      </c>
      <c r="C20" s="137" t="s">
        <v>556</v>
      </c>
      <c r="D20" s="25" t="s">
        <v>566</v>
      </c>
      <c r="E20" s="174">
        <f t="shared" si="2"/>
        <v>45887</v>
      </c>
      <c r="F20" s="31" t="s">
        <v>534</v>
      </c>
      <c r="G20" s="21" t="s">
        <v>535</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559</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_xlfn._xlws.FILTER($AG$7:$AG$4869,$K$7:$K$4869&lt;&gt;"X"),
_xlfn._xlws.FILTER($D$7:$D$4869,$K$7:$K$4869&lt;&gt;"X"),
"",
0,
-1
)</f>
        <v>0</v>
      </c>
      <c r="AI20" s="75" t="str">
        <f t="shared" si="9"/>
        <v/>
      </c>
    </row>
    <row r="21" spans="1:35" s="9" customFormat="1" ht="47.25">
      <c r="A21" s="33">
        <f t="shared" si="0"/>
        <v>15</v>
      </c>
      <c r="B21" s="33" t="str">
        <f t="shared" si="1"/>
        <v>5.10</v>
      </c>
      <c r="C21" s="137" t="s">
        <v>556</v>
      </c>
      <c r="D21" s="25" t="s">
        <v>567</v>
      </c>
      <c r="E21" s="174">
        <f t="shared" si="2"/>
        <v>45887</v>
      </c>
      <c r="F21" s="31" t="s">
        <v>537</v>
      </c>
      <c r="G21" s="21" t="s">
        <v>538</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559</v>
      </c>
      <c r="X21" s="230">
        <v>45954</v>
      </c>
      <c r="Y21" s="227">
        <v>45957</v>
      </c>
      <c r="Z21" s="29">
        <f t="shared" si="5"/>
        <v>45964</v>
      </c>
      <c r="AA21" s="229">
        <v>45959</v>
      </c>
      <c r="AB21" s="229" t="str">
        <f t="shared" si="6"/>
        <v>Timely Response</v>
      </c>
      <c r="AC21" s="183" t="str">
        <f t="shared" si="7"/>
        <v/>
      </c>
      <c r="AD21" s="332" t="s">
        <v>568</v>
      </c>
      <c r="AG21" s="238" t="str">
        <f t="shared" si="8"/>
        <v>LTIA-5.10-VIETUR-80000-RFA-SDS-0197</v>
      </c>
      <c r="AH21" s="243" t="b" cm="1">
        <f t="array" ref="AH21">$D21=_xlfn.XLOOKUP(
AG21,
_xlfn._xlws.FILTER($AG$7:$AG$4869,$K$7:$K$4869&lt;&gt;"X"),
_xlfn._xlws.FILTER($D$7:$D$4869,$K$7:$K$4869&lt;&gt;"X"),
"",
0,
-1
)</f>
        <v>0</v>
      </c>
      <c r="AI21" s="75" t="str">
        <f t="shared" si="9"/>
        <v/>
      </c>
    </row>
    <row r="22" spans="1:35" s="9" customFormat="1" ht="63">
      <c r="A22" s="33">
        <f t="shared" si="0"/>
        <v>16</v>
      </c>
      <c r="B22" s="33" t="str">
        <f t="shared" si="1"/>
        <v>5.10</v>
      </c>
      <c r="C22" s="137" t="s">
        <v>571</v>
      </c>
      <c r="D22" s="25" t="s">
        <v>569</v>
      </c>
      <c r="E22" s="174">
        <f t="shared" si="2"/>
        <v>46009</v>
      </c>
      <c r="F22" s="31" t="s">
        <v>552</v>
      </c>
      <c r="G22" s="21" t="s">
        <v>570</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572</v>
      </c>
      <c r="X22" s="230">
        <v>45994</v>
      </c>
      <c r="Y22" s="227">
        <v>45995</v>
      </c>
      <c r="Z22" s="29" t="str">
        <f t="shared" si="5"/>
        <v/>
      </c>
      <c r="AA22" s="229"/>
      <c r="AB22" s="229" t="str">
        <f t="shared" si="6"/>
        <v/>
      </c>
      <c r="AC22" s="183" t="str">
        <f t="shared" si="7"/>
        <v/>
      </c>
      <c r="AD22" s="92" t="s">
        <v>886</v>
      </c>
      <c r="AG22" s="238" t="str">
        <f t="shared" si="8"/>
        <v>LTIA-5.10-VIETUR-80000-RFA-SDS-0310</v>
      </c>
      <c r="AH22" s="243" t="b" cm="1">
        <f t="array" ref="AH22">$D22=_xlfn.XLOOKUP(
AG22,
_xlfn._xlws.FILTER($AG$7:$AG$4869,$K$7:$K$4869&lt;&gt;"X"),
_xlfn._xlws.FILTER($D$7:$D$4869,$K$7:$K$4869&lt;&gt;"X"),
"",
0,
-1
)</f>
        <v>1</v>
      </c>
      <c r="AI22" s="75" t="str">
        <f t="shared" si="9"/>
        <v/>
      </c>
    </row>
    <row r="23" spans="1:35" s="9" customFormat="1" ht="47.25">
      <c r="A23" s="33">
        <f t="shared" si="0"/>
        <v>17</v>
      </c>
      <c r="B23" s="33" t="str">
        <f t="shared" si="1"/>
        <v>5.10</v>
      </c>
      <c r="C23" s="164" t="s">
        <v>576</v>
      </c>
      <c r="D23" s="25" t="s">
        <v>573</v>
      </c>
      <c r="E23" s="174">
        <f>IF($T23=0,$S23+22,$T23+21)</f>
        <v>45902</v>
      </c>
      <c r="F23" s="31" t="s">
        <v>574</v>
      </c>
      <c r="G23" s="21" t="s">
        <v>575</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559</v>
      </c>
      <c r="X23" s="230">
        <v>45954</v>
      </c>
      <c r="Y23" s="227">
        <v>45957</v>
      </c>
      <c r="Z23" s="29">
        <f t="shared" si="5"/>
        <v>45964</v>
      </c>
      <c r="AA23" s="229"/>
      <c r="AB23" s="229" t="str">
        <f t="shared" ca="1" si="6"/>
        <v>Not submit yet</v>
      </c>
      <c r="AC23" s="183">
        <f t="shared" ca="1" si="7"/>
        <v>350</v>
      </c>
      <c r="AD23" s="92"/>
      <c r="AG23" s="238" t="str">
        <f t="shared" si="8"/>
        <v>LTIA-5.10-VIETUR-80000-RFA-SDS-0350</v>
      </c>
      <c r="AH23" s="243" t="b" cm="1">
        <f t="array" ref="AH23">$D23=_xlfn.XLOOKUP(
AG23,
_xlfn._xlws.FILTER($AG$7:$AG$4869,$K$7:$K$4869&lt;&gt;"X"),
_xlfn._xlws.FILTER($D$7:$D$4869,$K$7:$K$4869&lt;&gt;"X"),
"",
0,
-1
)</f>
        <v>1</v>
      </c>
      <c r="AI23" s="75" t="str">
        <f t="shared" si="9"/>
        <v>YES</v>
      </c>
    </row>
    <row r="24" spans="1:35" s="9" customFormat="1" ht="78.75">
      <c r="A24" s="33">
        <f t="shared" si="0"/>
        <v>18</v>
      </c>
      <c r="B24" s="33" t="str">
        <f t="shared" si="1"/>
        <v>5.10</v>
      </c>
      <c r="C24" s="137" t="s">
        <v>131</v>
      </c>
      <c r="D24" s="25" t="s">
        <v>577</v>
      </c>
      <c r="E24" s="174">
        <f>IF($T24=0,$S24+22,$T24+21)</f>
        <v>45930</v>
      </c>
      <c r="F24" s="31" t="s">
        <v>578</v>
      </c>
      <c r="G24" s="21" t="s">
        <v>579</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559</v>
      </c>
      <c r="X24" s="230">
        <v>46153</v>
      </c>
      <c r="Y24" s="227">
        <v>45957</v>
      </c>
      <c r="Z24" s="29">
        <f t="shared" si="5"/>
        <v>45964</v>
      </c>
      <c r="AA24" s="229"/>
      <c r="AB24" s="229" t="str">
        <f t="shared" ca="1" si="6"/>
        <v>Not submit yet</v>
      </c>
      <c r="AC24" s="183">
        <f t="shared" ca="1" si="7"/>
        <v>350</v>
      </c>
      <c r="AD24" s="92"/>
      <c r="AG24" s="238" t="str">
        <f t="shared" si="8"/>
        <v>LTIA-5.10-VIETUR-80000-RFA-SDS-0140</v>
      </c>
      <c r="AH24" s="243" t="b" cm="1">
        <f t="array" ref="AH24">$D24=_xlfn.XLOOKUP(
AG24,
_xlfn._xlws.FILTER($AG$7:$AG$4869,$K$7:$K$4869&lt;&gt;"X"),
_xlfn._xlws.FILTER($D$7:$D$4869,$K$7:$K$4869&lt;&gt;"X"),
"",
0,
-1
)</f>
        <v>1</v>
      </c>
      <c r="AI24" s="75" t="str">
        <f t="shared" si="9"/>
        <v>YES</v>
      </c>
    </row>
    <row r="25" spans="1:35" s="9" customFormat="1" ht="63">
      <c r="A25" s="33">
        <f t="shared" si="0"/>
        <v>19</v>
      </c>
      <c r="B25" s="33" t="str">
        <f t="shared" si="1"/>
        <v>5.10</v>
      </c>
      <c r="C25" s="137"/>
      <c r="D25" s="25" t="s">
        <v>580</v>
      </c>
      <c r="E25" s="174">
        <f>IF($T25=0,$S25+22,$T25+21)</f>
        <v>45953</v>
      </c>
      <c r="F25" s="31" t="s">
        <v>546</v>
      </c>
      <c r="G25" s="21" t="s">
        <v>547</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581</v>
      </c>
      <c r="X25" s="230">
        <v>46029</v>
      </c>
      <c r="Y25" s="227">
        <v>46030</v>
      </c>
      <c r="Z25" s="29">
        <f t="shared" si="5"/>
        <v>46037</v>
      </c>
      <c r="AA25" s="229"/>
      <c r="AB25" s="229" t="str">
        <f t="shared" ca="1" si="6"/>
        <v>Not submit yet</v>
      </c>
      <c r="AC25" s="183">
        <f t="shared" ca="1" si="7"/>
        <v>277</v>
      </c>
      <c r="AD25" s="92" t="s">
        <v>887</v>
      </c>
      <c r="AG25" s="238" t="str">
        <f t="shared" si="8"/>
        <v>LTIA-5.10-VIETUR-80000-RFA-SDS-0222</v>
      </c>
      <c r="AH25" s="243" t="b" cm="1">
        <f t="array" ref="AH25">$D25=_xlfn.XLOOKUP(
AG25,
_xlfn._xlws.FILTER($AG$7:$AG$4869,$K$7:$K$4869&lt;&gt;"X"),
_xlfn._xlws.FILTER($D$7:$D$4869,$K$7:$K$4869&lt;&gt;"X"),
"",
0,
-1
)</f>
        <v>1</v>
      </c>
      <c r="AI25" s="75" t="str">
        <f t="shared" si="9"/>
        <v>YES</v>
      </c>
    </row>
    <row r="26" spans="1:35" s="9" customFormat="1" ht="47.25">
      <c r="A26" s="33">
        <f t="shared" si="0"/>
        <v>20</v>
      </c>
      <c r="B26" s="33" t="str">
        <f t="shared" si="1"/>
        <v>5.10</v>
      </c>
      <c r="C26" s="137" t="s">
        <v>195</v>
      </c>
      <c r="D26" s="25" t="s">
        <v>582</v>
      </c>
      <c r="E26" s="174">
        <f t="shared" si="2"/>
        <v>45953</v>
      </c>
      <c r="F26" s="31" t="s">
        <v>583</v>
      </c>
      <c r="G26" s="21" t="s">
        <v>584</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581</v>
      </c>
      <c r="X26" s="230">
        <v>45978</v>
      </c>
      <c r="Y26" s="227">
        <v>45979</v>
      </c>
      <c r="Z26" s="29">
        <f t="shared" si="5"/>
        <v>45986</v>
      </c>
      <c r="AA26" s="229"/>
      <c r="AB26" s="229" t="str">
        <f t="shared" ca="1" si="6"/>
        <v>Not submit yet</v>
      </c>
      <c r="AC26" s="183">
        <f t="shared" ca="1" si="7"/>
        <v>328</v>
      </c>
      <c r="AD26" s="92"/>
      <c r="AG26" s="238" t="str">
        <f t="shared" si="8"/>
        <v>LTIA-5.10-VIETUR-80000-RFA-SDS-0371</v>
      </c>
      <c r="AH26" s="243" t="b" cm="1">
        <f t="array" ref="AH26">$D26=_xlfn.XLOOKUP(
AG26,
_xlfn._xlws.FILTER($AG$7:$AG$4869,$K$7:$K$4869&lt;&gt;"X"),
_xlfn._xlws.FILTER($D$7:$D$4869,$K$7:$K$4869&lt;&gt;"X"),
"",
0,
-1
)</f>
        <v>1</v>
      </c>
      <c r="AI26" s="75" t="str">
        <f t="shared" si="9"/>
        <v>YES</v>
      </c>
    </row>
    <row r="27" spans="1:35" s="9" customFormat="1" ht="47.25">
      <c r="A27" s="33">
        <f t="shared" si="0"/>
        <v>21</v>
      </c>
      <c r="B27" s="33" t="str">
        <f t="shared" si="1"/>
        <v>5.10</v>
      </c>
      <c r="C27" s="137" t="s">
        <v>131</v>
      </c>
      <c r="D27" s="25" t="s">
        <v>585</v>
      </c>
      <c r="E27" s="174">
        <f t="shared" si="2"/>
        <v>45982</v>
      </c>
      <c r="F27" s="31" t="s">
        <v>537</v>
      </c>
      <c r="G27" s="21" t="s">
        <v>538</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c r="AB27" s="229" t="str">
        <f t="shared" ca="1" si="6"/>
        <v>Not submit yet</v>
      </c>
      <c r="AC27" s="183">
        <f t="shared" ca="1" si="7"/>
        <v>308</v>
      </c>
      <c r="AD27" s="92"/>
      <c r="AG27" s="238" t="str">
        <f t="shared" si="8"/>
        <v>LTIA-5.10-VIETUR-80000-RFA-SDS-0197</v>
      </c>
      <c r="AH27" s="243" t="b" cm="1">
        <f t="array" ref="AH27">$D27=_xlfn.XLOOKUP(
AG27,
_xlfn._xlws.FILTER($AG$7:$AG$4869,$K$7:$K$4869&lt;&gt;"X"),
_xlfn._xlws.FILTER($D$7:$D$4869,$K$7:$K$4869&lt;&gt;"X"),
"",
0,
-1
)</f>
        <v>1</v>
      </c>
      <c r="AI27" s="75" t="str">
        <f t="shared" si="9"/>
        <v>YES</v>
      </c>
    </row>
    <row r="28" spans="1:35" s="9" customFormat="1" ht="63">
      <c r="A28" s="33">
        <f t="shared" si="0"/>
        <v>22</v>
      </c>
      <c r="B28" s="33" t="str">
        <f t="shared" si="1"/>
        <v>5.10</v>
      </c>
      <c r="C28" s="137" t="s">
        <v>197</v>
      </c>
      <c r="D28" s="25" t="s">
        <v>586</v>
      </c>
      <c r="E28" s="174">
        <f t="shared" si="2"/>
        <v>45987</v>
      </c>
      <c r="F28" s="31" t="s">
        <v>587</v>
      </c>
      <c r="G28" s="21" t="s">
        <v>588</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_xlfn._xlws.FILTER($AG$7:$AG$4869,$K$7:$K$4869&lt;&gt;"X"),
_xlfn._xlws.FILTER($D$7:$D$4869,$K$7:$K$4869&lt;&gt;"X"),
"",
0,
-1
)</f>
        <v>1</v>
      </c>
      <c r="AI28" s="75" t="str">
        <f t="shared" si="9"/>
        <v>YES</v>
      </c>
    </row>
    <row r="29" spans="1:35" s="9" customFormat="1" ht="47.25">
      <c r="A29" s="33">
        <f t="shared" si="0"/>
        <v>23</v>
      </c>
      <c r="B29" s="33" t="str">
        <f t="shared" si="1"/>
        <v>5.10</v>
      </c>
      <c r="C29" s="137" t="s">
        <v>180</v>
      </c>
      <c r="D29" s="25" t="s">
        <v>589</v>
      </c>
      <c r="E29" s="174">
        <f>IF($T29=0,$S29+22,$T29+21)</f>
        <v>46035</v>
      </c>
      <c r="F29" s="31" t="s">
        <v>590</v>
      </c>
      <c r="G29" s="21" t="s">
        <v>591</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1004</v>
      </c>
      <c r="AG29" s="238" t="str">
        <f t="shared" si="8"/>
        <v>LTIA-5.10-VIETUR-80000-RFA-SDS-0372</v>
      </c>
      <c r="AH29" s="243" t="b" cm="1">
        <f t="array" ref="AH29">$D29=_xlfn.XLOOKUP(
AG29,
_xlfn._xlws.FILTER($AG$7:$AG$4869,$K$7:$K$4869&lt;&gt;"X"),
_xlfn._xlws.FILTER($D$7:$D$4869,$K$7:$K$4869&lt;&gt;"X"),
"",
0,
-1
)</f>
        <v>1</v>
      </c>
      <c r="AI29" s="75" t="str">
        <f t="shared" si="9"/>
        <v/>
      </c>
    </row>
    <row r="30" spans="1:35" s="9" customFormat="1" ht="47.25">
      <c r="A30" s="33">
        <f t="shared" si="0"/>
        <v>24</v>
      </c>
      <c r="B30" s="33" t="str">
        <f t="shared" si="1"/>
        <v>5.10</v>
      </c>
      <c r="C30" s="137" t="s">
        <v>197</v>
      </c>
      <c r="D30" s="25" t="s">
        <v>592</v>
      </c>
      <c r="E30" s="174">
        <f t="shared" si="2"/>
        <v>45993</v>
      </c>
      <c r="F30" s="31" t="s">
        <v>534</v>
      </c>
      <c r="G30" s="21" t="s">
        <v>535</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308</v>
      </c>
      <c r="AD30" s="92" t="s">
        <v>593</v>
      </c>
      <c r="AG30" s="238" t="str">
        <f t="shared" si="8"/>
        <v>LTIA-5.10-VIETUR-80000-RFA-SDS-0160</v>
      </c>
      <c r="AH30" s="243" t="b" cm="1">
        <f t="array" ref="AH30">$D30=_xlfn.XLOOKUP(
AG30,
_xlfn._xlws.FILTER($AG$7:$AG$4869,$K$7:$K$4869&lt;&gt;"X"),
_xlfn._xlws.FILTER($D$7:$D$4869,$K$7:$K$4869&lt;&gt;"X"),
"",
0,
-1
)</f>
        <v>1</v>
      </c>
      <c r="AI30" s="75" t="str">
        <f t="shared" si="9"/>
        <v>YES</v>
      </c>
    </row>
    <row r="31" spans="1:35" s="9" customFormat="1" ht="63">
      <c r="A31" s="33">
        <f t="shared" si="0"/>
        <v>25</v>
      </c>
      <c r="B31" s="33" t="str">
        <f t="shared" si="1"/>
        <v>5.10</v>
      </c>
      <c r="C31" s="137" t="s">
        <v>144</v>
      </c>
      <c r="D31" s="25" t="s">
        <v>594</v>
      </c>
      <c r="E31" s="174">
        <f>IF($T31=0,$S31+22,$T31+21)</f>
        <v>46162</v>
      </c>
      <c r="F31" s="31" t="s">
        <v>595</v>
      </c>
      <c r="G31" s="21" t="s">
        <v>596</v>
      </c>
      <c r="H31" s="138" t="s">
        <v>1</v>
      </c>
      <c r="I31" s="164">
        <f ca="1">IF(ISBLANK($V31),_xlfn.DAYS($I$1,$T31),_xlfn.DAYS($V31,$T31))</f>
        <v>173</v>
      </c>
      <c r="J31" s="47">
        <f t="shared" ca="1" si="4"/>
        <v>152</v>
      </c>
      <c r="K31" s="164"/>
      <c r="L31" s="54" t="s">
        <v>8</v>
      </c>
      <c r="M31" s="65" t="s">
        <v>8</v>
      </c>
      <c r="N31" s="40"/>
      <c r="O31" s="41"/>
      <c r="P31" s="40"/>
      <c r="Q31" s="155"/>
      <c r="R31" s="27">
        <v>46014</v>
      </c>
      <c r="S31" s="27">
        <v>46014</v>
      </c>
      <c r="T31" s="188">
        <v>46141</v>
      </c>
      <c r="U31" s="29"/>
      <c r="V31" s="188"/>
      <c r="W31" s="227"/>
      <c r="X31" s="230"/>
      <c r="Y31" s="227"/>
      <c r="Z31" s="29" t="str">
        <f t="shared" si="5"/>
        <v/>
      </c>
      <c r="AA31" s="229"/>
      <c r="AB31" s="229" t="str">
        <f t="shared" si="6"/>
        <v/>
      </c>
      <c r="AC31" s="183" t="str">
        <f t="shared" si="7"/>
        <v/>
      </c>
      <c r="AD31" s="92" t="s">
        <v>597</v>
      </c>
      <c r="AG31" s="238" t="str">
        <f t="shared" si="8"/>
        <v>LTIA-5.10-VIETUR-80000-RFA-SDS-0415</v>
      </c>
      <c r="AH31" s="243" t="b" cm="1">
        <f t="array" ref="AH31">$D31=_xlfn.XLOOKUP(
AG31,
_xlfn._xlws.FILTER($AG$7:$AG$4869,$K$7:$K$4869&lt;&gt;"X"),
_xlfn._xlws.FILTER($D$7:$D$4869,$K$7:$K$4869&lt;&gt;"X"),
"",
0,
-1
)</f>
        <v>1</v>
      </c>
      <c r="AI31" s="75" t="str">
        <f t="shared" si="9"/>
        <v/>
      </c>
    </row>
    <row r="32" spans="1:35" s="9" customFormat="1" ht="47.25">
      <c r="A32" s="33">
        <f t="shared" si="0"/>
        <v>26</v>
      </c>
      <c r="B32" s="33" t="str">
        <f t="shared" si="1"/>
        <v>5.10</v>
      </c>
      <c r="C32" s="164" t="s">
        <v>376</v>
      </c>
      <c r="D32" s="25" t="s">
        <v>598</v>
      </c>
      <c r="E32" s="174">
        <f t="shared" si="2"/>
        <v>46048</v>
      </c>
      <c r="F32" s="31" t="s">
        <v>599</v>
      </c>
      <c r="G32" s="21" t="s">
        <v>600</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601</v>
      </c>
      <c r="AG32" s="238" t="str">
        <f t="shared" si="8"/>
        <v>LTIA-5.10-VIETUR-80000-RFA-SDS-0417</v>
      </c>
      <c r="AH32" s="243" t="b" cm="1">
        <f t="array" ref="AH32">$D32=_xlfn.XLOOKUP(
AG32,
_xlfn._xlws.FILTER($AG$7:$AG$4869,$K$7:$K$4869&lt;&gt;"X"),
_xlfn._xlws.FILTER($D$7:$D$4869,$K$7:$K$4869&lt;&gt;"X"),
"",
0,
-1
)</f>
        <v>0</v>
      </c>
      <c r="AI32" s="75" t="str">
        <f t="shared" si="9"/>
        <v/>
      </c>
    </row>
    <row r="33" spans="1:35" s="9" customFormat="1" ht="47.25">
      <c r="A33" s="33">
        <f t="shared" si="0"/>
        <v>27</v>
      </c>
      <c r="B33" s="33" t="str">
        <f t="shared" si="1"/>
        <v>5.10</v>
      </c>
      <c r="C33" s="137"/>
      <c r="D33" s="25" t="s">
        <v>602</v>
      </c>
      <c r="E33" s="174">
        <f t="shared" si="2"/>
        <v>46100</v>
      </c>
      <c r="F33" s="31" t="s">
        <v>603</v>
      </c>
      <c r="G33" s="21" t="s">
        <v>604</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606</v>
      </c>
      <c r="X33" s="230"/>
      <c r="Y33" s="227"/>
      <c r="Z33" s="29">
        <f t="shared" si="5"/>
        <v>46106</v>
      </c>
      <c r="AA33" s="229"/>
      <c r="AB33" s="229" t="str">
        <f t="shared" si="6"/>
        <v/>
      </c>
      <c r="AC33" s="183" t="str">
        <f t="shared" si="7"/>
        <v/>
      </c>
      <c r="AD33" s="92" t="s">
        <v>605</v>
      </c>
      <c r="AG33" s="238" t="str">
        <f t="shared" si="8"/>
        <v>LTIA-5.10-VIETUR-80000-RFA-SDS-0428</v>
      </c>
      <c r="AH33" s="243" t="b" cm="1">
        <f t="array" ref="AH33">$D33=_xlfn.XLOOKUP(
AG33,
_xlfn._xlws.FILTER($AG$7:$AG$4869,$K$7:$K$4869&lt;&gt;"X"),
_xlfn._xlws.FILTER($D$7:$D$4869,$K$7:$K$4869&lt;&gt;"X"),
"",
0,
-1
)</f>
        <v>1</v>
      </c>
      <c r="AI33" s="75" t="str">
        <f t="shared" si="9"/>
        <v/>
      </c>
    </row>
    <row r="34" spans="1:35" s="9" customFormat="1" ht="78.75">
      <c r="A34" s="33">
        <f t="shared" si="0"/>
        <v>28</v>
      </c>
      <c r="B34" s="33" t="str">
        <f>MID(D34, FIND("-", D34) + 1, 4)</f>
        <v>5.11</v>
      </c>
      <c r="C34" s="164" t="s">
        <v>342</v>
      </c>
      <c r="D34" s="25" t="s">
        <v>909</v>
      </c>
      <c r="E34" s="174"/>
      <c r="F34" s="31" t="s">
        <v>910</v>
      </c>
      <c r="G34" s="21" t="s">
        <v>911</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917</v>
      </c>
      <c r="AG34" s="238" t="str">
        <f t="shared" si="8"/>
        <v>LTIA-5.11-LTICT-72020-RFA-SDS-0001</v>
      </c>
      <c r="AH34" s="243" t="b" cm="1">
        <f t="array" ref="AH34">$D34=_xlfn.XLOOKUP(
AG34,
_xlfn._xlws.FILTER($AG$7:$AG$4869,$K$7:$K$4869&lt;&gt;"X"),
_xlfn._xlws.FILTER($D$7:$D$4869,$K$7:$K$4869&lt;&gt;"X"),
"",
0,
-1
)</f>
        <v>0</v>
      </c>
      <c r="AI34" s="75" t="str">
        <f t="shared" si="9"/>
        <v/>
      </c>
    </row>
    <row r="35" spans="1:35" s="9" customFormat="1" ht="47.25">
      <c r="A35" s="33">
        <f t="shared" si="0"/>
        <v>29</v>
      </c>
      <c r="B35" s="33" t="str">
        <f t="shared" ref="B35" si="12">MID(D35, FIND("-", D35) + 1, 4)</f>
        <v>5.10</v>
      </c>
      <c r="C35" s="164" t="s">
        <v>197</v>
      </c>
      <c r="D35" s="25" t="s">
        <v>975</v>
      </c>
      <c r="E35" s="174">
        <f t="shared" si="2"/>
        <v>46325</v>
      </c>
      <c r="F35" s="31" t="s">
        <v>976</v>
      </c>
      <c r="G35" s="21" t="s">
        <v>600</v>
      </c>
      <c r="H35" s="138"/>
      <c r="I35" s="164">
        <f t="shared" ca="1" si="10"/>
        <v>10</v>
      </c>
      <c r="J35" s="47">
        <f t="shared" ca="1" si="4"/>
        <v>0</v>
      </c>
      <c r="K35" s="164"/>
      <c r="L35" s="54" t="s">
        <v>8</v>
      </c>
      <c r="M35" s="65"/>
      <c r="N35" s="40"/>
      <c r="O35" s="41"/>
      <c r="P35" s="40"/>
      <c r="Q35" s="155"/>
      <c r="R35" s="27">
        <v>46268</v>
      </c>
      <c r="S35" s="27">
        <v>46268</v>
      </c>
      <c r="T35" s="188">
        <v>46304</v>
      </c>
      <c r="U35" s="29"/>
      <c r="V35" s="188"/>
      <c r="W35" s="235"/>
      <c r="X35" s="230"/>
      <c r="Y35" s="227"/>
      <c r="Z35" s="29" t="str">
        <f t="shared" si="5"/>
        <v/>
      </c>
      <c r="AA35" s="229"/>
      <c r="AB35" s="229" t="str">
        <f t="shared" si="6"/>
        <v/>
      </c>
      <c r="AC35" s="183" t="str">
        <f t="shared" si="11"/>
        <v/>
      </c>
      <c r="AD35" s="92" t="s">
        <v>1068</v>
      </c>
      <c r="AG35" s="238" t="str">
        <f t="shared" si="8"/>
        <v>LTIA-5.10-VIETUR-80000-RFA-SDS-0417</v>
      </c>
      <c r="AH35" s="243" t="b" cm="1">
        <f t="array" ref="AH35">$D35=_xlfn.XLOOKUP(
AG35,
_xlfn._xlws.FILTER($AG$7:$AG$4869,$K$7:$K$4869&lt;&gt;"X"),
_xlfn._xlws.FILTER($D$7:$D$4869,$K$7:$K$4869&lt;&gt;"X"),
"",
0,
-1
)</f>
        <v>1</v>
      </c>
      <c r="AI35" s="75" t="str">
        <f t="shared" si="9"/>
        <v/>
      </c>
    </row>
    <row r="36" spans="1:35" s="9" customFormat="1" ht="47.25">
      <c r="A36" s="33">
        <f t="shared" si="0"/>
        <v>30</v>
      </c>
      <c r="B36" s="33" t="str">
        <f t="shared" ref="B36" si="13">MID(D36, FIND("-", D36) + 1, 4)</f>
        <v>5.10</v>
      </c>
      <c r="C36" s="164" t="s">
        <v>180</v>
      </c>
      <c r="D36" s="25" t="s">
        <v>589</v>
      </c>
      <c r="E36" s="174">
        <f t="shared" si="2"/>
        <v>46302</v>
      </c>
      <c r="F36" s="31" t="s">
        <v>984</v>
      </c>
      <c r="G36" s="21" t="s">
        <v>985</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1011</v>
      </c>
      <c r="AG36" s="238" t="str">
        <f t="shared" si="8"/>
        <v>LTIA-5.10-VIETUR-80000-RFA-SDS-0372</v>
      </c>
      <c r="AH36" s="243" t="b" cm="1">
        <f t="array" ref="AH36">$D36=_xlfn.XLOOKUP(
AG36,
_xlfn._xlws.FILTER($AG$7:$AG$4869,$K$7:$K$4869&lt;&gt;"X"),
_xlfn._xlws.FILTER($D$7:$D$4869,$K$7:$K$4869&lt;&gt;"X"),
"",
0,
-1
)</f>
        <v>1</v>
      </c>
      <c r="AI36" s="75" t="str">
        <f t="shared" si="9"/>
        <v/>
      </c>
    </row>
    <row r="37" spans="1:35" s="9" customFormat="1" ht="47.25">
      <c r="A37" s="33">
        <f t="shared" si="0"/>
        <v>31</v>
      </c>
      <c r="B37" s="33" t="str">
        <f t="shared" ref="B37" si="15">MID(D37, FIND("-", D37) + 1, 4)</f>
        <v>5.10</v>
      </c>
      <c r="C37" s="164"/>
      <c r="D37" s="25" t="s">
        <v>986</v>
      </c>
      <c r="E37" s="174">
        <f t="shared" si="2"/>
        <v>46302</v>
      </c>
      <c r="F37" s="31" t="s">
        <v>987</v>
      </c>
      <c r="G37" s="21" t="s">
        <v>988</v>
      </c>
      <c r="H37" s="138" t="s">
        <v>1</v>
      </c>
      <c r="I37" s="164">
        <f t="shared" ca="1" si="10"/>
        <v>33</v>
      </c>
      <c r="J37" s="47">
        <f t="shared" ca="1" si="4"/>
        <v>12</v>
      </c>
      <c r="K37" s="164"/>
      <c r="L37" s="54" t="s">
        <v>8</v>
      </c>
      <c r="M37" s="65"/>
      <c r="N37" s="40"/>
      <c r="O37" s="41"/>
      <c r="P37" s="40"/>
      <c r="Q37" s="155"/>
      <c r="R37" s="27">
        <v>46281</v>
      </c>
      <c r="S37" s="27">
        <v>46281</v>
      </c>
      <c r="T37" s="188">
        <v>46281</v>
      </c>
      <c r="U37" s="29"/>
      <c r="V37" s="188"/>
      <c r="W37" s="235" t="s">
        <v>240</v>
      </c>
      <c r="X37" s="230"/>
      <c r="Y37" s="227"/>
      <c r="Z37" s="29" t="str">
        <f t="shared" si="5"/>
        <v/>
      </c>
      <c r="AA37" s="229"/>
      <c r="AB37" s="229" t="str">
        <f t="shared" si="6"/>
        <v/>
      </c>
      <c r="AC37" s="183" t="str">
        <f t="shared" ref="AC37" si="16">IF(AB37="Late Resubmission",IF(AA37="","",AA37-Z37),IF(AB37="Not submit yet",IF(Z37="","",$I$1-Z37),""))</f>
        <v/>
      </c>
      <c r="AD37" s="92" t="s">
        <v>1025</v>
      </c>
      <c r="AG37" s="238" t="str">
        <f t="shared" si="8"/>
        <v>LTIA-5.10-VIETUR-80000-RFA-SDS-0484</v>
      </c>
      <c r="AH37" s="243" t="b" cm="1">
        <f t="array" ref="AH37">$D37=_xlfn.XLOOKUP(
AG37,
_xlfn._xlws.FILTER($AG$7:$AG$4869,$K$7:$K$4869&lt;&gt;"X"),
_xlfn._xlws.FILTER($D$7:$D$4869,$K$7:$K$4869&lt;&gt;"X"),
"",
0,
-1
)</f>
        <v>1</v>
      </c>
      <c r="AI37" s="75" t="str">
        <f t="shared" si="9"/>
        <v/>
      </c>
    </row>
    <row r="38" spans="1:35" s="9" customFormat="1" ht="47.25">
      <c r="A38" s="33">
        <f t="shared" si="0"/>
        <v>32</v>
      </c>
      <c r="B38" s="33" t="str">
        <f t="shared" ref="B38" si="17">MID(D38, FIND("-", D38) + 1, 4)</f>
        <v>5.11</v>
      </c>
      <c r="C38" s="164" t="s">
        <v>372</v>
      </c>
      <c r="D38" s="25" t="s">
        <v>989</v>
      </c>
      <c r="E38" s="174">
        <f t="shared" si="2"/>
        <v>46304</v>
      </c>
      <c r="F38" s="31" t="s">
        <v>990</v>
      </c>
      <c r="G38" s="21" t="s">
        <v>991</v>
      </c>
      <c r="H38" s="138" t="s">
        <v>1</v>
      </c>
      <c r="I38" s="164">
        <f t="shared" si="10"/>
        <v>21</v>
      </c>
      <c r="J38" s="47">
        <f t="shared" si="4"/>
        <v>0</v>
      </c>
      <c r="K38" s="164"/>
      <c r="L38" s="54" t="s">
        <v>8</v>
      </c>
      <c r="M38" s="65"/>
      <c r="N38" s="40" t="s">
        <v>8</v>
      </c>
      <c r="O38" s="41"/>
      <c r="P38" s="40"/>
      <c r="Q38" s="155"/>
      <c r="R38" s="27">
        <v>46283</v>
      </c>
      <c r="S38" s="27">
        <v>46283</v>
      </c>
      <c r="T38" s="188">
        <v>46283</v>
      </c>
      <c r="U38" s="29">
        <v>46304</v>
      </c>
      <c r="V38" s="188">
        <v>46304</v>
      </c>
      <c r="W38" s="235" t="s">
        <v>240</v>
      </c>
      <c r="X38" s="230"/>
      <c r="Y38" s="227"/>
      <c r="Z38" s="29">
        <f t="shared" si="5"/>
        <v>46311</v>
      </c>
      <c r="AA38" s="229"/>
      <c r="AB38" s="229" t="str">
        <f t="shared" si="6"/>
        <v/>
      </c>
      <c r="AC38" s="183" t="str">
        <f t="shared" ref="AC38" si="18">IF(AB38="Late Resubmission",IF(AA38="","",AA38-Z38),IF(AB38="Not submit yet",IF(Z38="","",$I$1-Z38),""))</f>
        <v/>
      </c>
      <c r="AD38" s="92" t="s">
        <v>1054</v>
      </c>
      <c r="AG38" s="238" t="str">
        <f t="shared" si="8"/>
        <v>LTIA-5.11-LTICT-72100-RFA-SDS-0001</v>
      </c>
      <c r="AH38" s="243" t="b" cm="1">
        <f t="array" ref="AH38">$D38=_xlfn.XLOOKUP(
AG38,
_xlfn._xlws.FILTER($AG$7:$AG$4869,$K$7:$K$4869&lt;&gt;"X"),
_xlfn._xlws.FILTER($D$7:$D$4869,$K$7:$K$4869&lt;&gt;"X"),
"",
0,
-1
)</f>
        <v>1</v>
      </c>
      <c r="AI38" s="75" t="str">
        <f t="shared" si="9"/>
        <v/>
      </c>
    </row>
    <row r="39" spans="1:35" s="9" customFormat="1" ht="63">
      <c r="A39" s="33">
        <f t="shared" si="0"/>
        <v>33</v>
      </c>
      <c r="B39" s="33" t="str">
        <f t="shared" ref="B39" si="19">MID(D39, FIND("-", D39) + 1, 4)</f>
        <v>5.10</v>
      </c>
      <c r="C39" s="164" t="s">
        <v>197</v>
      </c>
      <c r="D39" s="25" t="s">
        <v>992</v>
      </c>
      <c r="E39" s="174">
        <f t="shared" si="2"/>
        <v>46325</v>
      </c>
      <c r="F39" s="31" t="s">
        <v>993</v>
      </c>
      <c r="G39" s="21" t="s">
        <v>588</v>
      </c>
      <c r="H39" s="138"/>
      <c r="I39" s="164">
        <f t="shared" ca="1" si="10"/>
        <v>10</v>
      </c>
      <c r="J39" s="47">
        <f t="shared" ca="1" si="4"/>
        <v>0</v>
      </c>
      <c r="K39" s="164"/>
      <c r="L39" s="54" t="s">
        <v>8</v>
      </c>
      <c r="M39" s="65"/>
      <c r="N39" s="40"/>
      <c r="O39" s="41"/>
      <c r="P39" s="40"/>
      <c r="Q39" s="155"/>
      <c r="R39" s="27">
        <v>46268</v>
      </c>
      <c r="S39" s="27">
        <v>46268</v>
      </c>
      <c r="T39" s="188">
        <v>46304</v>
      </c>
      <c r="U39" s="29"/>
      <c r="V39" s="188"/>
      <c r="W39" s="235"/>
      <c r="X39" s="230"/>
      <c r="Y39" s="227"/>
      <c r="Z39" s="29" t="str">
        <f t="shared" si="5"/>
        <v/>
      </c>
      <c r="AA39" s="229"/>
      <c r="AB39" s="229" t="str">
        <f t="shared" si="6"/>
        <v/>
      </c>
      <c r="AC39" s="183" t="str">
        <f t="shared" ref="AC39" si="20">IF(AB39="Late Resubmission",IF(AA39="","",AA39-Z39),IF(AB39="Not submit yet",IF(Z39="","",$I$1-Z39),""))</f>
        <v/>
      </c>
      <c r="AD39" s="92" t="s">
        <v>1068</v>
      </c>
      <c r="AG39" s="238" t="str">
        <f t="shared" si="8"/>
        <v xml:space="preserve">  LTIA-5.10-VIETUR-80000-RFA-SDS-0394</v>
      </c>
      <c r="AH39" s="243" t="b" cm="1">
        <f t="array" ref="AH39">$D39=_xlfn.XLOOKUP(
AG39,
_xlfn._xlws.FILTER($AG$7:$AG$4869,$K$7:$K$4869&lt;&gt;"X"),
_xlfn._xlws.FILTER($D$7:$D$4869,$K$7:$K$4869&lt;&gt;"X"),
"",
0,
-1
)</f>
        <v>1</v>
      </c>
      <c r="AI39" s="75" t="str">
        <f>IF(AND($AH39,OR($Q39="B",$Q39="C")),"YES","")</f>
        <v/>
      </c>
    </row>
    <row r="40" spans="1:35" s="9" customFormat="1" ht="63">
      <c r="A40" s="33">
        <f t="shared" si="0"/>
        <v>34</v>
      </c>
      <c r="B40" s="33" t="str">
        <f t="shared" ref="B40" si="21">MID(D40, FIND("-", D40) + 1, 4)</f>
        <v>5.10</v>
      </c>
      <c r="C40" s="164"/>
      <c r="D40" s="25" t="s">
        <v>1059</v>
      </c>
      <c r="E40" s="174">
        <f t="shared" si="2"/>
        <v>46330</v>
      </c>
      <c r="F40" s="31" t="s">
        <v>1060</v>
      </c>
      <c r="G40" s="21" t="s">
        <v>1061</v>
      </c>
      <c r="H40" s="138"/>
      <c r="I40" s="164">
        <f t="shared" ca="1" si="10"/>
        <v>5</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2">IF(AB40="Late Resubmission",IF(AA40="","",AA40-Z40),IF(AB40="Not submit yet",IF(Z40="","",$I$1-Z40),""))</f>
        <v/>
      </c>
      <c r="AD40" s="92"/>
      <c r="AG40" s="238" t="str">
        <f t="shared" si="8"/>
        <v>LTIA-5.10-VIETUR-80000-RFA-SDS-0493</v>
      </c>
      <c r="AH40" s="243" t="b" cm="1">
        <f t="array" ref="AH40">$D40=_xlfn.XLOOKUP(
AG40,
_xlfn._xlws.FILTER($AG$7:$AG$4869,$K$7:$K$4869&lt;&gt;"X"),
_xlfn._xlws.FILTER($D$7:$D$4869,$K$7:$K$4869&lt;&gt;"X"),
"",
0,
-1
)</f>
        <v>1</v>
      </c>
      <c r="AI40" s="75" t="str">
        <f>IF(AND($AH40,OR($Q40="B",$Q40="C")),"YES","")</f>
        <v/>
      </c>
    </row>
    <row r="41" spans="1:35" s="9" customFormat="1">
      <c r="A41" s="23"/>
      <c r="B41" s="33"/>
      <c r="C41" s="137"/>
      <c r="D41" s="25"/>
      <c r="E41" s="174"/>
      <c r="F41" s="31"/>
      <c r="G41" s="21"/>
      <c r="H41" s="138"/>
      <c r="I41" s="177"/>
      <c r="J41" s="47"/>
      <c r="K41" s="164"/>
      <c r="L41" s="52"/>
      <c r="M41" s="66"/>
      <c r="N41" s="40"/>
      <c r="O41" s="37"/>
      <c r="P41" s="17"/>
      <c r="Q41" s="183"/>
      <c r="R41" s="27"/>
      <c r="S41" s="27"/>
      <c r="T41" s="187"/>
      <c r="U41" s="29"/>
      <c r="V41" s="188"/>
      <c r="W41" s="227"/>
      <c r="X41" s="230"/>
      <c r="Y41" s="227"/>
      <c r="Z41" s="29" t="str">
        <f t="shared" si="5"/>
        <v/>
      </c>
      <c r="AA41" s="229"/>
      <c r="AB41" s="229"/>
      <c r="AC41" s="19"/>
      <c r="AD41" s="92"/>
      <c r="AG41" s="238"/>
      <c r="AH41" s="243"/>
      <c r="AI41" s="75"/>
    </row>
    <row r="42" spans="1:35" s="9" customFormat="1" ht="16.5" thickBot="1">
      <c r="A42" s="24"/>
      <c r="B42" s="329"/>
      <c r="C42" s="165"/>
      <c r="D42" s="45"/>
      <c r="E42" s="175"/>
      <c r="F42" s="32"/>
      <c r="G42" s="22"/>
      <c r="H42" s="139"/>
      <c r="I42" s="178"/>
      <c r="J42" s="132"/>
      <c r="K42" s="199"/>
      <c r="L42" s="53"/>
      <c r="M42" s="67"/>
      <c r="N42" s="18"/>
      <c r="O42" s="38"/>
      <c r="P42" s="18"/>
      <c r="Q42" s="184"/>
      <c r="R42" s="44"/>
      <c r="S42" s="44"/>
      <c r="T42" s="189"/>
      <c r="U42" s="43"/>
      <c r="V42" s="194"/>
      <c r="W42" s="228"/>
      <c r="X42" s="232"/>
      <c r="Y42" s="228"/>
      <c r="Z42" s="43" t="str">
        <f t="shared" si="5"/>
        <v/>
      </c>
      <c r="AA42" s="233"/>
      <c r="AB42" s="233"/>
      <c r="AC42" s="20"/>
      <c r="AD42" s="93"/>
      <c r="AG42" s="239"/>
      <c r="AH42" s="244"/>
      <c r="AI42" s="241"/>
    </row>
    <row r="43" spans="1:35" ht="16.5" thickBot="1"/>
    <row r="44" spans="1:35" ht="16.5" thickBot="1">
      <c r="C44" s="166" t="s">
        <v>20</v>
      </c>
      <c r="D44" s="376" t="s">
        <v>21</v>
      </c>
      <c r="E44" s="377"/>
      <c r="F44" s="46"/>
      <c r="G44" s="46"/>
      <c r="H44" s="356" t="s">
        <v>14</v>
      </c>
      <c r="I44" s="357"/>
      <c r="J44" s="357"/>
      <c r="K44" s="357"/>
      <c r="L44" s="357"/>
      <c r="M44" s="358"/>
      <c r="N44" s="362" t="s">
        <v>7</v>
      </c>
      <c r="O44" s="363"/>
      <c r="P44" s="362" t="s">
        <v>109</v>
      </c>
      <c r="Q44" s="363"/>
      <c r="R44" s="1"/>
      <c r="S44" s="1"/>
      <c r="T44" s="140"/>
      <c r="U44" s="1"/>
      <c r="W44" s="11"/>
      <c r="X44" s="11"/>
      <c r="Y44" s="11"/>
      <c r="Z44" s="11"/>
      <c r="AA44" s="11"/>
      <c r="AB44" s="11"/>
      <c r="AC44" s="11"/>
      <c r="AG44" s="11"/>
      <c r="AH44" s="11"/>
      <c r="AI44" s="11"/>
    </row>
    <row r="45" spans="1:35" ht="16.5" thickBot="1">
      <c r="C45" s="195" t="s">
        <v>109</v>
      </c>
      <c r="D45" s="420" t="s">
        <v>111</v>
      </c>
      <c r="E45" s="421"/>
      <c r="F45" s="46"/>
      <c r="H45" s="356" t="s">
        <v>18</v>
      </c>
      <c r="I45" s="357"/>
      <c r="J45" s="357"/>
      <c r="K45" s="358"/>
      <c r="L45" s="105">
        <f ca="1">M45/$M$45</f>
        <v>1</v>
      </c>
      <c r="M45" s="106">
        <f ca="1">SUM($M$46:$M$50)</f>
        <v>36</v>
      </c>
      <c r="N45" s="102" t="s">
        <v>15</v>
      </c>
      <c r="O45" s="103" t="s">
        <v>16</v>
      </c>
      <c r="P45" s="105">
        <f ca="1">Q45/$Q$45</f>
        <v>1</v>
      </c>
      <c r="Q45" s="220">
        <f ca="1">SUM(Q46:Q49)</f>
        <v>32</v>
      </c>
      <c r="R45" s="1"/>
      <c r="S45" s="1"/>
      <c r="T45" s="140"/>
      <c r="U45" s="1"/>
      <c r="W45" s="11"/>
      <c r="X45" s="11"/>
      <c r="Y45" s="11"/>
      <c r="Z45" s="11"/>
      <c r="AA45" s="11"/>
      <c r="AB45" s="11"/>
      <c r="AC45" s="11"/>
      <c r="AG45" s="11"/>
      <c r="AH45" s="11"/>
      <c r="AI45" s="11"/>
    </row>
    <row r="46" spans="1:35">
      <c r="C46" s="195" t="s">
        <v>36</v>
      </c>
      <c r="D46" s="418" t="s">
        <v>37</v>
      </c>
      <c r="E46" s="419"/>
      <c r="F46" s="69"/>
      <c r="G46" s="6"/>
      <c r="H46" s="379" t="s">
        <v>66</v>
      </c>
      <c r="I46" s="380"/>
      <c r="J46" s="380"/>
      <c r="K46" s="381"/>
      <c r="L46" s="107">
        <f ca="1">M46/$M$45</f>
        <v>2.7777777777777776E-2</v>
      </c>
      <c r="M46" s="108">
        <f>COUNTIF($H$7:$H$42,"A")</f>
        <v>1</v>
      </c>
      <c r="N46" s="100">
        <f ca="1">COUNTIFS($I$7:$I$42,"&lt;=21",$H$7:$H$42,"A")</f>
        <v>1</v>
      </c>
      <c r="O46" s="101">
        <f ca="1">COUNTIFS($I$7:$I$42,"&gt;21",$H$7:$H$42,"A")</f>
        <v>0</v>
      </c>
      <c r="P46" s="107">
        <f ca="1">Q46/$Q$45</f>
        <v>3.125E-2</v>
      </c>
      <c r="Q46" s="108">
        <f>COUNTIF($Q$7:$Q$42,"A")</f>
        <v>1</v>
      </c>
      <c r="R46" s="1"/>
      <c r="S46" s="1"/>
      <c r="T46" s="140"/>
      <c r="U46" s="1"/>
      <c r="W46" s="11"/>
      <c r="X46" s="11"/>
      <c r="Y46" s="11"/>
      <c r="Z46" s="11"/>
      <c r="AA46" s="11"/>
      <c r="AB46" s="11"/>
      <c r="AC46" s="11"/>
      <c r="AG46" s="11"/>
      <c r="AH46" s="11"/>
      <c r="AI46" s="11"/>
    </row>
    <row r="47" spans="1:35">
      <c r="C47" s="394" t="s">
        <v>75</v>
      </c>
      <c r="D47" s="350" t="s">
        <v>76</v>
      </c>
      <c r="E47" s="351"/>
      <c r="F47" s="70"/>
      <c r="G47" s="6"/>
      <c r="H47" s="382" t="s">
        <v>67</v>
      </c>
      <c r="I47" s="383"/>
      <c r="J47" s="383"/>
      <c r="K47" s="384"/>
      <c r="L47" s="109">
        <f t="shared" ref="L47:L50" ca="1" si="23">M47/$M$45</f>
        <v>0.55555555555555558</v>
      </c>
      <c r="M47" s="110">
        <f>COUNTIF($H$7:$H$42,"B")</f>
        <v>20</v>
      </c>
      <c r="N47" s="98">
        <f ca="1">COUNTIFS($I$7:$I$42,"&lt;=21",$H$7:$H$42,"B")</f>
        <v>8</v>
      </c>
      <c r="O47" s="50">
        <f ca="1">COUNTIFS($I$7:$I$42,"&gt;21",$H$7:$H$42,"B")</f>
        <v>12</v>
      </c>
      <c r="P47" s="109">
        <f t="shared" ref="P47:P49" ca="1" si="24">Q47/$Q$45</f>
        <v>0.625</v>
      </c>
      <c r="Q47" s="110">
        <f>COUNTIF($Q$7:$Q$42,"B")</f>
        <v>20</v>
      </c>
      <c r="R47" s="1"/>
      <c r="S47" s="1"/>
      <c r="T47" s="140"/>
      <c r="U47" s="1"/>
      <c r="W47" s="11"/>
      <c r="X47" s="11"/>
      <c r="Y47" s="11"/>
      <c r="Z47" s="11"/>
      <c r="AA47" s="11"/>
      <c r="AB47" s="11"/>
      <c r="AC47" s="11"/>
      <c r="AG47" s="11"/>
      <c r="AH47" s="11"/>
      <c r="AI47" s="11"/>
    </row>
    <row r="48" spans="1:35" ht="16.5" thickBot="1">
      <c r="C48" s="395"/>
      <c r="D48" s="352"/>
      <c r="E48" s="353"/>
      <c r="F48" s="71"/>
      <c r="G48" s="6"/>
      <c r="H48" s="385" t="s">
        <v>68</v>
      </c>
      <c r="I48" s="386"/>
      <c r="J48" s="386"/>
      <c r="K48" s="387"/>
      <c r="L48" s="111">
        <f t="shared" ca="1" si="23"/>
        <v>0.22222222222222221</v>
      </c>
      <c r="M48" s="112">
        <f>COUNTIF($H$7:$H$42,"C")</f>
        <v>8</v>
      </c>
      <c r="N48" s="98">
        <f ca="1">COUNTIFS($I$7:$I$42,"&lt;=21",$H$7:$H$42,"C")</f>
        <v>3</v>
      </c>
      <c r="O48" s="50">
        <f ca="1">COUNTIFS($I$7:$I$42,"&gt;21",$H$7:$H$42,"C")</f>
        <v>5</v>
      </c>
      <c r="P48" s="111">
        <f t="shared" ca="1" si="24"/>
        <v>9.375E-2</v>
      </c>
      <c r="Q48" s="112">
        <f>COUNTIF($Q$7:$Q$42,"C")</f>
        <v>3</v>
      </c>
      <c r="R48" s="1"/>
      <c r="S48" s="1"/>
      <c r="T48" s="140"/>
      <c r="U48" s="1"/>
      <c r="W48" s="11"/>
      <c r="X48" s="11"/>
      <c r="Y48" s="11"/>
      <c r="Z48" s="11"/>
      <c r="AA48" s="11"/>
      <c r="AB48" s="11"/>
      <c r="AC48" s="11"/>
      <c r="AG48" s="11"/>
      <c r="AH48" s="11"/>
      <c r="AI48" s="11"/>
    </row>
    <row r="49" spans="3:35">
      <c r="F49" s="72"/>
      <c r="G49" s="6"/>
      <c r="H49" s="388" t="s">
        <v>70</v>
      </c>
      <c r="I49" s="389"/>
      <c r="J49" s="389"/>
      <c r="K49" s="390"/>
      <c r="L49" s="114">
        <f t="shared" ca="1" si="23"/>
        <v>0.1388888888888889</v>
      </c>
      <c r="M49" s="115">
        <f ca="1">SUM(N49:O49)</f>
        <v>5</v>
      </c>
      <c r="N49" s="98">
        <f ca="1">COUNTIFS($I$7:$I$42,"&lt;=21",$U$7:$U$42,"",$K$7:$K$42,"&lt;&gt;X")</f>
        <v>3</v>
      </c>
      <c r="O49" s="50">
        <f ca="1">COUNTIFS($I$7:$I$42,"&gt;21",$U$7:$U$42,"",$K$7:$K$42,"&lt;&gt;X")</f>
        <v>2</v>
      </c>
      <c r="P49" s="114">
        <f t="shared" ca="1" si="24"/>
        <v>0.25</v>
      </c>
      <c r="Q49" s="115">
        <f ca="1">COUNTIFS($I$7:$I$42,"&gt;=0",$P$7:$P$42,"",$K$7:$K$42,"&lt;&gt;X")</f>
        <v>8</v>
      </c>
      <c r="R49" s="1" t="s">
        <v>10</v>
      </c>
      <c r="S49" s="1"/>
      <c r="T49" s="140"/>
      <c r="U49" s="1"/>
      <c r="W49" s="11"/>
      <c r="X49" s="11"/>
      <c r="Y49" s="11"/>
      <c r="Z49" s="11"/>
      <c r="AA49" s="11"/>
      <c r="AB49" s="11"/>
      <c r="AC49" s="11"/>
      <c r="AG49" s="11"/>
      <c r="AH49" s="11"/>
      <c r="AI49" s="11"/>
    </row>
    <row r="50" spans="3:35" ht="16.5" thickBot="1">
      <c r="C50" s="378" t="s">
        <v>41</v>
      </c>
      <c r="D50" s="378"/>
      <c r="E50" s="378"/>
      <c r="H50" s="391" t="s">
        <v>71</v>
      </c>
      <c r="I50" s="392"/>
      <c r="J50" s="392"/>
      <c r="K50" s="393"/>
      <c r="L50" s="113">
        <f t="shared" ca="1" si="23"/>
        <v>5.5555555555555552E-2</v>
      </c>
      <c r="M50" s="97">
        <f>COUNTIFS($K$7:$K$42,"X")</f>
        <v>2</v>
      </c>
      <c r="N50" s="99"/>
      <c r="O50" s="51"/>
      <c r="P50" s="221"/>
      <c r="Q50" s="222"/>
    </row>
    <row r="51" spans="3:35">
      <c r="C51" s="169" t="s">
        <v>8</v>
      </c>
      <c r="D51" s="1" t="s">
        <v>42</v>
      </c>
    </row>
    <row r="52" spans="3:35">
      <c r="C52" s="169" t="s">
        <v>8</v>
      </c>
      <c r="D52" s="127" t="s">
        <v>43</v>
      </c>
    </row>
    <row r="53" spans="3:35">
      <c r="C53" s="169" t="s">
        <v>8</v>
      </c>
      <c r="D53" s="1" t="s">
        <v>44</v>
      </c>
    </row>
  </sheetData>
  <autoFilter ref="A6:AD34" xr:uid="{4D8E8261-1CEF-42DB-8488-C430D415EC88}">
    <sortState xmlns:xlrd2="http://schemas.microsoft.com/office/spreadsheetml/2017/richdata2" ref="A7:AD33">
      <sortCondition ref="S6:S33"/>
    </sortState>
  </autoFilter>
  <mergeCells count="37">
    <mergeCell ref="AG5:AG6"/>
    <mergeCell ref="AH5:AH6"/>
    <mergeCell ref="AI5:AI6"/>
    <mergeCell ref="H50:K50"/>
    <mergeCell ref="H45:K45"/>
    <mergeCell ref="N44:O44"/>
    <mergeCell ref="AD4:AD5"/>
    <mergeCell ref="H4:H5"/>
    <mergeCell ref="I4:I5"/>
    <mergeCell ref="L4:M4"/>
    <mergeCell ref="N4:O4"/>
    <mergeCell ref="R4:T4"/>
    <mergeCell ref="U4:W4"/>
    <mergeCell ref="K4:K5"/>
    <mergeCell ref="P4:Q4"/>
    <mergeCell ref="J4:J5"/>
    <mergeCell ref="D46:E46"/>
    <mergeCell ref="C50:E50"/>
    <mergeCell ref="H46:K46"/>
    <mergeCell ref="H47:K47"/>
    <mergeCell ref="H44:M44"/>
    <mergeCell ref="H48:K48"/>
    <mergeCell ref="H49:K49"/>
    <mergeCell ref="C47:C48"/>
    <mergeCell ref="D47:E48"/>
    <mergeCell ref="D45:E45"/>
    <mergeCell ref="P44:Q44"/>
    <mergeCell ref="X4:Y4"/>
    <mergeCell ref="Z4:AC4"/>
    <mergeCell ref="A4:A5"/>
    <mergeCell ref="D4:D5"/>
    <mergeCell ref="E4:E5"/>
    <mergeCell ref="F4:F5"/>
    <mergeCell ref="G4:G5"/>
    <mergeCell ref="C4:C5"/>
    <mergeCell ref="D44:E44"/>
    <mergeCell ref="B4:B5"/>
  </mergeCells>
  <phoneticPr fontId="5" type="noConversion"/>
  <conditionalFormatting sqref="A7:AD42 AG7:AI42">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1" r:id="rId103" xr:uid="{BDBBB1AA-41DD-4769-B198-E0D4B6B569E2}"/>
    <hyperlink ref="C52" r:id="rId104" xr:uid="{174B2EE8-A853-4328-A727-C5D3FC38F2B6}"/>
    <hyperlink ref="C53"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s>
  <pageMargins left="0.25" right="0.17" top="0.5" bottom="0.25" header="0.3" footer="0.3"/>
  <pageSetup paperSize="9" scale="29" orientation="landscape" horizontalDpi="300" verticalDpi="300" r:id="rId14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3"/>
  <sheetViews>
    <sheetView tabSelected="1" zoomScale="85" zoomScaleNormal="85" zoomScaleSheetLayoutView="85" workbookViewId="0">
      <pane xSplit="5" ySplit="6" topLeftCell="M123" activePane="bottomRight" state="frozen"/>
      <selection pane="topRight" activeCell="D1" sqref="D1"/>
      <selection pane="bottomLeft" activeCell="A7" sqref="A7"/>
      <selection pane="bottomRight" activeCell="N125" sqref="N125"/>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46314</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48" t="s">
        <v>0</v>
      </c>
      <c r="B4" s="348" t="s">
        <v>515</v>
      </c>
      <c r="C4" s="414" t="s">
        <v>45</v>
      </c>
      <c r="D4" s="369" t="s">
        <v>46</v>
      </c>
      <c r="E4" s="437" t="s">
        <v>47</v>
      </c>
      <c r="F4" s="369" t="s">
        <v>4</v>
      </c>
      <c r="G4" s="439" t="s">
        <v>5</v>
      </c>
      <c r="H4" s="366" t="s">
        <v>48</v>
      </c>
      <c r="I4" s="441" t="s">
        <v>49</v>
      </c>
      <c r="J4" s="369" t="s">
        <v>78</v>
      </c>
      <c r="K4" s="366" t="s">
        <v>80</v>
      </c>
      <c r="L4" s="368" t="s">
        <v>53</v>
      </c>
      <c r="M4" s="365"/>
      <c r="N4" s="368" t="s">
        <v>55</v>
      </c>
      <c r="O4" s="365"/>
      <c r="P4" s="368" t="s">
        <v>72</v>
      </c>
      <c r="Q4" s="365"/>
      <c r="R4" s="364" t="s">
        <v>53</v>
      </c>
      <c r="S4" s="364"/>
      <c r="T4" s="365"/>
      <c r="U4" s="368" t="s">
        <v>55</v>
      </c>
      <c r="V4" s="364"/>
      <c r="W4" s="364"/>
      <c r="X4" s="371" t="s">
        <v>72</v>
      </c>
      <c r="Y4" s="372"/>
      <c r="Z4" s="365" t="s">
        <v>79</v>
      </c>
    </row>
    <row r="5" spans="1:26" ht="72" customHeight="1">
      <c r="A5" s="349"/>
      <c r="B5" s="349"/>
      <c r="C5" s="415"/>
      <c r="D5" s="370"/>
      <c r="E5" s="438"/>
      <c r="F5" s="370"/>
      <c r="G5" s="440"/>
      <c r="H5" s="367"/>
      <c r="I5" s="442"/>
      <c r="J5" s="370"/>
      <c r="K5" s="367"/>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416"/>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888</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857</v>
      </c>
      <c r="D39" s="25" t="s">
        <v>349</v>
      </c>
      <c r="E39" s="174">
        <f t="shared" si="8"/>
        <v>45832</v>
      </c>
      <c r="F39" s="31" t="s">
        <v>350</v>
      </c>
      <c r="G39" s="21" t="s">
        <v>351</v>
      </c>
      <c r="H39" s="138"/>
      <c r="I39" s="164">
        <f t="shared" ca="1" si="9"/>
        <v>503</v>
      </c>
      <c r="J39" s="47">
        <f t="shared" ca="1" si="10"/>
        <v>482</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889</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890</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891</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892</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c r="Q61" s="154"/>
      <c r="R61" s="27">
        <v>45958</v>
      </c>
      <c r="S61" s="27">
        <v>45958</v>
      </c>
      <c r="T61" s="188">
        <v>45959</v>
      </c>
      <c r="U61" s="29">
        <v>45972</v>
      </c>
      <c r="V61" s="211">
        <v>46002</v>
      </c>
      <c r="W61" s="235" t="s">
        <v>190</v>
      </c>
      <c r="X61" s="230"/>
      <c r="Y61" s="19"/>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279</v>
      </c>
      <c r="J70" s="47">
        <f t="shared" ref="J70:J78" ca="1" si="15">IF(($I70-21)&gt;0,$I70-21,0)</f>
        <v>258</v>
      </c>
      <c r="K70" s="164"/>
      <c r="L70" s="40"/>
      <c r="M70" s="41"/>
      <c r="N70" s="40"/>
      <c r="O70" s="41"/>
      <c r="P70" s="40"/>
      <c r="Q70" s="154"/>
      <c r="R70" s="27">
        <v>46030</v>
      </c>
      <c r="S70" s="27">
        <v>46030</v>
      </c>
      <c r="T70" s="188">
        <v>46035</v>
      </c>
      <c r="U70" s="29"/>
      <c r="V70" s="211"/>
      <c r="W70" s="235" t="s">
        <v>240</v>
      </c>
      <c r="X70" s="230"/>
      <c r="Y70" s="19"/>
      <c r="Z70" s="92" t="s">
        <v>1023</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c r="Q73" s="154"/>
      <c r="R73" s="27">
        <v>46178</v>
      </c>
      <c r="S73" s="27">
        <v>46178</v>
      </c>
      <c r="T73" s="188">
        <v>46178</v>
      </c>
      <c r="U73" s="29">
        <v>46196</v>
      </c>
      <c r="V73" s="211">
        <v>46197</v>
      </c>
      <c r="W73" s="235" t="s">
        <v>240</v>
      </c>
      <c r="X73" s="230"/>
      <c r="Y73" s="19"/>
      <c r="Z73" s="92" t="s">
        <v>868</v>
      </c>
    </row>
    <row r="74" spans="1:26" s="9" customFormat="1" ht="63">
      <c r="A74" s="33">
        <f t="shared" si="0"/>
        <v>68</v>
      </c>
      <c r="B74" s="33" t="str">
        <f t="shared" ref="B74" si="19">MID(D74, FIND("-", D74) + 1, 4)</f>
        <v>5.11</v>
      </c>
      <c r="C74" s="137" t="s">
        <v>144</v>
      </c>
      <c r="D74" s="25" t="s">
        <v>607</v>
      </c>
      <c r="E74" s="174">
        <f t="shared" si="16"/>
        <v>45866</v>
      </c>
      <c r="F74" s="31" t="s">
        <v>608</v>
      </c>
      <c r="G74" s="21" t="s">
        <v>609</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610</v>
      </c>
    </row>
    <row r="75" spans="1:26" s="9" customFormat="1" ht="47.25">
      <c r="A75" s="33">
        <f t="shared" si="0"/>
        <v>69</v>
      </c>
      <c r="B75" s="33" t="str">
        <f t="shared" ref="B75" si="20">MID(D75, FIND("-", D75) + 1, 4)</f>
        <v>5.11</v>
      </c>
      <c r="C75" s="137"/>
      <c r="D75" s="25" t="s">
        <v>611</v>
      </c>
      <c r="E75" s="174">
        <f t="shared" si="16"/>
        <v>45866</v>
      </c>
      <c r="F75" s="31" t="s">
        <v>612</v>
      </c>
      <c r="G75" s="21" t="s">
        <v>613</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614</v>
      </c>
      <c r="E76" s="174">
        <f t="shared" si="16"/>
        <v>45866</v>
      </c>
      <c r="F76" s="31" t="s">
        <v>615</v>
      </c>
      <c r="G76" s="21" t="s">
        <v>616</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656</v>
      </c>
      <c r="D77" s="25" t="s">
        <v>617</v>
      </c>
      <c r="E77" s="174">
        <f t="shared" si="16"/>
        <v>45866</v>
      </c>
      <c r="F77" s="31" t="s">
        <v>618</v>
      </c>
      <c r="G77" s="21" t="s">
        <v>619</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621</v>
      </c>
      <c r="D78" s="25" t="s">
        <v>620</v>
      </c>
      <c r="E78" s="174">
        <f t="shared" si="16"/>
        <v>45866</v>
      </c>
      <c r="F78" s="31" t="s">
        <v>622</v>
      </c>
      <c r="G78" s="21" t="s">
        <v>623</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625</v>
      </c>
      <c r="D79" s="25" t="s">
        <v>624</v>
      </c>
      <c r="E79" s="174"/>
      <c r="F79" s="31" t="s">
        <v>626</v>
      </c>
      <c r="G79" s="21" t="s">
        <v>627</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631</v>
      </c>
    </row>
    <row r="80" spans="1:26" s="9" customFormat="1" ht="63">
      <c r="A80" s="33">
        <f t="shared" si="0"/>
        <v>74</v>
      </c>
      <c r="B80" s="33" t="str">
        <f t="shared" si="22"/>
        <v>5.11</v>
      </c>
      <c r="C80" s="137" t="s">
        <v>625</v>
      </c>
      <c r="D80" s="25" t="s">
        <v>628</v>
      </c>
      <c r="E80" s="174">
        <f t="shared" ref="E80:E129" si="23">IF($T80=0,$S80+22,$T80+21)</f>
        <v>45945</v>
      </c>
      <c r="F80" s="31" t="s">
        <v>629</v>
      </c>
      <c r="G80" s="21" t="s">
        <v>630</v>
      </c>
      <c r="H80" s="138" t="s">
        <v>6</v>
      </c>
      <c r="I80" s="164">
        <f t="shared" ref="I80:I129" si="24">IF(ISBLANK($V80),_xlfn.DAYS($I$1,$T80),_xlfn.DAYS($V80,$T80))</f>
        <v>6</v>
      </c>
      <c r="J80" s="47">
        <f t="shared" ref="J80:J129"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633</v>
      </c>
      <c r="D81" s="25" t="s">
        <v>632</v>
      </c>
      <c r="E81" s="174">
        <f t="shared" si="23"/>
        <v>45881</v>
      </c>
      <c r="F81" s="31" t="s">
        <v>634</v>
      </c>
      <c r="G81" s="21" t="s">
        <v>635</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637</v>
      </c>
      <c r="D82" s="25" t="s">
        <v>636</v>
      </c>
      <c r="E82" s="174">
        <f t="shared" si="23"/>
        <v>45884</v>
      </c>
      <c r="F82" s="31" t="s">
        <v>638</v>
      </c>
      <c r="G82" s="21" t="s">
        <v>639</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640</v>
      </c>
      <c r="E83" s="174">
        <f t="shared" si="23"/>
        <v>45915</v>
      </c>
      <c r="F83" s="31" t="s">
        <v>641</v>
      </c>
      <c r="G83" s="21" t="s">
        <v>642</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644</v>
      </c>
      <c r="D84" s="25" t="s">
        <v>643</v>
      </c>
      <c r="E84" s="174"/>
      <c r="F84" s="31" t="s">
        <v>647</v>
      </c>
      <c r="G84" s="21" t="s">
        <v>648</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649</v>
      </c>
    </row>
    <row r="85" spans="1:26" s="9" customFormat="1" ht="47.25">
      <c r="A85" s="33">
        <f t="shared" ref="A85:A129" si="29">A84+1</f>
        <v>79</v>
      </c>
      <c r="B85" s="33" t="str">
        <f t="shared" si="28"/>
        <v>5.11</v>
      </c>
      <c r="C85" s="137" t="s">
        <v>644</v>
      </c>
      <c r="D85" s="25" t="s">
        <v>645</v>
      </c>
      <c r="E85" s="174">
        <f t="shared" si="23"/>
        <v>45950</v>
      </c>
      <c r="F85" s="31" t="s">
        <v>647</v>
      </c>
      <c r="G85" s="21" t="s">
        <v>648</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650</v>
      </c>
    </row>
    <row r="86" spans="1:26" s="9" customFormat="1" ht="47.25">
      <c r="A86" s="33">
        <f t="shared" si="29"/>
        <v>80</v>
      </c>
      <c r="B86" s="33" t="str">
        <f t="shared" ref="B86:B87" si="30">MID(D86, FIND("-", D86) + 1, 4)</f>
        <v>5.11</v>
      </c>
      <c r="C86" s="137" t="s">
        <v>644</v>
      </c>
      <c r="D86" s="25" t="s">
        <v>646</v>
      </c>
      <c r="E86" s="174">
        <f t="shared" si="23"/>
        <v>46177</v>
      </c>
      <c r="F86" s="31" t="s">
        <v>647</v>
      </c>
      <c r="G86" s="21" t="s">
        <v>648</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899</v>
      </c>
      <c r="E87" s="174">
        <f t="shared" si="23"/>
        <v>45931</v>
      </c>
      <c r="F87" s="31" t="s">
        <v>651</v>
      </c>
      <c r="G87" s="21" t="s">
        <v>652</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656</v>
      </c>
      <c r="D88" s="25" t="s">
        <v>653</v>
      </c>
      <c r="E88" s="174">
        <f t="shared" si="23"/>
        <v>46000</v>
      </c>
      <c r="F88" s="31" t="s">
        <v>654</v>
      </c>
      <c r="G88" s="21" t="s">
        <v>655</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657</v>
      </c>
      <c r="E89" s="174">
        <f t="shared" si="23"/>
        <v>46024</v>
      </c>
      <c r="F89" s="31" t="s">
        <v>659</v>
      </c>
      <c r="G89" s="21" t="s">
        <v>658</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660</v>
      </c>
      <c r="X89" s="230"/>
      <c r="Y89" s="19"/>
      <c r="Z89" s="92"/>
    </row>
    <row r="90" spans="1:26" s="9" customFormat="1" ht="31.5">
      <c r="A90" s="33">
        <f t="shared" si="29"/>
        <v>84</v>
      </c>
      <c r="B90" s="33" t="str">
        <f t="shared" ref="B90:B91" si="32">MID(D90, FIND("-", D90) + 1, 4)</f>
        <v>5.11</v>
      </c>
      <c r="C90" s="137" t="s">
        <v>656</v>
      </c>
      <c r="D90" s="25" t="s">
        <v>661</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662</v>
      </c>
    </row>
    <row r="91" spans="1:26" s="9" customFormat="1" ht="78.75">
      <c r="A91" s="33">
        <f t="shared" si="29"/>
        <v>85</v>
      </c>
      <c r="B91" s="33" t="str">
        <f t="shared" si="32"/>
        <v>5.11</v>
      </c>
      <c r="C91" s="137" t="s">
        <v>644</v>
      </c>
      <c r="D91" s="25" t="s">
        <v>663</v>
      </c>
      <c r="E91" s="174">
        <f t="shared" si="23"/>
        <v>46176</v>
      </c>
      <c r="F91" s="31" t="s">
        <v>664</v>
      </c>
      <c r="G91" s="21" t="s">
        <v>665</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666</v>
      </c>
    </row>
    <row r="92" spans="1:26" s="9" customFormat="1" ht="63">
      <c r="A92" s="33">
        <f t="shared" si="29"/>
        <v>86</v>
      </c>
      <c r="B92" s="33" t="str">
        <f t="shared" ref="B92:B93" si="33">MID(D92, FIND("-", D92) + 1, 4)</f>
        <v>5.11</v>
      </c>
      <c r="C92" s="137"/>
      <c r="D92" s="25" t="s">
        <v>667</v>
      </c>
      <c r="E92" s="174">
        <f t="shared" si="23"/>
        <v>46022</v>
      </c>
      <c r="F92" s="31" t="s">
        <v>668</v>
      </c>
      <c r="G92" s="21" t="s">
        <v>669</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670</v>
      </c>
      <c r="X92" s="230">
        <v>45666</v>
      </c>
      <c r="Y92" s="19">
        <v>45666</v>
      </c>
      <c r="Z92" s="92"/>
    </row>
    <row r="93" spans="1:26" s="9" customFormat="1" ht="47.25">
      <c r="A93" s="33">
        <f t="shared" si="29"/>
        <v>87</v>
      </c>
      <c r="B93" s="33" t="str">
        <f t="shared" si="33"/>
        <v>5.11</v>
      </c>
      <c r="C93" s="137"/>
      <c r="D93" s="25" t="s">
        <v>671</v>
      </c>
      <c r="E93" s="174"/>
      <c r="F93" s="31" t="s">
        <v>672</v>
      </c>
      <c r="G93" s="21" t="s">
        <v>673</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670</v>
      </c>
      <c r="X93" s="230"/>
      <c r="Y93" s="19"/>
      <c r="Z93" s="92" t="s">
        <v>677</v>
      </c>
    </row>
    <row r="94" spans="1:26" s="9" customFormat="1" ht="63">
      <c r="A94" s="33">
        <f t="shared" si="29"/>
        <v>88</v>
      </c>
      <c r="B94" s="33" t="str">
        <f t="shared" ref="B94:B95" si="34">MID(D94, FIND("-", D94) + 1, 4)</f>
        <v>5.11</v>
      </c>
      <c r="C94" s="164" t="s">
        <v>621</v>
      </c>
      <c r="D94" s="25" t="s">
        <v>674</v>
      </c>
      <c r="E94" s="174">
        <f t="shared" si="23"/>
        <v>46024</v>
      </c>
      <c r="F94" s="31" t="s">
        <v>675</v>
      </c>
      <c r="G94" s="21" t="s">
        <v>676</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670</v>
      </c>
      <c r="X94" s="230"/>
      <c r="Y94" s="19"/>
      <c r="Z94" s="92"/>
    </row>
    <row r="95" spans="1:26" s="9" customFormat="1" ht="63">
      <c r="A95" s="33">
        <f t="shared" si="29"/>
        <v>89</v>
      </c>
      <c r="B95" s="33" t="str">
        <f t="shared" si="34"/>
        <v>5.11</v>
      </c>
      <c r="C95" s="137" t="s">
        <v>633</v>
      </c>
      <c r="D95" s="25" t="s">
        <v>678</v>
      </c>
      <c r="E95" s="174">
        <f t="shared" si="23"/>
        <v>46059</v>
      </c>
      <c r="F95" s="31" t="s">
        <v>679</v>
      </c>
      <c r="G95" s="21" t="s">
        <v>680</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681</v>
      </c>
    </row>
    <row r="96" spans="1:26" s="9" customFormat="1" ht="94.5">
      <c r="A96" s="33">
        <f t="shared" si="29"/>
        <v>90</v>
      </c>
      <c r="B96" s="33" t="str">
        <f t="shared" ref="B96:B97" si="35">MID(D96, FIND("-", D96) + 1, 4)</f>
        <v>5.11</v>
      </c>
      <c r="C96" s="164" t="s">
        <v>621</v>
      </c>
      <c r="D96" s="25" t="s">
        <v>682</v>
      </c>
      <c r="E96" s="174"/>
      <c r="F96" s="31" t="s">
        <v>683</v>
      </c>
      <c r="G96" s="21" t="s">
        <v>684</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685</v>
      </c>
    </row>
    <row r="97" spans="1:26" s="9" customFormat="1" ht="94.5">
      <c r="A97" s="33">
        <f t="shared" si="29"/>
        <v>91</v>
      </c>
      <c r="B97" s="33" t="str">
        <f t="shared" si="35"/>
        <v>5.11</v>
      </c>
      <c r="C97" s="164" t="s">
        <v>621</v>
      </c>
      <c r="D97" s="25" t="s">
        <v>686</v>
      </c>
      <c r="E97" s="174">
        <f t="shared" si="23"/>
        <v>46217</v>
      </c>
      <c r="F97" s="31" t="s">
        <v>896</v>
      </c>
      <c r="G97" s="21" t="s">
        <v>897</v>
      </c>
      <c r="H97" s="138"/>
      <c r="I97" s="164">
        <f t="shared" ca="1" si="24"/>
        <v>118</v>
      </c>
      <c r="J97" s="47">
        <f t="shared" ca="1" si="25"/>
        <v>97</v>
      </c>
      <c r="K97" s="164"/>
      <c r="L97" s="40" t="s">
        <v>8</v>
      </c>
      <c r="M97" s="41" t="s">
        <v>8</v>
      </c>
      <c r="N97" s="40"/>
      <c r="O97" s="41"/>
      <c r="P97" s="40"/>
      <c r="Q97" s="154"/>
      <c r="R97" s="27">
        <v>46169</v>
      </c>
      <c r="S97" s="27">
        <v>46169</v>
      </c>
      <c r="T97" s="188">
        <v>46196</v>
      </c>
      <c r="U97" s="29"/>
      <c r="V97" s="211"/>
      <c r="W97" s="235"/>
      <c r="X97" s="230"/>
      <c r="Y97" s="19"/>
      <c r="Z97" s="92" t="s">
        <v>895</v>
      </c>
    </row>
    <row r="98" spans="1:26" s="9" customFormat="1" ht="31.5">
      <c r="A98" s="33">
        <f t="shared" si="29"/>
        <v>92</v>
      </c>
      <c r="B98" s="33" t="str">
        <f t="shared" ref="B98:B99" si="36">MID(D98, FIND("-", D98) + 1, 4)</f>
        <v>5.11</v>
      </c>
      <c r="C98" s="137" t="s">
        <v>688</v>
      </c>
      <c r="D98" s="25" t="s">
        <v>687</v>
      </c>
      <c r="E98" s="174">
        <f t="shared" si="23"/>
        <v>46059</v>
      </c>
      <c r="F98" s="31" t="s">
        <v>689</v>
      </c>
      <c r="G98" s="21" t="s">
        <v>690</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691</v>
      </c>
    </row>
    <row r="99" spans="1:26" s="9" customFormat="1" ht="78.75">
      <c r="A99" s="33">
        <f t="shared" si="29"/>
        <v>93</v>
      </c>
      <c r="B99" s="33" t="str">
        <f t="shared" si="36"/>
        <v>5.11</v>
      </c>
      <c r="C99" s="164" t="s">
        <v>656</v>
      </c>
      <c r="D99" s="25" t="s">
        <v>692</v>
      </c>
      <c r="E99" s="174">
        <f t="shared" si="23"/>
        <v>46108</v>
      </c>
      <c r="F99" s="31" t="s">
        <v>693</v>
      </c>
      <c r="G99" s="21" t="s">
        <v>694</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695</v>
      </c>
      <c r="X99" s="230"/>
      <c r="Y99" s="19"/>
      <c r="Z99" s="92"/>
    </row>
    <row r="100" spans="1:26" s="9" customFormat="1" ht="78.75">
      <c r="A100" s="33">
        <f t="shared" si="29"/>
        <v>94</v>
      </c>
      <c r="B100" s="33" t="str">
        <f t="shared" ref="B100:B101" si="37">MID(D100, FIND("-", D100) + 1, 4)</f>
        <v>5.11</v>
      </c>
      <c r="C100" s="137" t="s">
        <v>372</v>
      </c>
      <c r="D100" s="25" t="s">
        <v>696</v>
      </c>
      <c r="E100" s="174">
        <f t="shared" si="23"/>
        <v>46115</v>
      </c>
      <c r="F100" s="31" t="s">
        <v>697</v>
      </c>
      <c r="G100" s="21" t="s">
        <v>698</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691</v>
      </c>
    </row>
    <row r="101" spans="1:26" s="9" customFormat="1" ht="63">
      <c r="A101" s="33">
        <f t="shared" si="29"/>
        <v>95</v>
      </c>
      <c r="B101" s="33" t="str">
        <f t="shared" si="37"/>
        <v>5.11</v>
      </c>
      <c r="C101" s="164" t="s">
        <v>656</v>
      </c>
      <c r="D101" s="25" t="s">
        <v>699</v>
      </c>
      <c r="E101" s="174">
        <f t="shared" si="23"/>
        <v>46115</v>
      </c>
      <c r="F101" s="31" t="s">
        <v>700</v>
      </c>
      <c r="G101" s="21" t="s">
        <v>701</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702</v>
      </c>
      <c r="E102" s="174">
        <f t="shared" si="23"/>
        <v>46128</v>
      </c>
      <c r="F102" s="31" t="s">
        <v>703</v>
      </c>
      <c r="G102" s="21" t="s">
        <v>704</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656</v>
      </c>
      <c r="D103" s="25" t="s">
        <v>705</v>
      </c>
      <c r="E103" s="174">
        <f t="shared" si="23"/>
        <v>46127</v>
      </c>
      <c r="F103" s="31" t="s">
        <v>706</v>
      </c>
      <c r="G103" s="21" t="s">
        <v>707</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709</v>
      </c>
      <c r="X103" s="230"/>
      <c r="Y103" s="19"/>
      <c r="Z103" s="92" t="s">
        <v>708</v>
      </c>
    </row>
    <row r="104" spans="1:26" s="9" customFormat="1" ht="63">
      <c r="A104" s="33">
        <f t="shared" si="29"/>
        <v>98</v>
      </c>
      <c r="B104" s="33" t="str">
        <f t="shared" ref="B104:B105" si="39">MID(D104, FIND("-", D104) + 1, 4)</f>
        <v>5.11</v>
      </c>
      <c r="C104" s="137" t="s">
        <v>372</v>
      </c>
      <c r="D104" s="25" t="s">
        <v>710</v>
      </c>
      <c r="E104" s="174">
        <f t="shared" si="23"/>
        <v>46127</v>
      </c>
      <c r="F104" s="31" t="s">
        <v>711</v>
      </c>
      <c r="G104" s="21" t="s">
        <v>712</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713</v>
      </c>
      <c r="E105" s="174">
        <f t="shared" si="23"/>
        <v>46127</v>
      </c>
      <c r="F105" s="31" t="s">
        <v>714</v>
      </c>
      <c r="G105" s="21" t="s">
        <v>715</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709</v>
      </c>
      <c r="X105" s="230">
        <v>46165</v>
      </c>
      <c r="Y105" s="19">
        <v>46165</v>
      </c>
      <c r="Z105" s="92" t="s">
        <v>708</v>
      </c>
    </row>
    <row r="106" spans="1:26" s="9" customFormat="1" ht="78.75">
      <c r="A106" s="33">
        <f t="shared" si="29"/>
        <v>100</v>
      </c>
      <c r="B106" s="33" t="str">
        <f t="shared" ref="B106:B107" si="40">MID(D106, FIND("-", D106) + 1, 4)</f>
        <v>5.11</v>
      </c>
      <c r="C106" s="137" t="s">
        <v>144</v>
      </c>
      <c r="D106" s="25" t="s">
        <v>716</v>
      </c>
      <c r="E106" s="174">
        <f t="shared" si="23"/>
        <v>46127</v>
      </c>
      <c r="F106" s="31" t="s">
        <v>717</v>
      </c>
      <c r="G106" s="21" t="s">
        <v>718</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708</v>
      </c>
    </row>
    <row r="107" spans="1:26" s="9" customFormat="1" ht="47.25">
      <c r="A107" s="33">
        <f t="shared" si="29"/>
        <v>101</v>
      </c>
      <c r="B107" s="33" t="str">
        <f t="shared" si="40"/>
        <v>5.11</v>
      </c>
      <c r="C107" s="164" t="s">
        <v>144</v>
      </c>
      <c r="D107" s="25" t="s">
        <v>719</v>
      </c>
      <c r="E107" s="174">
        <f t="shared" si="23"/>
        <v>46142</v>
      </c>
      <c r="F107" s="31" t="s">
        <v>720</v>
      </c>
      <c r="G107" s="21" t="s">
        <v>721</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708</v>
      </c>
    </row>
    <row r="108" spans="1:26" s="9" customFormat="1" ht="63">
      <c r="A108" s="33">
        <f t="shared" si="29"/>
        <v>102</v>
      </c>
      <c r="B108" s="33" t="str">
        <f t="shared" ref="B108:B109" si="41">MID(D108, FIND("-", D108) + 1, 4)</f>
        <v>5.11</v>
      </c>
      <c r="C108" s="137" t="s">
        <v>725</v>
      </c>
      <c r="D108" s="25" t="s">
        <v>722</v>
      </c>
      <c r="E108" s="174">
        <f t="shared" si="23"/>
        <v>46142</v>
      </c>
      <c r="F108" s="31" t="s">
        <v>723</v>
      </c>
      <c r="G108" s="21" t="s">
        <v>724</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726</v>
      </c>
      <c r="X108" s="230">
        <v>46162</v>
      </c>
      <c r="Y108" s="19">
        <v>46162</v>
      </c>
      <c r="Z108" s="92"/>
    </row>
    <row r="109" spans="1:26" s="9" customFormat="1" ht="126">
      <c r="A109" s="33">
        <f t="shared" si="29"/>
        <v>103</v>
      </c>
      <c r="B109" s="33" t="str">
        <f t="shared" si="41"/>
        <v>5.11</v>
      </c>
      <c r="C109" s="164" t="s">
        <v>144</v>
      </c>
      <c r="D109" s="25" t="s">
        <v>727</v>
      </c>
      <c r="E109" s="174">
        <f t="shared" si="23"/>
        <v>46176</v>
      </c>
      <c r="F109" s="31" t="s">
        <v>728</v>
      </c>
      <c r="G109" s="21" t="s">
        <v>729</v>
      </c>
      <c r="H109" s="138" t="s">
        <v>6</v>
      </c>
      <c r="I109" s="164">
        <f t="shared" si="24"/>
        <v>8</v>
      </c>
      <c r="J109" s="47">
        <f t="shared" si="25"/>
        <v>0</v>
      </c>
      <c r="K109" s="164" t="s">
        <v>929</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930</v>
      </c>
    </row>
    <row r="110" spans="1:26" s="9" customFormat="1" ht="94.5">
      <c r="A110" s="33">
        <f t="shared" si="29"/>
        <v>104</v>
      </c>
      <c r="B110" s="33" t="str">
        <f t="shared" ref="B110" si="42">MID(D110, FIND("-", D110) + 1, 4)</f>
        <v>5.11</v>
      </c>
      <c r="C110" s="137" t="s">
        <v>656</v>
      </c>
      <c r="D110" s="25" t="s">
        <v>730</v>
      </c>
      <c r="E110" s="174">
        <f t="shared" si="23"/>
        <v>46221</v>
      </c>
      <c r="F110" s="31" t="s">
        <v>731</v>
      </c>
      <c r="G110" s="21" t="s">
        <v>732</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937</v>
      </c>
    </row>
    <row r="111" spans="1:26" s="9" customFormat="1" ht="47.25">
      <c r="A111" s="33">
        <f t="shared" si="29"/>
        <v>105</v>
      </c>
      <c r="B111" s="33" t="str">
        <f t="shared" ref="B111" si="43">MID(D111, FIND("-", D111) + 1, 4)</f>
        <v>5.11</v>
      </c>
      <c r="C111" s="137" t="s">
        <v>144</v>
      </c>
      <c r="D111" s="25" t="s">
        <v>840</v>
      </c>
      <c r="E111" s="174">
        <f t="shared" si="23"/>
        <v>46206</v>
      </c>
      <c r="F111" s="31" t="s">
        <v>841</v>
      </c>
      <c r="G111" s="21" t="s">
        <v>842</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922</v>
      </c>
    </row>
    <row r="112" spans="1:26" s="9" customFormat="1" ht="47.25">
      <c r="A112" s="33">
        <f t="shared" si="29"/>
        <v>106</v>
      </c>
      <c r="B112" s="33" t="str">
        <f t="shared" ref="B112" si="44">MID(D112, FIND("-", D112) + 1, 4)</f>
        <v>5.11</v>
      </c>
      <c r="C112" s="137" t="s">
        <v>144</v>
      </c>
      <c r="D112" s="25" t="s">
        <v>849</v>
      </c>
      <c r="E112" s="174"/>
      <c r="F112" s="31" t="s">
        <v>672</v>
      </c>
      <c r="G112" s="21" t="s">
        <v>850</v>
      </c>
      <c r="H112" s="138"/>
      <c r="I112" s="164">
        <f t="shared" ca="1" si="24"/>
        <v>129</v>
      </c>
      <c r="J112" s="47">
        <f t="shared" ca="1" si="25"/>
        <v>108</v>
      </c>
      <c r="K112" s="164" t="s">
        <v>13</v>
      </c>
      <c r="L112" s="40" t="s">
        <v>8</v>
      </c>
      <c r="M112" s="41" t="s">
        <v>8</v>
      </c>
      <c r="N112" s="40"/>
      <c r="O112" s="41"/>
      <c r="P112" s="40"/>
      <c r="Q112" s="154"/>
      <c r="R112" s="27">
        <v>46185</v>
      </c>
      <c r="S112" s="27">
        <v>46185</v>
      </c>
      <c r="T112" s="188">
        <v>46185</v>
      </c>
      <c r="U112" s="333"/>
      <c r="V112" s="333"/>
      <c r="W112" s="235"/>
      <c r="X112" s="230"/>
      <c r="Y112" s="19"/>
      <c r="Z112" s="92" t="s">
        <v>898</v>
      </c>
    </row>
    <row r="113" spans="1:26" s="9" customFormat="1" ht="78.75">
      <c r="A113" s="33">
        <f t="shared" si="29"/>
        <v>107</v>
      </c>
      <c r="B113" s="33" t="str">
        <f t="shared" ref="B113" si="45">MID(D113, FIND("-", D113) + 1, 4)</f>
        <v>5.11</v>
      </c>
      <c r="C113" s="164" t="s">
        <v>621</v>
      </c>
      <c r="D113" s="25" t="s">
        <v>865</v>
      </c>
      <c r="E113" s="174">
        <f t="shared" si="23"/>
        <v>46266</v>
      </c>
      <c r="F113" s="31" t="s">
        <v>866</v>
      </c>
      <c r="G113" s="21" t="s">
        <v>867</v>
      </c>
      <c r="H113" s="138" t="s">
        <v>6</v>
      </c>
      <c r="I113" s="164">
        <f t="shared" ca="1" si="24"/>
        <v>69</v>
      </c>
      <c r="J113" s="47">
        <f t="shared" ca="1" si="25"/>
        <v>48</v>
      </c>
      <c r="K113" s="164"/>
      <c r="L113" s="40" t="s">
        <v>8</v>
      </c>
      <c r="M113" s="41" t="s">
        <v>8</v>
      </c>
      <c r="N113" s="40"/>
      <c r="O113" s="41"/>
      <c r="P113" s="40"/>
      <c r="Q113" s="154"/>
      <c r="R113" s="27">
        <v>46192</v>
      </c>
      <c r="S113" s="27">
        <v>46192</v>
      </c>
      <c r="T113" s="188">
        <v>46245</v>
      </c>
      <c r="U113" s="29"/>
      <c r="V113" s="211"/>
      <c r="W113" s="331" t="s">
        <v>240</v>
      </c>
      <c r="X113" s="230"/>
      <c r="Y113" s="19"/>
      <c r="Z113" s="92" t="s">
        <v>1018</v>
      </c>
    </row>
    <row r="114" spans="1:26" s="9" customFormat="1" ht="63">
      <c r="A114" s="33">
        <f t="shared" si="29"/>
        <v>108</v>
      </c>
      <c r="B114" s="33" t="str">
        <f t="shared" ref="B114" si="46">MID(D114, FIND("-", D114) + 1, 4)</f>
        <v>5.11</v>
      </c>
      <c r="C114" s="164" t="s">
        <v>621</v>
      </c>
      <c r="D114" s="25" t="s">
        <v>893</v>
      </c>
      <c r="E114" s="174">
        <f t="shared" si="23"/>
        <v>46217</v>
      </c>
      <c r="F114" s="31" t="s">
        <v>675</v>
      </c>
      <c r="G114" s="21" t="s">
        <v>894</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621</v>
      </c>
      <c r="D115" s="25" t="s">
        <v>904</v>
      </c>
      <c r="E115" s="174">
        <f t="shared" si="23"/>
        <v>46266</v>
      </c>
      <c r="F115" s="31" t="s">
        <v>905</v>
      </c>
      <c r="G115" s="21" t="s">
        <v>906</v>
      </c>
      <c r="H115" s="138"/>
      <c r="I115" s="164">
        <f t="shared" ca="1" si="24"/>
        <v>69</v>
      </c>
      <c r="J115" s="47">
        <f t="shared" ca="1" si="25"/>
        <v>48</v>
      </c>
      <c r="K115" s="164"/>
      <c r="L115" s="40" t="s">
        <v>8</v>
      </c>
      <c r="M115" s="41"/>
      <c r="N115" s="40"/>
      <c r="O115" s="41"/>
      <c r="P115" s="40"/>
      <c r="Q115" s="154"/>
      <c r="R115" s="27">
        <v>46199</v>
      </c>
      <c r="S115" s="27">
        <v>46199</v>
      </c>
      <c r="T115" s="188">
        <v>46245</v>
      </c>
      <c r="U115" s="29"/>
      <c r="V115" s="211"/>
      <c r="W115" s="235"/>
      <c r="X115" s="230"/>
      <c r="Y115" s="19"/>
      <c r="Z115" s="92" t="s">
        <v>953</v>
      </c>
    </row>
    <row r="116" spans="1:26" s="9" customFormat="1" ht="63">
      <c r="A116" s="33">
        <f t="shared" si="29"/>
        <v>110</v>
      </c>
      <c r="B116" s="33" t="str">
        <f t="shared" ref="B116" si="48">MID(D116, FIND("-", D116) + 1, 4)</f>
        <v>5.11</v>
      </c>
      <c r="C116" s="164" t="s">
        <v>144</v>
      </c>
      <c r="D116" s="25" t="s">
        <v>849</v>
      </c>
      <c r="E116" s="174">
        <f t="shared" si="23"/>
        <v>46220</v>
      </c>
      <c r="F116" s="31" t="s">
        <v>907</v>
      </c>
      <c r="G116" s="21" t="s">
        <v>908</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670</v>
      </c>
      <c r="X116" s="230"/>
      <c r="Y116" s="19"/>
      <c r="Z116" s="92"/>
    </row>
    <row r="117" spans="1:26" s="9" customFormat="1" ht="78.75">
      <c r="A117" s="33">
        <f t="shared" si="29"/>
        <v>111</v>
      </c>
      <c r="B117" s="33" t="str">
        <f t="shared" ref="B117" si="49">MID(D117, FIND("-", D117) + 1, 4)</f>
        <v>5.10</v>
      </c>
      <c r="C117" s="164" t="s">
        <v>927</v>
      </c>
      <c r="D117" s="25" t="s">
        <v>925</v>
      </c>
      <c r="E117" s="174">
        <f t="shared" si="23"/>
        <v>46234</v>
      </c>
      <c r="F117" s="31" t="s">
        <v>926</v>
      </c>
      <c r="G117" s="21" t="s">
        <v>928</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1022</v>
      </c>
    </row>
    <row r="118" spans="1:26" s="9" customFormat="1" ht="94.5">
      <c r="A118" s="33">
        <f t="shared" si="29"/>
        <v>112</v>
      </c>
      <c r="B118" s="33" t="str">
        <f t="shared" ref="B118" si="50">MID(D118, FIND("-", D118) + 1, 4)</f>
        <v>5.11</v>
      </c>
      <c r="C118" s="164" t="s">
        <v>144</v>
      </c>
      <c r="D118" s="25" t="s">
        <v>931</v>
      </c>
      <c r="E118" s="174">
        <f t="shared" si="23"/>
        <v>46237</v>
      </c>
      <c r="F118" s="31" t="s">
        <v>932</v>
      </c>
      <c r="G118" s="21" t="s">
        <v>933</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995</v>
      </c>
    </row>
    <row r="119" spans="1:26" s="9" customFormat="1" ht="63">
      <c r="A119" s="33">
        <f t="shared" si="29"/>
        <v>113</v>
      </c>
      <c r="B119" s="33" t="str">
        <f t="shared" ref="B119" si="51">MID(D119, FIND("-", D119) + 1, 4)</f>
        <v>5.10</v>
      </c>
      <c r="C119" s="164" t="s">
        <v>131</v>
      </c>
      <c r="D119" s="25" t="s">
        <v>939</v>
      </c>
      <c r="E119" s="174">
        <f t="shared" si="23"/>
        <v>46239</v>
      </c>
      <c r="F119" s="31" t="s">
        <v>940</v>
      </c>
      <c r="G119" s="21" t="s">
        <v>941</v>
      </c>
      <c r="H119" s="138" t="s">
        <v>6</v>
      </c>
      <c r="I119" s="164">
        <f t="shared" si="24"/>
        <v>21</v>
      </c>
      <c r="J119" s="47">
        <f t="shared" si="25"/>
        <v>0</v>
      </c>
      <c r="K119" s="164"/>
      <c r="L119" s="40" t="s">
        <v>8</v>
      </c>
      <c r="M119" s="41"/>
      <c r="N119" s="40" t="s">
        <v>8</v>
      </c>
      <c r="O119" s="41"/>
      <c r="P119" s="40"/>
      <c r="Q119" s="154"/>
      <c r="R119" s="27">
        <v>46218</v>
      </c>
      <c r="S119" s="27">
        <v>46218</v>
      </c>
      <c r="T119" s="188">
        <v>46218</v>
      </c>
      <c r="U119" s="29">
        <v>46227</v>
      </c>
      <c r="V119" s="211">
        <v>46239</v>
      </c>
      <c r="W119" s="235" t="s">
        <v>240</v>
      </c>
      <c r="X119" s="230"/>
      <c r="Y119" s="19"/>
      <c r="Z119" s="92" t="s">
        <v>1020</v>
      </c>
    </row>
    <row r="120" spans="1:26" s="9" customFormat="1" ht="110.25">
      <c r="A120" s="33">
        <f t="shared" si="29"/>
        <v>114</v>
      </c>
      <c r="B120" s="33" t="str">
        <f t="shared" ref="B120" si="52">MID(D120, FIND("-", D120) + 1, 4)</f>
        <v>5.11</v>
      </c>
      <c r="C120" s="164" t="s">
        <v>944</v>
      </c>
      <c r="D120" s="25" t="s">
        <v>686</v>
      </c>
      <c r="E120" s="174">
        <f t="shared" si="23"/>
        <v>46248</v>
      </c>
      <c r="F120" s="31" t="s">
        <v>942</v>
      </c>
      <c r="G120" s="21" t="s">
        <v>943</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670</v>
      </c>
      <c r="X120" s="230"/>
      <c r="Y120" s="19"/>
      <c r="Z120" s="92" t="s">
        <v>1021</v>
      </c>
    </row>
    <row r="121" spans="1:26" s="9" customFormat="1" ht="141.75">
      <c r="A121" s="33">
        <f t="shared" si="29"/>
        <v>115</v>
      </c>
      <c r="B121" s="33" t="str">
        <f t="shared" ref="B121" si="53">MID(D121, FIND("-", D121) + 1, 4)</f>
        <v>5.11</v>
      </c>
      <c r="C121" s="164" t="s">
        <v>656</v>
      </c>
      <c r="D121" s="25" t="s">
        <v>952</v>
      </c>
      <c r="E121" s="174">
        <f t="shared" si="23"/>
        <v>46265</v>
      </c>
      <c r="F121" s="31" t="s">
        <v>950</v>
      </c>
      <c r="G121" s="21" t="s">
        <v>951</v>
      </c>
      <c r="H121" s="138" t="s">
        <v>6</v>
      </c>
      <c r="I121" s="164">
        <f t="shared" si="24"/>
        <v>30</v>
      </c>
      <c r="J121" s="47">
        <f t="shared" si="25"/>
        <v>9</v>
      </c>
      <c r="K121" s="164"/>
      <c r="L121" s="40" t="s">
        <v>8</v>
      </c>
      <c r="M121" s="41"/>
      <c r="N121" s="40" t="s">
        <v>8</v>
      </c>
      <c r="O121" s="41"/>
      <c r="P121" s="40"/>
      <c r="Q121" s="154"/>
      <c r="R121" s="27">
        <v>46244</v>
      </c>
      <c r="S121" s="27">
        <v>46244</v>
      </c>
      <c r="T121" s="188">
        <v>46244</v>
      </c>
      <c r="U121" s="29">
        <v>46254</v>
      </c>
      <c r="V121" s="211">
        <v>46274</v>
      </c>
      <c r="W121" s="235" t="s">
        <v>979</v>
      </c>
      <c r="X121" s="230"/>
      <c r="Y121" s="19"/>
      <c r="Z121" s="92" t="s">
        <v>1015</v>
      </c>
    </row>
    <row r="122" spans="1:26" s="9" customFormat="1" ht="31.5">
      <c r="A122" s="33">
        <f t="shared" si="29"/>
        <v>116</v>
      </c>
      <c r="B122" s="33" t="str">
        <f t="shared" ref="B122" si="54">MID(D122, FIND("-", D122) + 1, 4)</f>
        <v>5.11</v>
      </c>
      <c r="C122" s="164"/>
      <c r="D122" s="25" t="s">
        <v>954</v>
      </c>
      <c r="E122" s="174">
        <f t="shared" si="23"/>
        <v>46267</v>
      </c>
      <c r="F122" s="31" t="s">
        <v>955</v>
      </c>
      <c r="G122" s="21" t="s">
        <v>956</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1017</v>
      </c>
    </row>
    <row r="123" spans="1:26" s="9" customFormat="1" ht="47.25">
      <c r="A123" s="33">
        <f t="shared" si="29"/>
        <v>117</v>
      </c>
      <c r="B123" s="33" t="str">
        <f t="shared" ref="B123:B124" si="55">MID(D123, FIND("-", D123) + 1, 4)</f>
        <v>5.10</v>
      </c>
      <c r="C123" s="164" t="s">
        <v>131</v>
      </c>
      <c r="D123" s="25" t="s">
        <v>970</v>
      </c>
      <c r="E123" s="174">
        <f t="shared" si="23"/>
        <v>46280</v>
      </c>
      <c r="F123" s="31" t="s">
        <v>971</v>
      </c>
      <c r="G123" s="21" t="s">
        <v>972</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852</v>
      </c>
    </row>
    <row r="124" spans="1:26" s="9" customFormat="1" ht="63">
      <c r="A124" s="33">
        <f t="shared" si="29"/>
        <v>118</v>
      </c>
      <c r="B124" s="33" t="str">
        <f t="shared" si="55"/>
        <v>5.10</v>
      </c>
      <c r="C124" s="164" t="s">
        <v>131</v>
      </c>
      <c r="D124" s="25" t="s">
        <v>970</v>
      </c>
      <c r="E124" s="174">
        <f t="shared" si="23"/>
        <v>46314</v>
      </c>
      <c r="F124" s="31" t="s">
        <v>971</v>
      </c>
      <c r="G124" s="21" t="s">
        <v>972</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1031</v>
      </c>
    </row>
    <row r="125" spans="1:26" s="9" customFormat="1" ht="63">
      <c r="A125" s="33">
        <f t="shared" si="29"/>
        <v>119</v>
      </c>
      <c r="B125" s="33" t="str">
        <f t="shared" ref="B125" si="56">MID(D125, FIND("-", D125) + 1, 4)</f>
        <v>5.10</v>
      </c>
      <c r="C125" s="164" t="s">
        <v>131</v>
      </c>
      <c r="D125" s="25" t="s">
        <v>1008</v>
      </c>
      <c r="E125" s="174">
        <f t="shared" si="23"/>
        <v>46316</v>
      </c>
      <c r="F125" s="31" t="s">
        <v>1009</v>
      </c>
      <c r="G125" s="21" t="s">
        <v>1010</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1069</v>
      </c>
    </row>
    <row r="126" spans="1:26" s="9" customFormat="1" ht="78.75">
      <c r="A126" s="33">
        <f t="shared" si="29"/>
        <v>120</v>
      </c>
      <c r="B126" s="33" t="str">
        <f t="shared" ref="B126" si="57">MID(D126, FIND("-", D126) + 1, 4)</f>
        <v>5.11</v>
      </c>
      <c r="C126" s="164" t="s">
        <v>621</v>
      </c>
      <c r="D126" s="25" t="s">
        <v>1051</v>
      </c>
      <c r="E126" s="174">
        <f t="shared" si="23"/>
        <v>46323</v>
      </c>
      <c r="F126" s="31" t="s">
        <v>1052</v>
      </c>
      <c r="G126" s="21" t="s">
        <v>1053</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1071</v>
      </c>
    </row>
    <row r="127" spans="1:26" s="9" customFormat="1" ht="47.25">
      <c r="A127" s="33">
        <f t="shared" si="29"/>
        <v>121</v>
      </c>
      <c r="B127" s="33" t="str">
        <f t="shared" ref="B127" si="58">MID(D127, FIND("-", D127) + 1, 4)</f>
        <v>5.11</v>
      </c>
      <c r="C127" s="164"/>
      <c r="D127" s="25" t="s">
        <v>1056</v>
      </c>
      <c r="E127" s="174">
        <f t="shared" si="23"/>
        <v>46325</v>
      </c>
      <c r="F127" s="31" t="s">
        <v>1057</v>
      </c>
      <c r="G127" s="21" t="s">
        <v>1058</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1096</v>
      </c>
    </row>
    <row r="128" spans="1:26" s="9" customFormat="1" ht="47.25">
      <c r="A128" s="33">
        <f t="shared" si="29"/>
        <v>122</v>
      </c>
      <c r="B128" s="33" t="str">
        <f t="shared" ref="B128" si="59">MID(D128, FIND("-", D128) + 1, 4)</f>
        <v>5.11</v>
      </c>
      <c r="C128" s="164" t="s">
        <v>621</v>
      </c>
      <c r="D128" s="25" t="s">
        <v>1065</v>
      </c>
      <c r="E128" s="174">
        <f t="shared" si="23"/>
        <v>46330</v>
      </c>
      <c r="F128" s="31" t="s">
        <v>1066</v>
      </c>
      <c r="G128" s="21" t="s">
        <v>1067</v>
      </c>
      <c r="H128" s="138"/>
      <c r="I128" s="164">
        <f t="shared" ca="1" si="24"/>
        <v>5</v>
      </c>
      <c r="J128" s="47">
        <f t="shared" ca="1" si="25"/>
        <v>0</v>
      </c>
      <c r="K128" s="164"/>
      <c r="L128" s="40" t="s">
        <v>8</v>
      </c>
      <c r="M128" s="41"/>
      <c r="N128" s="40"/>
      <c r="O128" s="41"/>
      <c r="P128" s="40"/>
      <c r="Q128" s="154"/>
      <c r="R128" s="27">
        <v>46309</v>
      </c>
      <c r="S128" s="27">
        <v>46309</v>
      </c>
      <c r="T128" s="188">
        <v>46309</v>
      </c>
      <c r="U128" s="29"/>
      <c r="V128" s="211"/>
      <c r="W128" s="235"/>
      <c r="X128" s="230"/>
      <c r="Y128" s="19"/>
      <c r="Z128" s="92"/>
    </row>
    <row r="129" spans="1:26" s="9" customFormat="1" ht="63">
      <c r="A129" s="33">
        <f t="shared" si="29"/>
        <v>123</v>
      </c>
      <c r="B129" s="33" t="str">
        <f t="shared" ref="B129" si="60">MID(D129, FIND("-", D129) + 1, 4)</f>
        <v>5.10</v>
      </c>
      <c r="C129" s="164" t="s">
        <v>195</v>
      </c>
      <c r="D129" s="25" t="s">
        <v>1090</v>
      </c>
      <c r="E129" s="174">
        <f t="shared" si="23"/>
        <v>46332</v>
      </c>
      <c r="F129" s="31" t="s">
        <v>1091</v>
      </c>
      <c r="G129" s="21" t="s">
        <v>1092</v>
      </c>
      <c r="H129" s="138"/>
      <c r="I129" s="164">
        <f t="shared" ca="1" si="24"/>
        <v>3</v>
      </c>
      <c r="J129" s="47">
        <f t="shared" ca="1" si="25"/>
        <v>0</v>
      </c>
      <c r="K129" s="164"/>
      <c r="L129" s="40" t="s">
        <v>8</v>
      </c>
      <c r="M129" s="41"/>
      <c r="N129" s="40"/>
      <c r="O129" s="41"/>
      <c r="P129" s="40"/>
      <c r="Q129" s="154"/>
      <c r="R129" s="27">
        <v>46311</v>
      </c>
      <c r="S129" s="27">
        <v>46311</v>
      </c>
      <c r="T129" s="188">
        <v>46311</v>
      </c>
      <c r="U129" s="29"/>
      <c r="V129" s="211"/>
      <c r="W129" s="235"/>
      <c r="X129" s="230"/>
      <c r="Y129" s="19"/>
      <c r="Z129" s="92"/>
    </row>
    <row r="130" spans="1:26" s="9" customFormat="1">
      <c r="A130" s="23"/>
      <c r="B130" s="33"/>
      <c r="C130" s="137"/>
      <c r="D130" s="25"/>
      <c r="E130" s="174"/>
      <c r="F130" s="31"/>
      <c r="G130" s="21"/>
      <c r="H130" s="138"/>
      <c r="I130" s="177"/>
      <c r="J130" s="48"/>
      <c r="K130" s="177"/>
      <c r="L130" s="59"/>
      <c r="M130" s="60"/>
      <c r="N130" s="61"/>
      <c r="O130" s="144"/>
      <c r="P130" s="146"/>
      <c r="Q130" s="152"/>
      <c r="R130" s="27"/>
      <c r="S130" s="27"/>
      <c r="T130" s="187"/>
      <c r="U130" s="29"/>
      <c r="V130" s="188"/>
      <c r="W130" s="235"/>
      <c r="X130" s="230"/>
      <c r="Y130" s="19"/>
      <c r="Z130" s="92"/>
    </row>
    <row r="131" spans="1:26" s="9" customFormat="1" ht="16.5" thickBot="1">
      <c r="A131" s="24"/>
      <c r="B131" s="329"/>
      <c r="C131" s="165"/>
      <c r="D131" s="45"/>
      <c r="E131" s="175"/>
      <c r="F131" s="32"/>
      <c r="G131" s="22"/>
      <c r="H131" s="139"/>
      <c r="I131" s="178"/>
      <c r="J131" s="49"/>
      <c r="K131" s="178"/>
      <c r="L131" s="62"/>
      <c r="M131" s="63"/>
      <c r="N131" s="64"/>
      <c r="O131" s="145"/>
      <c r="P131" s="147"/>
      <c r="Q131" s="153"/>
      <c r="R131" s="44"/>
      <c r="S131" s="44"/>
      <c r="T131" s="189"/>
      <c r="U131" s="43"/>
      <c r="V131" s="194"/>
      <c r="W131" s="258"/>
      <c r="X131" s="232"/>
      <c r="Y131" s="20"/>
      <c r="Z131" s="93"/>
    </row>
    <row r="132" spans="1:26" ht="16.5" thickBot="1"/>
    <row r="133" spans="1:26" ht="16.5" thickBot="1">
      <c r="C133" s="207" t="s">
        <v>38</v>
      </c>
      <c r="D133" s="428" t="s">
        <v>39</v>
      </c>
      <c r="E133" s="429"/>
      <c r="F133" s="46"/>
      <c r="G133" s="68"/>
      <c r="H133" s="356" t="s">
        <v>14</v>
      </c>
      <c r="I133" s="357"/>
      <c r="J133" s="357"/>
      <c r="K133" s="357"/>
      <c r="L133" s="357"/>
      <c r="M133" s="358"/>
      <c r="N133" s="362" t="s">
        <v>7</v>
      </c>
      <c r="O133" s="363"/>
      <c r="P133" s="362" t="s">
        <v>110</v>
      </c>
      <c r="Q133" s="363"/>
      <c r="R133" s="1"/>
      <c r="S133" s="1"/>
      <c r="T133" s="140"/>
      <c r="U133" s="1"/>
      <c r="W133" s="11"/>
      <c r="X133" s="11"/>
      <c r="Y133" s="11"/>
    </row>
    <row r="134" spans="1:26" ht="16.5" customHeight="1" thickBot="1">
      <c r="C134" s="208" t="s">
        <v>74</v>
      </c>
      <c r="D134" s="435" t="s">
        <v>77</v>
      </c>
      <c r="E134" s="436"/>
      <c r="F134" s="46"/>
      <c r="G134" s="46"/>
      <c r="H134" s="430" t="s">
        <v>17</v>
      </c>
      <c r="I134" s="431"/>
      <c r="J134" s="130"/>
      <c r="K134" s="210"/>
      <c r="L134" s="117">
        <f ca="1">M134/$M$134</f>
        <v>1</v>
      </c>
      <c r="M134" s="104">
        <f ca="1">SUM($M$135:$M$137)</f>
        <v>127</v>
      </c>
      <c r="N134" s="118" t="s">
        <v>15</v>
      </c>
      <c r="O134" s="119" t="s">
        <v>16</v>
      </c>
      <c r="P134" s="117">
        <f ca="1">Q134/$Q$134</f>
        <v>1</v>
      </c>
      <c r="Q134" s="104">
        <f ca="1">SUM(Q135:Q136)</f>
        <v>109</v>
      </c>
      <c r="R134" s="1"/>
      <c r="S134" s="1"/>
      <c r="T134" s="140"/>
      <c r="U134" s="1"/>
      <c r="W134" s="11"/>
      <c r="X134" s="11"/>
      <c r="Y134" s="11"/>
    </row>
    <row r="135" spans="1:26">
      <c r="C135" s="394" t="s">
        <v>6</v>
      </c>
      <c r="D135" s="435" t="s">
        <v>40</v>
      </c>
      <c r="E135" s="436"/>
      <c r="F135" s="69"/>
      <c r="G135" s="6"/>
      <c r="H135" s="432" t="s">
        <v>69</v>
      </c>
      <c r="I135" s="433"/>
      <c r="J135" s="433"/>
      <c r="K135" s="434"/>
      <c r="L135" s="122">
        <f t="shared" ref="L135:L137" ca="1" si="61">M135/$M$134</f>
        <v>0.83464566929133854</v>
      </c>
      <c r="M135" s="123">
        <f>COUNTIF($H$7:$H$131,"RFCS")</f>
        <v>106</v>
      </c>
      <c r="N135" s="121">
        <f ca="1">COUNTIFS($I$7:$I$131,"&lt;=21",$H$7:$H$131,"RFCS")</f>
        <v>64</v>
      </c>
      <c r="O135" s="120">
        <f ca="1">COUNTIFS($I$7:$I$131,"&gt;21",$H$7:$H$131,"RFCS")</f>
        <v>41</v>
      </c>
      <c r="P135" s="122">
        <f ca="1">Q135/$Q$134</f>
        <v>0.62385321100917435</v>
      </c>
      <c r="Q135" s="123">
        <f>COUNTIF($Q$7:$Q$131,"RBE") + COUNTIF($Q$7:$Q$131,"SUP")</f>
        <v>68</v>
      </c>
      <c r="R135" s="1"/>
      <c r="S135" s="1"/>
      <c r="T135" s="140"/>
      <c r="U135" s="1"/>
      <c r="W135" s="11"/>
      <c r="X135" s="11"/>
      <c r="Y135" s="11"/>
    </row>
    <row r="136" spans="1:26">
      <c r="C136" s="394"/>
      <c r="D136" s="435"/>
      <c r="E136" s="436"/>
      <c r="F136" s="72"/>
      <c r="G136" s="6"/>
      <c r="H136" s="388" t="s">
        <v>70</v>
      </c>
      <c r="I136" s="389"/>
      <c r="J136" s="389"/>
      <c r="K136" s="390"/>
      <c r="L136" s="124">
        <f t="shared" ca="1" si="61"/>
        <v>5.5118110236220472E-2</v>
      </c>
      <c r="M136" s="125">
        <f ca="1">SUM(N136:O136)</f>
        <v>7</v>
      </c>
      <c r="N136" s="98">
        <f ca="1">COUNTIFS($I$7:$I$131,"&lt;=21",$U$7:$U$131,"",$K$7:$K$131,"&lt;&gt;X")</f>
        <v>2</v>
      </c>
      <c r="O136" s="50">
        <f ca="1">COUNTIFS($I$7:$I$131,"&gt;21",$U$7:$U$131,"",$K$7:$K$131,"&lt;&gt;X")</f>
        <v>5</v>
      </c>
      <c r="P136" s="124">
        <f ca="1">Q136/$Q$134</f>
        <v>0.37614678899082571</v>
      </c>
      <c r="Q136" s="125">
        <f ca="1">COUNTIFS($I$7:$I$131,"&gt;=0",$P$7:$P$131,"",$K$7:$K$131,"&lt;&gt;X")</f>
        <v>41</v>
      </c>
      <c r="R136" s="1" t="s">
        <v>10</v>
      </c>
      <c r="S136" s="1"/>
      <c r="T136" s="140"/>
      <c r="U136" s="1"/>
      <c r="W136" s="11"/>
      <c r="X136" s="11"/>
      <c r="Y136" s="11"/>
    </row>
    <row r="137" spans="1:26" ht="16.5" thickBot="1">
      <c r="C137" s="394" t="s">
        <v>75</v>
      </c>
      <c r="D137" s="350" t="s">
        <v>76</v>
      </c>
      <c r="E137" s="351"/>
      <c r="H137" s="391" t="s">
        <v>71</v>
      </c>
      <c r="I137" s="392"/>
      <c r="J137" s="392"/>
      <c r="K137" s="393"/>
      <c r="L137" s="126">
        <f t="shared" ca="1" si="61"/>
        <v>0.11023622047244094</v>
      </c>
      <c r="M137" s="116">
        <f>COUNTIFS($K$7:$K$131,"X")</f>
        <v>14</v>
      </c>
      <c r="N137" s="99"/>
      <c r="O137" s="51"/>
      <c r="P137" s="223"/>
      <c r="Q137" s="224"/>
    </row>
    <row r="138" spans="1:26" ht="16.5" thickBot="1">
      <c r="C138" s="395"/>
      <c r="D138" s="352"/>
      <c r="E138" s="353"/>
    </row>
    <row r="140" spans="1:26">
      <c r="C140" s="378" t="s">
        <v>41</v>
      </c>
      <c r="D140" s="378"/>
      <c r="E140" s="378"/>
    </row>
    <row r="141" spans="1:26">
      <c r="C141" s="169" t="s">
        <v>8</v>
      </c>
      <c r="D141" s="1" t="s">
        <v>42</v>
      </c>
    </row>
    <row r="142" spans="1:26">
      <c r="C142" s="169" t="s">
        <v>8</v>
      </c>
      <c r="D142" s="127" t="s">
        <v>43</v>
      </c>
    </row>
    <row r="143" spans="1:26">
      <c r="C143" s="169" t="s">
        <v>8</v>
      </c>
      <c r="D143" s="1" t="s">
        <v>44</v>
      </c>
    </row>
  </sheetData>
  <autoFilter ref="A6:Z127" xr:uid="{C184EF3E-84BF-4DCF-951B-B90EB4B9D23F}">
    <sortState xmlns:xlrd2="http://schemas.microsoft.com/office/spreadsheetml/2017/richdata2" ref="A7:Z32">
      <sortCondition ref="S6"/>
    </sortState>
  </autoFilter>
  <mergeCells count="32">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 ref="H134:I134"/>
    <mergeCell ref="C140:E140"/>
    <mergeCell ref="H135:K135"/>
    <mergeCell ref="H136:K136"/>
    <mergeCell ref="H137:K137"/>
    <mergeCell ref="D134:E134"/>
    <mergeCell ref="C135:C136"/>
    <mergeCell ref="D135:E136"/>
    <mergeCell ref="C137:C138"/>
    <mergeCell ref="D137:E138"/>
    <mergeCell ref="B4:B5"/>
    <mergeCell ref="P133:Q133"/>
    <mergeCell ref="J4:J5"/>
    <mergeCell ref="D133:E133"/>
    <mergeCell ref="H133:M133"/>
    <mergeCell ref="N133:O133"/>
  </mergeCells>
  <phoneticPr fontId="71"/>
  <conditionalFormatting sqref="A7:Z131">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1" r:id="rId128" xr:uid="{F06CE902-4089-4B08-A7E9-420A16C9FF0E}"/>
    <hyperlink ref="C142" r:id="rId129" xr:uid="{6D322F1B-B574-40E7-BED0-14ED893C19C5}"/>
    <hyperlink ref="C143"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s>
  <pageMargins left="0.25" right="0.17" top="0.5" bottom="0.25" header="0.3" footer="0.3"/>
  <pageSetup paperSize="9" scale="28" orientation="landscape" horizontalDpi="300" verticalDpi="300" r:id="rId48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4"/>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839</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408" t="s">
        <v>123</v>
      </c>
      <c r="B4" s="366" t="s">
        <v>45</v>
      </c>
      <c r="C4" s="366" t="s">
        <v>95</v>
      </c>
      <c r="D4" s="366" t="s">
        <v>46</v>
      </c>
      <c r="E4" s="369" t="s">
        <v>4</v>
      </c>
      <c r="F4" s="449" t="s">
        <v>5</v>
      </c>
      <c r="G4" s="443" t="s">
        <v>53</v>
      </c>
      <c r="H4" s="443"/>
      <c r="I4" s="444"/>
      <c r="J4" s="445" t="s">
        <v>55</v>
      </c>
      <c r="K4" s="443"/>
      <c r="L4" s="444"/>
      <c r="M4" s="445" t="s">
        <v>72</v>
      </c>
      <c r="N4" s="443"/>
      <c r="O4" s="444"/>
      <c r="P4" s="446" t="s">
        <v>112</v>
      </c>
      <c r="Q4" s="447"/>
      <c r="R4" s="447"/>
      <c r="S4" s="448"/>
    </row>
    <row r="5" spans="1:25" ht="78.75">
      <c r="A5" s="409"/>
      <c r="B5" s="367"/>
      <c r="C5" s="367"/>
      <c r="D5" s="367"/>
      <c r="E5" s="370"/>
      <c r="F5" s="411"/>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4">IF(_xlfn.ANCHORARRAY(D7)="","",_xlfn.SEQUENCE(ROWS(_xlfn.ANCHORARRAY(D7))))</f>
        <v>1</v>
      </c>
      <c r="B7" s="302" t="str" cm="1">
        <f t="array" ref="B7:B24">_xlfn.LET(
_xlpm.x,_xlfn.XLOOKUP(_xlfn.ANCHORARRAY(D7),RFA!$E:$E,RFA!$C:$C,""),
IF(_xlpm.x=0,"",_xlpm.x)
)</f>
        <v>FAS</v>
      </c>
      <c r="C7" s="13" t="str" cm="1">
        <f t="array" ref="C7:C24">_xlfn.LET(
_xlpm.x,_xlfn.XLOOKUP(_xlfn.ANCHORARRAY(D7),RFA!$E:$E,RFA!$D:$D,""),
IF(_xlpm.x=0,"",_xlpm.x)
)</f>
        <v>MAS</v>
      </c>
      <c r="D7" s="282" t="str" cm="1">
        <f t="array" ref="D7:D24">_xlfn._xlws.FILTER(RFA!$E$5:$E$4578, RFA!$AI$5:$AI$4578="YES","")</f>
        <v>LTIA-5.10-VIETUR-70000-RFA-MAS-0088A</v>
      </c>
      <c r="E7" s="303" t="str" cm="1">
        <f t="array" ref="E7:E24">_xlfn.LET(
_xlpm.x,_xlfn.XLOOKUP(_xlfn.ANCHORARRAY(D7),RFA!$E:$E,RFA!$G:$G,""),
IF(_xlpm.x=0,"",_xlpm.x)
)</f>
        <v>Request for approval material cable fire resistant shield for fire alarm system (Belden)</v>
      </c>
      <c r="F7" s="303" t="str" cm="1">
        <f t="array" ref="F7:F24">_xlfn.LET(
_xlpm.x,_xlfn.XLOOKUP(_xlfn.ANCHORARRAY(D7),RFA!$E:$E,RFA!$H:$H,""),
IF(_xlpm.x=0,"",_xlpm.x)
)</f>
        <v>Đề nghị phê duyệt vật liệu cáp chống cháy cho hệ thống báo cháy (Belden)</v>
      </c>
      <c r="G7" s="270" cm="1">
        <f t="array" ref="G7:G24">_xlfn.LET(
_xlpm.x,_xlfn.XLOOKUP(_xlfn.ANCHORARRAY(D7),RFA!$E:$E,RFA!$S:$S,""),
IF(_xlpm.x=0,"",_xlpm.x)
)</f>
        <v>45426</v>
      </c>
      <c r="H7" s="270" cm="1">
        <f t="array" ref="H7:H24">_xlfn.LET(
_xlpm.x,_xlfn.XLOOKUP(_xlfn.ANCHORARRAY(D7),RFA!$E:$E,RFA!$T:$T,""),
IF(_xlpm.x=0,"",_xlpm.x)
)</f>
        <v>45426</v>
      </c>
      <c r="I7" s="264" cm="1">
        <f t="array" ref="I7:I24">_xlfn.LET(
_xlpm.x,_xlfn.XLOOKUP(_xlfn.ANCHORARRAY(D7),RFA!$E:$E,RFA!$U:$U,""),
IF(_xlpm.x=0,"",_xlpm.x)
)</f>
        <v>45426</v>
      </c>
      <c r="J7" s="264" t="str" cm="1">
        <f t="array" ref="J7:J24">_xlfn.LET(
_xlpm.x,_xlfn.XLOOKUP(_xlfn.ANCHORARRAY(D7),RFA!$E:$E,RFA!$I:$I,""),
IF(_xlpm.x=0,"",_xlpm.x)
)</f>
        <v>C</v>
      </c>
      <c r="K7" s="270" cm="1">
        <f t="array" ref="K7:K24">_xlfn.LET(
_xlpm.x,_xlfn.XLOOKUP(_xlfn.ANCHORARRAY(D7),RFA!$E:$E,RFA!$V:$V,""),
IF(_xlpm.x=0,"",_xlpm.x)
)</f>
        <v>45454</v>
      </c>
      <c r="L7" s="264" cm="1">
        <f t="array" ref="L7:L24">_xlfn.LET(
_xlpm.x,_xlfn.XLOOKUP(_xlfn.ANCHORARRAY(D7),RFA!$E:$E,RFA!$W:$W,""),
IF(_xlpm.x=0,"",_xlpm.x)
)</f>
        <v>45455</v>
      </c>
      <c r="M7" s="264" t="str" cm="1">
        <f t="array" ref="M7:M24">_xlfn.LET(
_xlpm.x,_xlfn.XLOOKUP(_xlfn.ANCHORARRAY(D7),RFA!$E:$E,RFA!$R:$R,""),
IF(_xlpm.x=0,"",_xlpm.x)
)</f>
        <v>C</v>
      </c>
      <c r="N7" s="270" cm="1">
        <f t="array" ref="N7:N24">_xlfn.LET(
_xlpm.x,_xlfn.XLOOKUP(_xlfn.ANCHORARRAY(D7),RFA!$E:$E,RFA!$Y:$Y,""),
IF(_xlpm.x=0,"",_xlpm.x)
)</f>
        <v>45456</v>
      </c>
      <c r="O7" s="264" cm="1">
        <f t="array" ref="O7:O24">_xlfn.LET(
_xlpm.x,_xlfn.XLOOKUP(_xlfn.ANCHORARRAY(D7),RFA!$E:$E,RFA!$Z:$Z,""),
IF(_xlpm.x=0,"",_xlpm.x)
)</f>
        <v>45456</v>
      </c>
      <c r="P7" s="264" cm="1">
        <f t="array" ref="P7:P24">_xlfn.LET(
_xlpm.x,_xlfn.XLOOKUP(_xlfn.ANCHORARRAY(D7),RFA!$E:$E,RFA!$AA:$AA,""),
IF(_xlpm.x=0,"",_xlpm.x)
)</f>
        <v>45463</v>
      </c>
      <c r="Q7" s="270" t="str" cm="1">
        <f t="array" ref="Q7:Q24">_xlfn.LET(
_xlpm.x,_xlfn.XLOOKUP(_xlfn.ANCHORARRAY(D7),RFA!$E:$E,RFA!$AB:$AB,""),
IF(_xlpm.x=0,"",_xlpm.x)
)</f>
        <v/>
      </c>
      <c r="R7" s="13" t="str" cm="1">
        <f t="array" aca="1" ref="R7:R24" ca="1">_xlfn.LET(
_xlpm.x,_xlfn.XLOOKUP(_xlfn.ANCHORARRAY(D7),RFA!$E:$E,RFA!$AC:$AC,""),
IF(_xlpm.x=0,"",_xlpm.x)
)</f>
        <v>Not submit yet</v>
      </c>
      <c r="S7" s="279" cm="1">
        <f t="array" aca="1" ref="S7:S24" ca="1">_xlfn.LET(
_xlpm.x,_xlfn.XLOOKUP(_xlfn.ANCHORARRAY(D7),RFA!$E:$E,RFA!$AD:$AD,""),
IF(_xlpm.x=0,"",_xlpm.x)
)</f>
        <v>851</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f ca="1"/>
        <v>Not submit yet</v>
      </c>
      <c r="S8" s="279">
        <f ca="1"/>
        <v>816</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f ca="1"/>
        <v>Not submit yet</v>
      </c>
      <c r="S9" s="279">
        <f ca="1"/>
        <v>514</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f ca="1"/>
        <v>Not submit yet</v>
      </c>
      <c r="S10" s="279">
        <f ca="1"/>
        <v>395</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f ca="1"/>
        <v>Not submit yet</v>
      </c>
      <c r="S11" s="279">
        <f ca="1"/>
        <v>335</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f ca="1"/>
        <v>Not submit yet</v>
      </c>
      <c r="S12" s="279">
        <f ca="1"/>
        <v>312</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f ca="1"/>
        <v>Not submit yet</v>
      </c>
      <c r="S13" s="279">
        <f ca="1"/>
        <v>307</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f ca="1"/>
        <v>Not submit yet</v>
      </c>
      <c r="S14" s="279">
        <f ca="1"/>
        <v>144</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f ca="1"/>
        <v/>
      </c>
      <c r="S15" s="279" t="str">
        <f ca="1"/>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f ca="1"/>
        <v/>
      </c>
      <c r="S16" s="279" t="str">
        <f ca="1"/>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f ca="1"/>
        <v/>
      </c>
      <c r="S17" s="279" t="str">
        <f ca="1"/>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f ca="1"/>
        <v/>
      </c>
      <c r="S18" s="279" t="str">
        <f ca="1"/>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f ca="1"/>
        <v/>
      </c>
      <c r="S19" s="279" t="str">
        <f ca="1"/>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f ca="1"/>
        <v/>
      </c>
      <c r="S20" s="279" t="str">
        <f ca="1"/>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f ca="1"/>
        <v/>
      </c>
      <c r="S21" s="279" t="str">
        <f ca="1"/>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
      </c>
      <c r="N22" s="270" t="str">
        <v/>
      </c>
      <c r="O22" s="264" t="str">
        <v/>
      </c>
      <c r="P22" s="264">
        <v>46282</v>
      </c>
      <c r="Q22" s="270" t="str">
        <v/>
      </c>
      <c r="R22" s="13" t="str">
        <f ca="1"/>
        <v/>
      </c>
      <c r="S22" s="279" t="str">
        <f ca="1"/>
        <v/>
      </c>
    </row>
    <row r="23" spans="1:19" ht="60">
      <c r="A23" s="13">
        <v>17</v>
      </c>
      <c r="B23" s="302" t="str">
        <v>MCS</v>
      </c>
      <c r="C23" s="13" t="str">
        <v>OTH</v>
      </c>
      <c r="D23" s="282" t="str">
        <v>LTIA-5.10-VIETUR-70000-RFA-OTH-0721A</v>
      </c>
      <c r="E23" s="303" t="str">
        <v>Request for approval of Pre-completion inspection, testing, commissioning of Master Clock System (MCS)</v>
      </c>
      <c r="F23" s="303" t="str">
        <v>Đề nghị phê duyệt Quy trình kiểm tra trước khi hoàn thành, thử nghiệm, vận hành của Hệ thống Đồng hồ chủ (MCS)</v>
      </c>
      <c r="G23" s="270">
        <v>46262</v>
      </c>
      <c r="H23" s="270">
        <v>46262</v>
      </c>
      <c r="I23" s="264">
        <v>46262</v>
      </c>
      <c r="J23" s="264" t="str">
        <v>B</v>
      </c>
      <c r="K23" s="270">
        <v>46276</v>
      </c>
      <c r="L23" s="264">
        <v>46279</v>
      </c>
      <c r="M23" s="264" t="str">
        <v/>
      </c>
      <c r="N23" s="270" t="str">
        <v/>
      </c>
      <c r="O23" s="264" t="str">
        <v/>
      </c>
      <c r="P23" s="264">
        <v>46286</v>
      </c>
      <c r="Q23" s="270" t="str">
        <v/>
      </c>
      <c r="R23" s="13" t="str">
        <f ca="1"/>
        <v/>
      </c>
      <c r="S23" s="279" t="str">
        <f ca="1"/>
        <v/>
      </c>
    </row>
    <row r="24" spans="1:19" ht="105">
      <c r="A24" s="13">
        <v>18</v>
      </c>
      <c r="B24" s="302" t="str">
        <v>FAS</v>
      </c>
      <c r="C24" s="13" t="str">
        <v>OTH</v>
      </c>
      <c r="D24" s="282" t="str">
        <v>LTIA-5.10-VIETUR-70000-RFA-OTH-0733A</v>
      </c>
      <c r="E24" s="303" t="str">
        <v>Request for approval Pre-completion inspection, testing, and commissioning: + Section 70000 – ICT works/ Subsection 72000 – Extra-low Voltage System (ELV) and Communication/ Division 72160 – Fire Alarm System (FAS)</v>
      </c>
      <c r="F24" s="303" t="str">
        <v>Đề nghị phê duyệt Kiểm tra trước khi hoàn thành, thử nghiệm và vận hành: + Phần 70000 – Công tác ICT/ Mục 72000 – Hệ thống điện nhẹ (ELV) &amp; Truyền thông/ Tiểu mục 72160 – Hệ thống báo cháy (FAS)</v>
      </c>
      <c r="G24" s="270">
        <v>46289</v>
      </c>
      <c r="H24" s="270">
        <v>46289</v>
      </c>
      <c r="I24" s="264">
        <v>46289</v>
      </c>
      <c r="J24" s="264" t="str">
        <v>C</v>
      </c>
      <c r="K24" s="270">
        <v>46297</v>
      </c>
      <c r="L24" s="264">
        <v>46300</v>
      </c>
      <c r="M24" s="264" t="str">
        <v/>
      </c>
      <c r="N24" s="270" t="str">
        <v/>
      </c>
      <c r="O24" s="264" t="str">
        <v/>
      </c>
      <c r="P24" s="264">
        <v>46307</v>
      </c>
      <c r="Q24" s="270" t="str">
        <v/>
      </c>
      <c r="R24" s="13" t="str">
        <f ca="1"/>
        <v/>
      </c>
      <c r="S24" s="279" t="str">
        <f ca="1"/>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8"/>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408" t="s">
        <v>123</v>
      </c>
      <c r="B4" s="366" t="s">
        <v>45</v>
      </c>
      <c r="C4" s="366" t="s">
        <v>46</v>
      </c>
      <c r="D4" s="364" t="s">
        <v>4</v>
      </c>
      <c r="E4" s="449" t="s">
        <v>5</v>
      </c>
      <c r="F4" s="443" t="s">
        <v>53</v>
      </c>
      <c r="G4" s="443"/>
      <c r="H4" s="444"/>
      <c r="I4" s="445" t="s">
        <v>55</v>
      </c>
      <c r="J4" s="443"/>
      <c r="K4" s="444"/>
      <c r="L4" s="445" t="s">
        <v>72</v>
      </c>
      <c r="M4" s="443"/>
      <c r="N4" s="444"/>
      <c r="O4" s="446" t="s">
        <v>112</v>
      </c>
      <c r="P4" s="447"/>
      <c r="Q4" s="447"/>
      <c r="R4" s="448"/>
    </row>
    <row r="5" spans="1:18" ht="78.75">
      <c r="A5" s="409"/>
      <c r="B5" s="367"/>
      <c r="C5" s="367"/>
      <c r="D5" s="440"/>
      <c r="E5" s="370"/>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8">IF(_xlfn.ANCHORARRAY(C7)="","",_xlfn.SEQUENCE(ROWS(_xlfn.ANCHORARRAY(C7))))</f>
        <v>1</v>
      </c>
      <c r="B7" s="302" t="str" cm="1">
        <f t="array" ref="B7:B18">_xlfn.LET(_xlpm.x,_xlfn.XLOOKUP(_xlfn.ANCHORARRAY(C7),'RFA-SDS'!$D:$D,'RFA-SDS'!$C:$C,""),IF(_xlpm.x=0,"",_xlpm.x))</f>
        <v>FAS
SCS
SCN
DCH
PAS</v>
      </c>
      <c r="C7" s="282" t="str" cm="1">
        <f t="array" ref="C7:C18">_xlfn._xlws.FILTER('RFA-SDS'!$D$5:$D$4869,'RFA-SDS'!$AI$5:$AI$4869="YES","")</f>
        <v>LTIA-5.10-VIETUR-80000-RFA-SDS-0214</v>
      </c>
      <c r="D7" s="303" t="str" cm="1">
        <f t="array" ref="D7:D18">_xlfn.LET(_xlpm.x,_xlfn.XLOOKUP(_xlfn.ANCHORARRAY(C7),'RFA-SDS'!$D:$D,'RFA-SDS'!$F:$F,""),IF(_xlpm.x=0,"",_xlpm.x))</f>
        <v xml:space="preserve">Construction design drawing of  ICT system – part.1: ICT systems for FLB </v>
      </c>
      <c r="E7" s="303" t="str" cm="1">
        <f t="array" ref="E7:E18">_xlfn.LET(_xlpm.x,_xlfn.XLOOKUP(_xlfn.ANCHORARRAY(C7),'RFA-SDS'!$D:$D,'RFA-SDS'!$G:$G,""),IF(_xlpm.x=0,"",_xlpm.x))</f>
        <v>Bản vẽ TKTC cho hệ thống ICT – phần 1 – Hệ thống ICT cho FLB</v>
      </c>
      <c r="F7" s="270" cm="1">
        <f t="array" ref="F7:F18">_xlfn.LET(_xlpm.x,_xlfn.XLOOKUP(_xlfn.ANCHORARRAY(C7),'RFA-SDS'!$D:$D,'RFA-SDS'!$R:$R,""),IF(_xlpm.x=0,"",_xlpm.x))</f>
        <v>45673</v>
      </c>
      <c r="G7" s="270" cm="1">
        <f t="array" ref="G7:G18">_xlfn.LET(_xlpm.x,_xlfn.XLOOKUP(_xlfn.ANCHORARRAY(C7),'RFA-SDS'!$D:$D,'RFA-SDS'!$S:$S,""),IF(_xlpm.x=0,"",_xlpm.x))</f>
        <v>45673</v>
      </c>
      <c r="H7" s="264" cm="1">
        <f t="array" ref="H7:H18">_xlfn.LET(_xlpm.x,_xlfn.XLOOKUP(_xlfn.ANCHORARRAY(C7),'RFA-SDS'!$D:$D,'RFA-SDS'!$T:$T,""),IF(_xlpm.x=0,"",_xlpm.x))</f>
        <v>45699</v>
      </c>
      <c r="I7" s="264" t="str" cm="1">
        <f t="array" ref="I7:I18">_xlfn.LET(_xlpm.x,_xlfn.XLOOKUP(_xlfn.ANCHORARRAY(C7),'RFA-SDS'!$D:$D,'RFA-SDS'!$H:$H,""),IF(_xlpm.x=0,"",_xlpm.x))</f>
        <v>B</v>
      </c>
      <c r="J7" s="270" cm="1">
        <f t="array" ref="J7:J18">_xlfn.LET(_xlpm.x,_xlfn.XLOOKUP(_xlfn.ANCHORARRAY(C7),'RFA-SDS'!$D:$D,'RFA-SDS'!$U:$U,""),IF(_xlpm.x=0,"",_xlpm.x))</f>
        <v>45716</v>
      </c>
      <c r="K7" s="264" cm="1">
        <f t="array" ref="K7:K18">_xlfn.LET(_xlpm.x,_xlfn.XLOOKUP(_xlfn.ANCHORARRAY(C7),'RFA-SDS'!$D:$D,'RFA-SDS'!$V:$V,""),IF(_xlpm.x=0,"",_xlpm.x))</f>
        <v>45741</v>
      </c>
      <c r="L7" s="264" t="str" cm="1">
        <f t="array" ref="L7:L18">_xlfn.LET(_xlpm.x,_xlfn.XLOOKUP(_xlfn.ANCHORARRAY(C7),'RFA-SDS'!$D:$D,'RFA-SDS'!$Q:$Q,""),IF(_xlpm.x=0,"",_xlpm.x))</f>
        <v>B</v>
      </c>
      <c r="M7" s="270" cm="1">
        <f t="array" ref="M7:M18">_xlfn.LET(_xlpm.x,_xlfn.XLOOKUP(_xlfn.ANCHORARRAY(C7),'RFA-SDS'!$D:$D,'RFA-SDS'!$X:$X,""),IF(_xlpm.x=0,"",_xlpm.x))</f>
        <v>45756</v>
      </c>
      <c r="N7" s="264" cm="1">
        <f t="array" ref="N7:N18">_xlfn.LET(_xlpm.x,_xlfn.XLOOKUP(_xlfn.ANCHORARRAY(C7),'RFA-SDS'!$D:$D,'RFA-SDS'!$Y:$Y,""),IF(_xlpm.x=0,"",_xlpm.x))</f>
        <v>45756</v>
      </c>
      <c r="O7" s="264" cm="1">
        <f t="array" ref="O7:O18">_xlfn.LET(_xlpm.x,_xlfn.XLOOKUP(_xlfn.ANCHORARRAY(C7),'RFA-SDS'!$D:$D,'RFA-SDS'!$Z:$Z,""),IF(_xlpm.x=0,"",_xlpm.x))</f>
        <v>45763</v>
      </c>
      <c r="P7" s="270" t="str" cm="1">
        <f t="array" ref="P7:P18">_xlfn.LET(_xlpm.x,_xlfn.XLOOKUP(_xlfn.ANCHORARRAY(C7),'RFA-SDS'!$D:$D,'RFA-SDS'!$AA:$AA,""),IF(_xlpm.x=0,"",_xlpm.x))</f>
        <v/>
      </c>
      <c r="Q7" s="13" t="str" cm="1">
        <f t="array" aca="1" ref="Q7:Q18" ca="1">_xlfn.LET(_xlpm.x,_xlfn.XLOOKUP(_xlfn.ANCHORARRAY(C7),'RFA-SDS'!$D:$D,'RFA-SDS'!$AB:$AB,""),IF(_xlpm.x=0,"",_xlpm.x))</f>
        <v>Not submit yet</v>
      </c>
      <c r="R7" s="279" cm="1">
        <f t="array" aca="1" ref="R7:R18" ca="1">_xlfn.LET(_xlpm.x,_xlfn.XLOOKUP(_xlfn.ANCHORARRAY(C7),'RFA-SDS'!$D:$D,'RFA-SDS'!$AC:$AC,""),IF(_xlpm.x=0,"",_xlpm.x))</f>
        <v>551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f ca="1"/>
        <v>Not submit yet</v>
      </c>
      <c r="R8" s="279">
        <f ca="1"/>
        <v>461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t="str">
        <v/>
      </c>
      <c r="Q9" s="13" t="str">
        <f ca="1"/>
        <v>Not submit yet</v>
      </c>
      <c r="R9" s="279">
        <f ca="1"/>
        <v>350</v>
      </c>
    </row>
    <row r="10" spans="1:18" ht="105">
      <c r="A10" s="13">
        <v>4</v>
      </c>
      <c r="B10" s="302" t="str">
        <v>SCN
PAS</v>
      </c>
      <c r="C10" s="282" t="str">
        <v>LTIA-5.10-VIETUR-80000-RFA-SDS-0122A</v>
      </c>
      <c r="D10" s="303" t="str">
        <v>Construction design drawing of ICT system – part.1: ICT systems for 1F Level (Re-submission for attachment): 2. Structure Cable Network-level 1 (attachment 02). &amp; 5. Public Address Systems -level 1 (attachment 05).</v>
      </c>
      <c r="E10" s="303" t="str">
        <v>Bản vẽ TKTC cho hệ thống ICT – phần 1 – Hệ thống ICT cho tầng 1 (Trình cho phần đính kèm số: 2. Hệ thống Mạng Cáp – tầng 1 (đính kèm 02) &amp; 5. Hệ Thống Phát Thanh Công Cộng - tầng 1 (đính kèm 05)</v>
      </c>
      <c r="F10" s="270">
        <v>45850</v>
      </c>
      <c r="G10" s="270">
        <v>45850</v>
      </c>
      <c r="H10" s="264">
        <v>45855</v>
      </c>
      <c r="I10" s="264" t="str">
        <v>B</v>
      </c>
      <c r="J10" s="270">
        <v>45862</v>
      </c>
      <c r="K10" s="264">
        <v>45870</v>
      </c>
      <c r="L10" s="264" t="str">
        <v>B</v>
      </c>
      <c r="M10" s="270">
        <v>45954</v>
      </c>
      <c r="N10" s="264">
        <v>45957</v>
      </c>
      <c r="O10" s="264">
        <v>45964</v>
      </c>
      <c r="P10" s="270" t="str">
        <v/>
      </c>
      <c r="Q10" s="13" t="str">
        <f ca="1"/>
        <v>Not submit yet</v>
      </c>
      <c r="R10" s="279">
        <f ca="1"/>
        <v>350</v>
      </c>
    </row>
    <row r="11" spans="1:18" ht="45">
      <c r="A11" s="13">
        <v>5</v>
      </c>
      <c r="B11" s="302" t="str">
        <v>SCN</v>
      </c>
      <c r="C11" s="282" t="str">
        <v>LTIA-5.10-VIETUR-80000-RFA-SDS-0080A</v>
      </c>
      <c r="D11" s="303" t="str">
        <v>Construction design drawing of  ICT system – part.4: ICT systems for PIT Level (Underground)</v>
      </c>
      <c r="E11" s="303" t="str">
        <v>Bản vẽ TKTC cho hệ thống ICT – phần 4 – Hệ thống ICT cho tầng PIT (phần ngầm)</v>
      </c>
      <c r="F11" s="270">
        <v>45861</v>
      </c>
      <c r="G11" s="270">
        <v>45861</v>
      </c>
      <c r="H11" s="264">
        <v>45866</v>
      </c>
      <c r="I11" s="264" t="str">
        <v>B</v>
      </c>
      <c r="J11" s="270">
        <v>45874</v>
      </c>
      <c r="K11" s="264">
        <v>45908</v>
      </c>
      <c r="L11" s="264" t="str">
        <v>B</v>
      </c>
      <c r="M11" s="270">
        <v>45954</v>
      </c>
      <c r="N11" s="264">
        <v>45957</v>
      </c>
      <c r="O11" s="264">
        <v>45964</v>
      </c>
      <c r="P11" s="270" t="str">
        <v/>
      </c>
      <c r="Q11" s="13" t="str">
        <f ca="1"/>
        <v>Not submit yet</v>
      </c>
      <c r="R11" s="279">
        <f ca="1"/>
        <v>350</v>
      </c>
    </row>
    <row r="12" spans="1:18" ht="45">
      <c r="A12" s="13">
        <v>6</v>
      </c>
      <c r="B12" s="302" t="str">
        <v>FAS
BHS</v>
      </c>
      <c r="C12" s="282" t="str">
        <v>LTIA-5.10-VIETUR-80000-RFA-SDS-0350</v>
      </c>
      <c r="D12" s="303" t="str">
        <v xml:space="preserve">Construction design drawing of  ICT system – part.1: ICT systems for FAS Under BHS Flatform. </v>
      </c>
      <c r="E12" s="303" t="str">
        <v>Bản vẽ TKTC cho hệ thống ICT – phần 1 – Hệ thống ICT cho Hệ Thống báo cháy dưới sàn thép BHS</v>
      </c>
      <c r="F12" s="270">
        <v>45880</v>
      </c>
      <c r="G12" s="270">
        <v>45880</v>
      </c>
      <c r="H12" s="264">
        <v>45881</v>
      </c>
      <c r="I12" s="264" t="str">
        <v>B</v>
      </c>
      <c r="J12" s="270">
        <v>45891</v>
      </c>
      <c r="K12" s="264">
        <v>45908</v>
      </c>
      <c r="L12" s="264" t="str">
        <v>B</v>
      </c>
      <c r="M12" s="270">
        <v>45954</v>
      </c>
      <c r="N12" s="264">
        <v>45957</v>
      </c>
      <c r="O12" s="264">
        <v>45964</v>
      </c>
      <c r="P12" s="270" t="str">
        <v/>
      </c>
      <c r="Q12" s="13" t="str">
        <f ca="1"/>
        <v>Not submit yet</v>
      </c>
      <c r="R12" s="279">
        <f ca="1"/>
        <v>350</v>
      </c>
    </row>
    <row r="13" spans="1:18" ht="75">
      <c r="A13" s="13">
        <v>7</v>
      </c>
      <c r="B13" s="302" t="str">
        <v>FAS</v>
      </c>
      <c r="C13" s="282" t="str">
        <v>LTIA-5.10-VIETUR-80000-RFA-SDS-0140B</v>
      </c>
      <c r="D13" s="303" t="str">
        <v>Construction design drawing of  ICT system – part.1: ICT systems for 2F Level (Re-submission for attachment) 5. Public addressable system-level 2 (attachment 5)</v>
      </c>
      <c r="E13" s="303" t="str">
        <v>Bản vẽ TKTC cho hệ thống ICT – phần 1 – Hệ thống ICT cho tầng 2 (trình cho phần đính kèm số: 5. Hệ thống phát thanh công cộng - tầng 2 (đính kèm 5)</v>
      </c>
      <c r="F13" s="270">
        <v>45908</v>
      </c>
      <c r="G13" s="270">
        <v>45908</v>
      </c>
      <c r="H13" s="264">
        <v>45909</v>
      </c>
      <c r="I13" s="264" t="str">
        <v>B</v>
      </c>
      <c r="J13" s="270">
        <v>45873</v>
      </c>
      <c r="K13" s="264">
        <v>45917</v>
      </c>
      <c r="L13" s="264" t="str">
        <v>B</v>
      </c>
      <c r="M13" s="270">
        <v>46153</v>
      </c>
      <c r="N13" s="264">
        <v>45957</v>
      </c>
      <c r="O13" s="264">
        <v>45964</v>
      </c>
      <c r="P13" s="270" t="str">
        <v/>
      </c>
      <c r="Q13" s="13" t="str">
        <f ca="1"/>
        <v>Not submit yet</v>
      </c>
      <c r="R13" s="279">
        <f ca="1"/>
        <v>350</v>
      </c>
    </row>
    <row r="14" spans="1:18" ht="60">
      <c r="A14" s="13">
        <v>8</v>
      </c>
      <c r="B14" s="302" t="str">
        <v/>
      </c>
      <c r="C14" s="282" t="str">
        <v>LTIA-5.10-VIETUR-80000-RFA-SDS-0222A</v>
      </c>
      <c r="D14" s="303" t="str">
        <v>Construction design drawing of  ICT system – part.1: ICT systems for DATA CENTER 2 (DC2) &amp; TECHNICAL ROOM (EF,BD)</v>
      </c>
      <c r="E14" s="303" t="str">
        <v>Bản vẽ TKTC cho hệ thống ICT – phần 1 – Hệ thống ICT cho Trung tâm dữ liệu số 2 (DC2) và Phòng kỹ thuật (EF,BD)</v>
      </c>
      <c r="F14" s="270">
        <v>45919</v>
      </c>
      <c r="G14" s="270">
        <v>45919</v>
      </c>
      <c r="H14" s="264">
        <v>45932</v>
      </c>
      <c r="I14" s="264" t="str">
        <v>B</v>
      </c>
      <c r="J14" s="270">
        <v>45940</v>
      </c>
      <c r="K14" s="264">
        <v>45945</v>
      </c>
      <c r="L14" s="264" t="str">
        <v>B</v>
      </c>
      <c r="M14" s="270">
        <v>46029</v>
      </c>
      <c r="N14" s="264">
        <v>46030</v>
      </c>
      <c r="O14" s="264">
        <v>46037</v>
      </c>
      <c r="P14" s="270" t="str">
        <v/>
      </c>
      <c r="Q14" s="13" t="str">
        <f ca="1"/>
        <v>Not submit yet</v>
      </c>
      <c r="R14" s="279">
        <f ca="1"/>
        <v>277</v>
      </c>
    </row>
    <row r="15" spans="1:18" ht="45">
      <c r="A15" s="13">
        <v>9</v>
      </c>
      <c r="B15" s="302" t="str">
        <v>ACS</v>
      </c>
      <c r="C15" s="282" t="str">
        <v>LTIA-5.10-VIETUR-80000-RFA-SDS-0371</v>
      </c>
      <c r="D15" s="303" t="str">
        <v xml:space="preserve">Construction design drawing of  ICT system – part.1: ICT systems for Duress Button Drawings. </v>
      </c>
      <c r="E15" s="303" t="str">
        <v>Bản vẽ TKTC cho hệ thống ICT – phần 1 – Hệ thống ICT cho hệ thống nút nhấn khẩn cấp.</v>
      </c>
      <c r="F15" s="270">
        <v>45930</v>
      </c>
      <c r="G15" s="270">
        <v>45930</v>
      </c>
      <c r="H15" s="264">
        <v>45932</v>
      </c>
      <c r="I15" s="264" t="str">
        <v>B</v>
      </c>
      <c r="J15" s="270">
        <v>45940</v>
      </c>
      <c r="K15" s="264">
        <v>45945</v>
      </c>
      <c r="L15" s="264" t="str">
        <v>B</v>
      </c>
      <c r="M15" s="270">
        <v>45978</v>
      </c>
      <c r="N15" s="264">
        <v>45979</v>
      </c>
      <c r="O15" s="264">
        <v>45986</v>
      </c>
      <c r="P15" s="270" t="str">
        <v/>
      </c>
      <c r="Q15" s="13" t="str">
        <f ca="1"/>
        <v>Not submit yet</v>
      </c>
      <c r="R15" s="279">
        <f ca="1"/>
        <v>328</v>
      </c>
    </row>
    <row r="16" spans="1:18" ht="45">
      <c r="A16" s="13">
        <v>10</v>
      </c>
      <c r="B16" s="302" t="str">
        <v>FAS</v>
      </c>
      <c r="C16" s="282" t="str">
        <v>LTIA-5.10-VIETUR-80000-RFA-SDS-0197B</v>
      </c>
      <c r="D16" s="303" t="str">
        <v xml:space="preserve">Construction design drawing of  ICT system – part.1: ICT systems for 3F Level </v>
      </c>
      <c r="E16" s="303" t="str">
        <v>Bản vẽ TKTC cho hệ thống ICT – phần 1 – Hệ thống ICT cho tầng 3F</v>
      </c>
      <c r="F16" s="270">
        <v>45959</v>
      </c>
      <c r="G16" s="270">
        <v>45959</v>
      </c>
      <c r="H16" s="264">
        <v>45961</v>
      </c>
      <c r="I16" s="264" t="str">
        <v>B</v>
      </c>
      <c r="J16" s="270">
        <v>45945</v>
      </c>
      <c r="K16" s="264">
        <v>45980</v>
      </c>
      <c r="L16" s="264" t="str">
        <v>B</v>
      </c>
      <c r="M16" s="270">
        <v>45995</v>
      </c>
      <c r="N16" s="264">
        <v>45999</v>
      </c>
      <c r="O16" s="264">
        <v>46006</v>
      </c>
      <c r="P16" s="270" t="str">
        <v/>
      </c>
      <c r="Q16" s="13" t="str">
        <f ca="1"/>
        <v>Not submit yet</v>
      </c>
      <c r="R16" s="279">
        <f ca="1"/>
        <v>308</v>
      </c>
    </row>
    <row r="17" spans="1:18" ht="60">
      <c r="A17" s="13">
        <v>11</v>
      </c>
      <c r="B17" s="302" t="str">
        <v>PAS</v>
      </c>
      <c r="C17" s="282" t="str">
        <v>LTIA-5.10-VIETUR-80000-RFA-SDS-0394</v>
      </c>
      <c r="D17" s="303" t="str">
        <v>Construction design drawing of  ICT system – part.1: ICT systems for Schematic Diagram Public Address System (PAS)</v>
      </c>
      <c r="E17" s="303" t="str">
        <v>Bản vẽ TKTC cho hệ thống ICT – phần 1 – Hệ thống ICT cho SDNL hệ thống Phát Thanh</v>
      </c>
      <c r="F17" s="270">
        <v>45965</v>
      </c>
      <c r="G17" s="270">
        <v>45965</v>
      </c>
      <c r="H17" s="264">
        <v>45966</v>
      </c>
      <c r="I17" s="264" t="str">
        <v>C</v>
      </c>
      <c r="J17" s="270">
        <v>45979</v>
      </c>
      <c r="K17" s="264">
        <v>45994</v>
      </c>
      <c r="L17" s="264" t="str">
        <v>C</v>
      </c>
      <c r="M17" s="270">
        <v>46146</v>
      </c>
      <c r="N17" s="264">
        <v>46136</v>
      </c>
      <c r="O17" s="264">
        <v>46143</v>
      </c>
      <c r="P17" s="270">
        <v>46268</v>
      </c>
      <c r="Q17" s="13" t="str">
        <f ca="1"/>
        <v>Late Resubmission</v>
      </c>
      <c r="R17" s="279">
        <f ca="1"/>
        <v>125</v>
      </c>
    </row>
    <row r="18" spans="1:18" ht="45">
      <c r="A18" s="13">
        <v>12</v>
      </c>
      <c r="B18" s="302" t="str">
        <v>PAS</v>
      </c>
      <c r="C18" s="282" t="str">
        <v>LTIA-5.10-VIETUR-80000-RFA-SDS-0160B</v>
      </c>
      <c r="D18" s="303" t="str">
        <v xml:space="preserve">Construction design drawing of  ICT system – part.1: ICT systems for GF Level </v>
      </c>
      <c r="E18" s="303" t="str">
        <v>Bản vẽ TKTC cho hệ thống ICT – phần 1 – Hệ thống ICT cho tầng GF</v>
      </c>
      <c r="F18" s="270">
        <v>45972</v>
      </c>
      <c r="G18" s="270">
        <v>45972</v>
      </c>
      <c r="H18" s="264">
        <v>45972</v>
      </c>
      <c r="I18" s="264" t="str">
        <v>B</v>
      </c>
      <c r="J18" s="270">
        <v>45982</v>
      </c>
      <c r="K18" s="264">
        <v>45982</v>
      </c>
      <c r="L18" s="264" t="str">
        <v>B</v>
      </c>
      <c r="M18" s="270">
        <v>45995</v>
      </c>
      <c r="N18" s="264">
        <v>45999</v>
      </c>
      <c r="O18" s="264">
        <v>46006</v>
      </c>
      <c r="P18" s="270" t="str">
        <v/>
      </c>
      <c r="Q18" s="13" t="str">
        <f ca="1"/>
        <v>Not submit yet</v>
      </c>
      <c r="R18" s="279">
        <f ca="1"/>
        <v>308</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 ca="1">MAX('Need ReSub (RFA)'!S7:S76)</f>
        <v>851</v>
      </c>
      <c r="B3" s="319">
        <f ca="1">AVERAGEIF('Need ReSub (RFA)'!S7:S76,"&lt;&gt;0")</f>
        <v>459.25</v>
      </c>
      <c r="C3" s="319">
        <f ca="1">MAX(_xlfn.ANCHORARRAY('Need ReSub (RFA-SDS)'!R7))</f>
        <v>551</v>
      </c>
      <c r="D3" s="319">
        <f ca="1">AVERAGEIF(_xlfn.ANCHORARRAY('Need ReSub (RFA-SDS)'!R7),"&lt;&gt;0")</f>
        <v>342.33333333333331</v>
      </c>
    </row>
    <row r="5" spans="1:4">
      <c r="A5" s="452" t="str">
        <f ca="1">"In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459 days, with a maximum of 851 days, indicating that delays in the RFA approval process are contributing to delays in construction work.
Furthermore, the RFA (SDS) is as follows:
Avarage :  342 days
Maimum :  551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2026-10-19T08:11:17Z</dcterms:modified>
</cp:coreProperties>
</file>