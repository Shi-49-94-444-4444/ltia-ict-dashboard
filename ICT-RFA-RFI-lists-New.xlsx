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defaultThemeVersion="166925"/>
  <mc:AlternateContent xmlns:mc="http://schemas.openxmlformats.org/markup-compatibility/2006">
    <mc:Choice Requires="x15">
      <x15ac:absPath xmlns:x15ac="http://schemas.microsoft.com/office/spreadsheetml/2010/11/ac" url="D:\Project Airport\LTIA\"/>
    </mc:Choice>
  </mc:AlternateContent>
  <xr:revisionPtr revIDLastSave="0" documentId="13_ncr:1_{6757417F-F15B-4A0C-8DF6-754F72477F39}" xr6:coauthVersionLast="47" xr6:coauthVersionMax="47" xr10:uidLastSave="{00000000-0000-0000-0000-000000000000}"/>
  <bookViews>
    <workbookView xWindow="-120" yWindow="-120" windowWidth="29040" windowHeight="16440" tabRatio="506" activeTab="2" xr2:uid="{CCA8147E-0981-4321-B87F-440A52C0DA59}"/>
  </bookViews>
  <sheets>
    <sheet name="RFA" sheetId="1" r:id="rId1"/>
    <sheet name="RFA-SDS" sheetId="4" r:id="rId2"/>
    <sheet name="RFI" sheetId="5" r:id="rId3"/>
    <sheet name="Need ReSub (RFA)" sheetId="6" r:id="rId4"/>
    <sheet name="Need ReSub (RFA-SDS)" sheetId="7" r:id="rId5"/>
    <sheet name="Evaluation" sheetId="9" r:id="rId6"/>
  </sheets>
  <definedNames>
    <definedName name="_xlnm._FilterDatabase" localSheetId="3" hidden="1">'Need ReSub (RFA)'!$A$6:$S$6</definedName>
    <definedName name="_xlnm._FilterDatabase" localSheetId="4" hidden="1">'Need ReSub (RFA-SDS)'!$A$6:$R$6</definedName>
    <definedName name="_xlnm._FilterDatabase" localSheetId="0" hidden="1">RFA!$A$6:$AE$137</definedName>
    <definedName name="_xlnm._FilterDatabase" localSheetId="1" hidden="1">'RFA-SDS'!$A$6:$AD$34</definedName>
    <definedName name="_xlnm._FilterDatabase" localSheetId="2" hidden="1">RFI!$A$6:$Z$127</definedName>
    <definedName name="_xlnm.Print_Area" localSheetId="3">'Need ReSub (RFA)'!$A$1:$S$77</definedName>
    <definedName name="_xlnm.Print_Area" localSheetId="4">'Need ReSub (RFA-SDS)'!$A$1:$R$62</definedName>
    <definedName name="_xlnm.Print_Area" localSheetId="0">RFA!$A$1:$AE$137,RFA!$I$139:$R$145,RFA!$C$139:$F$149,RFA!$C$151:$F$154,RFA!$C$156:$F$167</definedName>
    <definedName name="_xlnm.Print_Area" localSheetId="1">'RFA-SDS'!$A$1:$AD$42,'RFA-SDS'!$H$44:$Q$50,'RFA-SDS'!$C$44:$E$48,'RFA-SDS'!$C$50:$E$53</definedName>
    <definedName name="_xlnm.Print_Area" localSheetId="2">RFI!$A$1:$Z$130,RFI!$H$132:$Q$136,RFI!$C$132:$E$137,RFI!$C$139:$E$142</definedName>
    <definedName name="_xlnm.Print_Titles" localSheetId="0">RFA!$4:$5</definedName>
    <definedName name="_xlnm.Print_Titles" localSheetId="1">'RFA-SDS'!$4:$5</definedName>
    <definedName name="_xlnm.Print_Titles" localSheetId="2">RFI!$4:$5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28" i="5" l="1"/>
  <c r="B128" i="5"/>
  <c r="AG40" i="4"/>
  <c r="AB40" i="4"/>
  <c r="AC40" i="4" s="1"/>
  <c r="Z40" i="4"/>
  <c r="E40" i="4"/>
  <c r="B40" i="4"/>
  <c r="E127" i="5"/>
  <c r="B127" i="5"/>
  <c r="E126" i="5"/>
  <c r="B126" i="5"/>
  <c r="AG135" i="1"/>
  <c r="AA135" i="1"/>
  <c r="F135" i="1"/>
  <c r="B135" i="1"/>
  <c r="AG134" i="1"/>
  <c r="AA134" i="1"/>
  <c r="F134" i="1"/>
  <c r="B134" i="1"/>
  <c r="AG133" i="1"/>
  <c r="AA133" i="1"/>
  <c r="F133" i="1"/>
  <c r="B133" i="1"/>
  <c r="AG132" i="1"/>
  <c r="AA132" i="1"/>
  <c r="F132" i="1"/>
  <c r="B132" i="1"/>
  <c r="AG131" i="1"/>
  <c r="AA131" i="1"/>
  <c r="F131" i="1"/>
  <c r="B131" i="1"/>
  <c r="AG130" i="1"/>
  <c r="AA130" i="1"/>
  <c r="F130" i="1"/>
  <c r="B130" i="1"/>
  <c r="B127" i="1"/>
  <c r="B128" i="1"/>
  <c r="B129" i="1"/>
  <c r="AG129" i="1"/>
  <c r="AA129" i="1"/>
  <c r="F129" i="1"/>
  <c r="AG127" i="1"/>
  <c r="AG128" i="1"/>
  <c r="E125" i="5"/>
  <c r="B125" i="5"/>
  <c r="AA128" i="1"/>
  <c r="F128" i="1"/>
  <c r="F127" i="1"/>
  <c r="AA127" i="1"/>
  <c r="AI136" i="1"/>
  <c r="AA136" i="1"/>
  <c r="AG126" i="1"/>
  <c r="AC126" i="1"/>
  <c r="AD126" i="1" s="1"/>
  <c r="AA126" i="1"/>
  <c r="F126" i="1"/>
  <c r="B126" i="1"/>
  <c r="AG125" i="1"/>
  <c r="AC125" i="1"/>
  <c r="AD125" i="1" s="1"/>
  <c r="AA125" i="1"/>
  <c r="F125" i="1"/>
  <c r="B125" i="1"/>
  <c r="AI137" i="1"/>
  <c r="Z42" i="4"/>
  <c r="Z41" i="4"/>
  <c r="Z39" i="4"/>
  <c r="Z38" i="4"/>
  <c r="Z37" i="4"/>
  <c r="Z36" i="4"/>
  <c r="Z35" i="4"/>
  <c r="Z34" i="4"/>
  <c r="Z33" i="4"/>
  <c r="Z32" i="4"/>
  <c r="Z31" i="4"/>
  <c r="Z30" i="4"/>
  <c r="Z29" i="4"/>
  <c r="Z28" i="4"/>
  <c r="Z27" i="4"/>
  <c r="Z26" i="4"/>
  <c r="Z25" i="4"/>
  <c r="Z24" i="4"/>
  <c r="Z23" i="4"/>
  <c r="Z22" i="4"/>
  <c r="Z21" i="4"/>
  <c r="Z20" i="4"/>
  <c r="Z19" i="4"/>
  <c r="Z18" i="4"/>
  <c r="Z17" i="4"/>
  <c r="Z16" i="4"/>
  <c r="Z15" i="4"/>
  <c r="Z14" i="4"/>
  <c r="Z13" i="4"/>
  <c r="Z12" i="4"/>
  <c r="Z11" i="4"/>
  <c r="Z10" i="4"/>
  <c r="Z9" i="4"/>
  <c r="Z8" i="4"/>
  <c r="Z7" i="4"/>
  <c r="AA137" i="1"/>
  <c r="AA124" i="1"/>
  <c r="AA123" i="1"/>
  <c r="AA122"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121" i="1"/>
  <c r="AG39" i="4" l="1"/>
  <c r="AB39" i="4"/>
  <c r="AC39" i="4" s="1"/>
  <c r="E39" i="4"/>
  <c r="B39" i="4"/>
  <c r="AG38" i="4"/>
  <c r="AB38" i="4"/>
  <c r="AC38" i="4" s="1"/>
  <c r="E38" i="4"/>
  <c r="B38" i="4"/>
  <c r="AG37" i="4"/>
  <c r="AB37" i="4"/>
  <c r="AC37" i="4" s="1"/>
  <c r="E37" i="4"/>
  <c r="B37" i="4"/>
  <c r="AG36" i="4"/>
  <c r="AB36" i="4"/>
  <c r="AC36" i="4" s="1"/>
  <c r="E36" i="4"/>
  <c r="B36" i="4"/>
  <c r="AG124" i="1"/>
  <c r="AC124" i="1"/>
  <c r="AD124" i="1" s="1"/>
  <c r="F124" i="1"/>
  <c r="B124" i="1"/>
  <c r="E124" i="5"/>
  <c r="B124" i="5"/>
  <c r="AG123" i="1"/>
  <c r="AC123" i="1"/>
  <c r="AD123" i="1" s="1"/>
  <c r="F123" i="1"/>
  <c r="B123" i="1"/>
  <c r="AG35" i="4"/>
  <c r="E35" i="4"/>
  <c r="B35" i="4"/>
  <c r="AG122" i="1"/>
  <c r="F122" i="1"/>
  <c r="B122" i="1"/>
  <c r="AG121" i="1"/>
  <c r="AC121" i="1"/>
  <c r="AD121" i="1" s="1"/>
  <c r="F121" i="1"/>
  <c r="B121" i="1"/>
  <c r="E123" i="5"/>
  <c r="B123" i="5"/>
  <c r="AG120" i="1"/>
  <c r="F120" i="1"/>
  <c r="B120" i="1"/>
  <c r="AG119" i="1"/>
  <c r="AC119" i="1"/>
  <c r="AD119" i="1" s="1"/>
  <c r="F119" i="1"/>
  <c r="B119" i="1"/>
  <c r="AG118" i="1"/>
  <c r="AC118" i="1"/>
  <c r="AD118" i="1" s="1"/>
  <c r="F118" i="1"/>
  <c r="B118" i="1"/>
  <c r="AG117" i="1"/>
  <c r="AC117" i="1"/>
  <c r="AD117" i="1" s="1"/>
  <c r="F117" i="1"/>
  <c r="B117" i="1"/>
  <c r="AG116" i="1"/>
  <c r="AC116" i="1"/>
  <c r="AD116" i="1" s="1"/>
  <c r="F116" i="1"/>
  <c r="B116" i="1"/>
  <c r="AG115" i="1"/>
  <c r="AC115" i="1"/>
  <c r="AD115" i="1" s="1"/>
  <c r="F115" i="1"/>
  <c r="B115" i="1"/>
  <c r="E122" i="5"/>
  <c r="B122" i="5"/>
  <c r="E121" i="5"/>
  <c r="B121" i="5"/>
  <c r="AG114" i="1"/>
  <c r="AC114" i="1"/>
  <c r="AD114" i="1" s="1"/>
  <c r="F114" i="1"/>
  <c r="B114" i="1"/>
  <c r="E120" i="5"/>
  <c r="B120" i="5"/>
  <c r="E119" i="5"/>
  <c r="B119" i="5"/>
  <c r="I110" i="5" l="1"/>
  <c r="J110" i="5" s="1"/>
  <c r="I111" i="5"/>
  <c r="J111" i="5" s="1"/>
  <c r="I116" i="5"/>
  <c r="J116" i="5" s="1"/>
  <c r="E118" i="5"/>
  <c r="B118" i="5"/>
  <c r="E117" i="5"/>
  <c r="B117" i="5"/>
  <c r="AG113" i="1"/>
  <c r="AC113" i="1"/>
  <c r="AD113" i="1" s="1"/>
  <c r="F113" i="1"/>
  <c r="B113" i="1"/>
  <c r="AG112" i="1"/>
  <c r="AC112" i="1"/>
  <c r="AD112" i="1" s="1"/>
  <c r="F112" i="1"/>
  <c r="B112" i="1"/>
  <c r="AG111" i="1"/>
  <c r="AC111" i="1"/>
  <c r="AD111" i="1" s="1"/>
  <c r="F111" i="1"/>
  <c r="B111" i="1"/>
  <c r="AG110" i="1"/>
  <c r="AC110" i="1"/>
  <c r="AD110" i="1" s="1"/>
  <c r="F110" i="1"/>
  <c r="B110" i="1"/>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AG34" i="4"/>
  <c r="AB34" i="4"/>
  <c r="AC34" i="4" s="1"/>
  <c r="E116" i="5"/>
  <c r="B116" i="5"/>
  <c r="E115" i="5"/>
  <c r="B115" i="5"/>
  <c r="I8" i="5"/>
  <c r="I9" i="5"/>
  <c r="I10" i="5"/>
  <c r="I11" i="5"/>
  <c r="I12" i="5"/>
  <c r="I13" i="5"/>
  <c r="I14" i="5"/>
  <c r="I15" i="5"/>
  <c r="I16" i="5"/>
  <c r="I17" i="5"/>
  <c r="I18" i="5"/>
  <c r="I19" i="5"/>
  <c r="I7" i="5"/>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2" i="1"/>
  <c r="J53" i="1"/>
  <c r="J54" i="1"/>
  <c r="J55" i="1"/>
  <c r="J56" i="1"/>
  <c r="J57" i="1"/>
  <c r="J58" i="1"/>
  <c r="J60" i="1"/>
  <c r="J61" i="1"/>
  <c r="J62" i="1"/>
  <c r="J63" i="1"/>
  <c r="J64" i="1"/>
  <c r="J65" i="1"/>
  <c r="J66" i="1"/>
  <c r="J67" i="1"/>
  <c r="J68" i="1"/>
  <c r="J69" i="1"/>
  <c r="J70" i="1"/>
  <c r="J72" i="1"/>
  <c r="J73" i="1"/>
  <c r="J74" i="1"/>
  <c r="J75" i="1"/>
  <c r="J76" i="1"/>
  <c r="J77" i="1"/>
  <c r="J78" i="1"/>
  <c r="J79" i="1"/>
  <c r="J80" i="1"/>
  <c r="J81" i="1"/>
  <c r="J82" i="1"/>
  <c r="J71" i="1"/>
  <c r="AG109" i="1"/>
  <c r="AC109" i="1"/>
  <c r="AD109" i="1" s="1"/>
  <c r="F109" i="1"/>
  <c r="B109" i="1"/>
  <c r="E114" i="5"/>
  <c r="B114" i="5"/>
  <c r="AG108" i="1"/>
  <c r="AC108" i="1"/>
  <c r="AD108" i="1" s="1"/>
  <c r="F108" i="1"/>
  <c r="B108" i="1"/>
  <c r="AG103" i="1" l="1"/>
  <c r="AC103" i="1"/>
  <c r="AD103" i="1" s="1"/>
  <c r="F103" i="1"/>
  <c r="B103" i="1"/>
  <c r="E113" i="5"/>
  <c r="B113" i="5"/>
  <c r="AG107" i="1"/>
  <c r="AC107" i="1"/>
  <c r="AD107" i="1" s="1"/>
  <c r="B107" i="1"/>
  <c r="AG106" i="1"/>
  <c r="AC106" i="1"/>
  <c r="AD106" i="1" s="1"/>
  <c r="F106" i="1"/>
  <c r="B106" i="1"/>
  <c r="AG105" i="1"/>
  <c r="AC105" i="1"/>
  <c r="AD105" i="1" s="1"/>
  <c r="F105" i="1"/>
  <c r="B105" i="1"/>
  <c r="B112" i="5" l="1"/>
  <c r="AG104" i="1"/>
  <c r="AC104" i="1"/>
  <c r="AD104" i="1" s="1"/>
  <c r="F104" i="1"/>
  <c r="B104" i="1"/>
  <c r="AG102" i="1"/>
  <c r="AC102" i="1"/>
  <c r="AD102" i="1" s="1"/>
  <c r="F102" i="1"/>
  <c r="B102" i="1"/>
  <c r="E111" i="5"/>
  <c r="B111" i="5"/>
  <c r="AG101" i="1"/>
  <c r="AC101" i="1"/>
  <c r="AD101" i="1" s="1"/>
  <c r="F101" i="1"/>
  <c r="B101" i="1"/>
  <c r="AG100" i="1"/>
  <c r="AC100" i="1"/>
  <c r="AD100" i="1" s="1"/>
  <c r="F100" i="1"/>
  <c r="B100" i="1"/>
  <c r="AG99" i="1"/>
  <c r="AC99" i="1"/>
  <c r="AD99" i="1" s="1"/>
  <c r="J99" i="1"/>
  <c r="K99" i="1" s="1"/>
  <c r="F99" i="1"/>
  <c r="B99" i="1"/>
  <c r="AG98" i="1"/>
  <c r="AC98" i="1"/>
  <c r="AD98" i="1" s="1"/>
  <c r="J98" i="1"/>
  <c r="K98" i="1" s="1"/>
  <c r="F98" i="1"/>
  <c r="B98" i="1"/>
  <c r="AG97" i="1"/>
  <c r="AC97" i="1"/>
  <c r="AD97" i="1" s="1"/>
  <c r="F97" i="1"/>
  <c r="B97" i="1"/>
  <c r="AG96" i="1"/>
  <c r="AC96" i="1"/>
  <c r="AD96" i="1" s="1"/>
  <c r="J96" i="1"/>
  <c r="K96" i="1" s="1"/>
  <c r="F96" i="1"/>
  <c r="B96" i="1"/>
  <c r="AG95" i="1"/>
  <c r="AC95" i="1"/>
  <c r="AD95" i="1" s="1"/>
  <c r="B95" i="1"/>
  <c r="AG94" i="1"/>
  <c r="J94" i="1"/>
  <c r="K94" i="1" s="1"/>
  <c r="F94" i="1"/>
  <c r="B94" i="1"/>
  <c r="AG93" i="1"/>
  <c r="AC93" i="1"/>
  <c r="AD93" i="1" s="1"/>
  <c r="F93" i="1"/>
  <c r="B93" i="1"/>
  <c r="AG92" i="1"/>
  <c r="AC92" i="1"/>
  <c r="AD92" i="1" s="1"/>
  <c r="F92" i="1"/>
  <c r="B92" i="1"/>
  <c r="AG91" i="1"/>
  <c r="AC91" i="1"/>
  <c r="AD91" i="1" s="1"/>
  <c r="F91" i="1"/>
  <c r="B91" i="1"/>
  <c r="AG90" i="1"/>
  <c r="AC90" i="1"/>
  <c r="AD90" i="1" s="1"/>
  <c r="F90" i="1"/>
  <c r="B90" i="1"/>
  <c r="AG89" i="1"/>
  <c r="AC89" i="1"/>
  <c r="AD89" i="1" s="1"/>
  <c r="F89" i="1"/>
  <c r="B89" i="1"/>
  <c r="AG88" i="1"/>
  <c r="AC88" i="1"/>
  <c r="AD88" i="1" s="1"/>
  <c r="F88" i="1"/>
  <c r="B88" i="1"/>
  <c r="AG87" i="1"/>
  <c r="AC87" i="1"/>
  <c r="AD87" i="1" s="1"/>
  <c r="B87" i="1"/>
  <c r="AG86" i="1"/>
  <c r="AC86" i="1"/>
  <c r="AD86" i="1" s="1"/>
  <c r="F86" i="1"/>
  <c r="B86" i="1"/>
  <c r="AG85" i="1"/>
  <c r="AC85" i="1"/>
  <c r="AD85" i="1" s="1"/>
  <c r="J85" i="1"/>
  <c r="K85" i="1" s="1"/>
  <c r="F85" i="1"/>
  <c r="B85" i="1"/>
  <c r="AG84" i="1"/>
  <c r="AC84" i="1"/>
  <c r="AD84" i="1" s="1"/>
  <c r="F84" i="1"/>
  <c r="B84" i="1"/>
  <c r="AG83" i="1"/>
  <c r="AC83" i="1"/>
  <c r="AD83" i="1" s="1"/>
  <c r="B83" i="1"/>
  <c r="AG82" i="1"/>
  <c r="AC82" i="1"/>
  <c r="AD82" i="1" s="1"/>
  <c r="K82" i="1"/>
  <c r="F82" i="1"/>
  <c r="B82" i="1"/>
  <c r="AG81" i="1"/>
  <c r="AC81" i="1"/>
  <c r="AD81" i="1" s="1"/>
  <c r="F81" i="1"/>
  <c r="B81" i="1"/>
  <c r="AG80" i="1"/>
  <c r="AC80" i="1"/>
  <c r="AD80" i="1" s="1"/>
  <c r="K80" i="1"/>
  <c r="F80" i="1"/>
  <c r="B80" i="1"/>
  <c r="AG79" i="1"/>
  <c r="AC79" i="1"/>
  <c r="AD79" i="1" s="1"/>
  <c r="K79" i="1"/>
  <c r="F79" i="1"/>
  <c r="B79" i="1"/>
  <c r="AG78" i="1"/>
  <c r="AC78" i="1"/>
  <c r="AD78" i="1" s="1"/>
  <c r="K78" i="1"/>
  <c r="F78" i="1"/>
  <c r="B78" i="1"/>
  <c r="AG77" i="1"/>
  <c r="AC77" i="1"/>
  <c r="AD77" i="1" s="1"/>
  <c r="K77" i="1"/>
  <c r="F77" i="1"/>
  <c r="B77" i="1"/>
  <c r="AG76" i="1"/>
  <c r="AC76" i="1"/>
  <c r="AD76" i="1" s="1"/>
  <c r="K76" i="1"/>
  <c r="F76" i="1"/>
  <c r="B76" i="1"/>
  <c r="AG75" i="1"/>
  <c r="AC75" i="1"/>
  <c r="AD75" i="1" s="1"/>
  <c r="K75" i="1"/>
  <c r="F75" i="1"/>
  <c r="B75" i="1"/>
  <c r="AG74" i="1"/>
  <c r="AC74" i="1"/>
  <c r="AD74" i="1" s="1"/>
  <c r="K74" i="1"/>
  <c r="F74" i="1"/>
  <c r="B74" i="1"/>
  <c r="AG73" i="1"/>
  <c r="AC73" i="1"/>
  <c r="AD73" i="1" s="1"/>
  <c r="K73" i="1"/>
  <c r="F73" i="1"/>
  <c r="B73" i="1"/>
  <c r="AG72" i="1"/>
  <c r="AC72" i="1"/>
  <c r="AD72" i="1" s="1"/>
  <c r="K72" i="1"/>
  <c r="F72" i="1"/>
  <c r="B72" i="1"/>
  <c r="B108" i="5"/>
  <c r="E110" i="5"/>
  <c r="B110" i="5"/>
  <c r="I109" i="5"/>
  <c r="J109" i="5" s="1"/>
  <c r="E109" i="5"/>
  <c r="B109" i="5"/>
  <c r="I108" i="5"/>
  <c r="J108" i="5" s="1"/>
  <c r="E108" i="5"/>
  <c r="I107" i="5"/>
  <c r="J107" i="5" s="1"/>
  <c r="E107" i="5"/>
  <c r="B107" i="5"/>
  <c r="I106" i="5"/>
  <c r="J106" i="5" s="1"/>
  <c r="E106" i="5"/>
  <c r="B106" i="5"/>
  <c r="I105" i="5"/>
  <c r="J105" i="5" s="1"/>
  <c r="E105" i="5"/>
  <c r="B105" i="5"/>
  <c r="I104" i="5"/>
  <c r="J104" i="5" s="1"/>
  <c r="E104" i="5"/>
  <c r="B104" i="5"/>
  <c r="E103" i="5"/>
  <c r="B103" i="5"/>
  <c r="I102" i="5"/>
  <c r="J102" i="5" s="1"/>
  <c r="E102" i="5"/>
  <c r="B102" i="5"/>
  <c r="E101" i="5"/>
  <c r="B101" i="5"/>
  <c r="I100" i="5"/>
  <c r="J100" i="5" s="1"/>
  <c r="E100" i="5"/>
  <c r="B100" i="5"/>
  <c r="E99" i="5"/>
  <c r="B99" i="5"/>
  <c r="I98" i="5"/>
  <c r="J98" i="5" s="1"/>
  <c r="E98" i="5"/>
  <c r="B98" i="5"/>
  <c r="E97" i="5"/>
  <c r="B97" i="5"/>
  <c r="B96" i="5"/>
  <c r="I95" i="5"/>
  <c r="J95" i="5" s="1"/>
  <c r="E95" i="5"/>
  <c r="B95" i="5"/>
  <c r="I94" i="5"/>
  <c r="J94" i="5" s="1"/>
  <c r="E94" i="5"/>
  <c r="B94" i="5"/>
  <c r="B93" i="5"/>
  <c r="B87" i="5"/>
  <c r="I92" i="5"/>
  <c r="J92" i="5" s="1"/>
  <c r="E92" i="5"/>
  <c r="B92" i="5"/>
  <c r="I91" i="5"/>
  <c r="J91" i="5" s="1"/>
  <c r="E91" i="5"/>
  <c r="B91" i="5"/>
  <c r="B90" i="5"/>
  <c r="I89" i="5"/>
  <c r="J89" i="5" s="1"/>
  <c r="E89" i="5"/>
  <c r="B89" i="5"/>
  <c r="I88" i="5"/>
  <c r="J88" i="5" s="1"/>
  <c r="E88" i="5"/>
  <c r="B88" i="5"/>
  <c r="I87" i="5"/>
  <c r="J87" i="5" s="1"/>
  <c r="E87" i="5"/>
  <c r="I86" i="5"/>
  <c r="J86" i="5" s="1"/>
  <c r="E86" i="5"/>
  <c r="B86" i="5"/>
  <c r="I85" i="5"/>
  <c r="J85" i="5" s="1"/>
  <c r="E85" i="5"/>
  <c r="B85" i="5"/>
  <c r="B84" i="5"/>
  <c r="I83" i="5"/>
  <c r="J83" i="5" s="1"/>
  <c r="E83" i="5"/>
  <c r="B83" i="5"/>
  <c r="I82" i="5"/>
  <c r="J82" i="5" s="1"/>
  <c r="E82" i="5"/>
  <c r="B82" i="5"/>
  <c r="E81" i="5"/>
  <c r="B81" i="5"/>
  <c r="I80" i="5"/>
  <c r="J80" i="5" s="1"/>
  <c r="E80" i="5"/>
  <c r="B80" i="5"/>
  <c r="B79" i="5"/>
  <c r="I78" i="5"/>
  <c r="J78" i="5" s="1"/>
  <c r="E78" i="5"/>
  <c r="B78" i="5"/>
  <c r="E77" i="5"/>
  <c r="B77" i="5"/>
  <c r="E76" i="5"/>
  <c r="B76" i="5"/>
  <c r="E75" i="5"/>
  <c r="B75" i="5"/>
  <c r="E74" i="5"/>
  <c r="B74" i="5"/>
  <c r="AG71" i="1"/>
  <c r="AC71" i="1"/>
  <c r="AD71" i="1" s="1"/>
  <c r="F71" i="1"/>
  <c r="B71" i="1"/>
  <c r="E21" i="4"/>
  <c r="E13" i="4"/>
  <c r="E73" i="5"/>
  <c r="B73"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 i="5"/>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 i="1"/>
  <c r="AG70" i="1"/>
  <c r="AC70" i="1"/>
  <c r="AD70" i="1" s="1"/>
  <c r="F70" i="1"/>
  <c r="I66" i="5" l="1"/>
  <c r="J66" i="5" s="1"/>
  <c r="E66" i="5"/>
  <c r="E64" i="5"/>
  <c r="F64" i="1"/>
  <c r="I37" i="5" l="1"/>
  <c r="J37" i="5" s="1"/>
  <c r="E37" i="5"/>
  <c r="F41" i="1" l="1"/>
  <c r="K41" i="1"/>
  <c r="E7" i="5" l="1"/>
  <c r="AG8" i="4" l="1"/>
  <c r="AG9" i="4"/>
  <c r="AG10" i="4"/>
  <c r="AG11" i="4"/>
  <c r="AG12" i="4"/>
  <c r="AH12" i="4" s="1" a="1"/>
  <c r="AH12" i="4" s="1"/>
  <c r="AG13" i="4"/>
  <c r="AG14" i="4"/>
  <c r="AG15" i="4"/>
  <c r="AG16" i="4"/>
  <c r="AG17" i="4"/>
  <c r="AG18" i="4"/>
  <c r="AG19" i="4"/>
  <c r="AG20" i="4"/>
  <c r="AG21" i="4"/>
  <c r="AG22" i="4"/>
  <c r="AG23" i="4"/>
  <c r="AG24" i="4"/>
  <c r="AG25" i="4"/>
  <c r="AG26" i="4"/>
  <c r="AG27" i="4"/>
  <c r="AG28" i="4"/>
  <c r="AG29" i="4"/>
  <c r="AG30" i="4"/>
  <c r="AG31" i="4"/>
  <c r="AG32" i="4"/>
  <c r="AG33" i="4"/>
  <c r="AG7" i="4"/>
  <c r="AH40" i="4" s="1" a="1"/>
  <c r="AH40" i="4" s="1"/>
  <c r="AI40" i="4" s="1"/>
  <c r="AB29" i="4"/>
  <c r="AC29" i="4" s="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 i="1"/>
  <c r="AC9" i="1"/>
  <c r="AD9" i="1" s="1"/>
  <c r="AC17" i="1"/>
  <c r="AD17" i="1" s="1"/>
  <c r="AC36" i="1"/>
  <c r="AD36" i="1" s="1"/>
  <c r="AC37" i="1"/>
  <c r="AD37" i="1" s="1"/>
  <c r="AC38" i="1"/>
  <c r="AD38" i="1" s="1"/>
  <c r="AC41" i="1"/>
  <c r="AD41" i="1" s="1"/>
  <c r="AC42" i="1"/>
  <c r="AD42" i="1" s="1"/>
  <c r="AC47" i="1"/>
  <c r="AD47" i="1" s="1"/>
  <c r="AC59" i="1"/>
  <c r="AD59" i="1" s="1"/>
  <c r="AC64" i="1"/>
  <c r="AD64" i="1" s="1"/>
  <c r="AC65" i="1"/>
  <c r="AD65" i="1" s="1"/>
  <c r="AC69" i="1"/>
  <c r="AD69" i="1" s="1"/>
  <c r="AC18" i="1"/>
  <c r="AD18" i="1" s="1"/>
  <c r="AC23" i="1"/>
  <c r="AD23" i="1" s="1"/>
  <c r="AC24" i="1"/>
  <c r="AD24" i="1" s="1"/>
  <c r="AC25" i="1"/>
  <c r="AD25" i="1" s="1"/>
  <c r="AC26" i="1"/>
  <c r="AD26" i="1" s="1"/>
  <c r="AC29" i="1"/>
  <c r="AD29" i="1" s="1"/>
  <c r="AC34" i="1"/>
  <c r="AD34" i="1" s="1"/>
  <c r="AC35" i="1"/>
  <c r="AD35" i="1" s="1"/>
  <c r="AC39" i="1"/>
  <c r="AD39" i="1" s="1"/>
  <c r="AC40" i="1"/>
  <c r="AD40" i="1" s="1"/>
  <c r="AC43" i="1"/>
  <c r="AD43" i="1" s="1"/>
  <c r="AC48" i="1"/>
  <c r="AD48" i="1" s="1"/>
  <c r="AC55" i="1"/>
  <c r="AD55" i="1" s="1"/>
  <c r="AC56" i="1"/>
  <c r="AD56" i="1" s="1"/>
  <c r="AC57" i="1"/>
  <c r="AD57" i="1" s="1"/>
  <c r="AC66" i="1"/>
  <c r="AD66" i="1" s="1"/>
  <c r="AC67" i="1"/>
  <c r="AD67" i="1" s="1"/>
  <c r="AH134" i="1" l="1" a="1"/>
  <c r="AH134" i="1" s="1"/>
  <c r="AI134" i="1" s="1"/>
  <c r="AH135" i="1" a="1"/>
  <c r="AH135" i="1" s="1"/>
  <c r="AI135" i="1" s="1"/>
  <c r="AH132" i="1" a="1"/>
  <c r="AH132" i="1" s="1"/>
  <c r="AI132" i="1" s="1"/>
  <c r="AH133" i="1" a="1"/>
  <c r="AH133" i="1" s="1"/>
  <c r="AI133" i="1" s="1"/>
  <c r="AH130" i="1" a="1"/>
  <c r="AH130" i="1" s="1"/>
  <c r="AI130" i="1" s="1"/>
  <c r="AH131" i="1" a="1"/>
  <c r="AH131" i="1" s="1"/>
  <c r="AI131" i="1" s="1"/>
  <c r="AH129" i="1" a="1"/>
  <c r="AH129" i="1" s="1"/>
  <c r="AI129" i="1" s="1"/>
  <c r="AH128" i="1" a="1"/>
  <c r="AH128" i="1" s="1"/>
  <c r="AI128" i="1" s="1"/>
  <c r="AH127" i="1" a="1"/>
  <c r="AH127" i="1" s="1"/>
  <c r="AI127" i="1" s="1"/>
  <c r="AH126" i="1" a="1"/>
  <c r="AH126" i="1" s="1"/>
  <c r="AI126" i="1" s="1"/>
  <c r="AH125" i="1" a="1"/>
  <c r="AH125" i="1" s="1"/>
  <c r="AI125" i="1" s="1"/>
  <c r="AH38" i="4" a="1"/>
  <c r="AH38" i="4" s="1"/>
  <c r="AI38" i="4" s="1"/>
  <c r="AH39" i="4" a="1"/>
  <c r="AH39" i="4" s="1"/>
  <c r="AI39" i="4" s="1"/>
  <c r="AH36" i="4" a="1"/>
  <c r="AH36" i="4" s="1"/>
  <c r="AI36" i="4" s="1"/>
  <c r="AH37" i="4" a="1"/>
  <c r="AH37" i="4" s="1"/>
  <c r="AI37" i="4" s="1"/>
  <c r="AH124" i="1" a="1"/>
  <c r="AH124" i="1" s="1"/>
  <c r="AI124" i="1" s="1"/>
  <c r="AH122" i="1" a="1"/>
  <c r="AH122" i="1" s="1"/>
  <c r="AI122" i="1" s="1"/>
  <c r="AH123" i="1" a="1"/>
  <c r="AH123" i="1" s="1"/>
  <c r="AI123" i="1" s="1"/>
  <c r="AH34" i="4" a="1"/>
  <c r="AH34" i="4" s="1"/>
  <c r="AI34" i="4" s="1"/>
  <c r="AH35" i="4" a="1"/>
  <c r="AH35" i="4" s="1"/>
  <c r="AI35" i="4" s="1"/>
  <c r="AH121" i="1" a="1"/>
  <c r="AH121" i="1" s="1"/>
  <c r="AI121" i="1" s="1"/>
  <c r="AH120" i="1" a="1"/>
  <c r="AH120" i="1" s="1"/>
  <c r="AI120" i="1" s="1"/>
  <c r="AH118" i="1" a="1"/>
  <c r="AH118" i="1" s="1"/>
  <c r="AI118" i="1" s="1"/>
  <c r="AH119" i="1" a="1"/>
  <c r="AH119" i="1" s="1"/>
  <c r="AI119" i="1" s="1"/>
  <c r="AH116" i="1" a="1"/>
  <c r="AH116" i="1" s="1"/>
  <c r="AI116" i="1" s="1"/>
  <c r="AH117" i="1" a="1"/>
  <c r="AH117" i="1" s="1"/>
  <c r="AI117" i="1" s="1"/>
  <c r="AH114" i="1" a="1"/>
  <c r="AH114" i="1" s="1"/>
  <c r="AI114" i="1" s="1"/>
  <c r="AH115" i="1" a="1"/>
  <c r="AH115" i="1" s="1"/>
  <c r="AI115" i="1" s="1"/>
  <c r="AH113" i="1" a="1"/>
  <c r="AH113" i="1" s="1"/>
  <c r="AI113" i="1" s="1"/>
  <c r="AH111" i="1" a="1"/>
  <c r="AH111" i="1" s="1"/>
  <c r="AI111" i="1" s="1"/>
  <c r="AH112" i="1" a="1"/>
  <c r="AH112" i="1" s="1"/>
  <c r="AI112" i="1" s="1"/>
  <c r="AH109" i="1" a="1"/>
  <c r="AH109" i="1" s="1"/>
  <c r="AI109" i="1" s="1"/>
  <c r="AH110" i="1" a="1"/>
  <c r="AH110" i="1" s="1"/>
  <c r="AI110" i="1" s="1"/>
  <c r="AH103" i="1" a="1"/>
  <c r="AH103" i="1" s="1"/>
  <c r="AI103" i="1" s="1"/>
  <c r="AH108" i="1" a="1"/>
  <c r="AH108" i="1" s="1"/>
  <c r="AI108" i="1" s="1"/>
  <c r="AH106" i="1" a="1"/>
  <c r="AH106" i="1" s="1"/>
  <c r="AI106" i="1" s="1"/>
  <c r="AH107" i="1" a="1"/>
  <c r="AH107" i="1" s="1"/>
  <c r="AI107" i="1" s="1"/>
  <c r="AH104" i="1" a="1"/>
  <c r="AH104" i="1" s="1"/>
  <c r="AI104" i="1" s="1"/>
  <c r="AH105" i="1" a="1"/>
  <c r="AH105" i="1" s="1"/>
  <c r="AI105" i="1" s="1"/>
  <c r="AH101" i="1" a="1"/>
  <c r="AH101" i="1" s="1"/>
  <c r="AI101" i="1" s="1"/>
  <c r="AH102" i="1" a="1"/>
  <c r="AH102" i="1" s="1"/>
  <c r="AI102" i="1" s="1"/>
  <c r="AH98" i="1" a="1"/>
  <c r="AH98" i="1" s="1"/>
  <c r="AI98" i="1" s="1"/>
  <c r="AH99" i="1" a="1"/>
  <c r="AH99" i="1" s="1"/>
  <c r="AI99" i="1" s="1"/>
  <c r="AH100" i="1" a="1"/>
  <c r="AH100" i="1" s="1"/>
  <c r="AI100" i="1" s="1"/>
  <c r="AH92" i="1" a="1"/>
  <c r="AH92" i="1" s="1"/>
  <c r="AI92" i="1" s="1"/>
  <c r="AH96" i="1" a="1"/>
  <c r="AH96" i="1" s="1"/>
  <c r="AI96" i="1" s="1"/>
  <c r="AH95" i="1" a="1"/>
  <c r="AH95" i="1" s="1"/>
  <c r="AI95" i="1" s="1"/>
  <c r="AH97" i="1" a="1"/>
  <c r="AH97" i="1" s="1"/>
  <c r="AI97" i="1" s="1"/>
  <c r="AH93" i="1" a="1"/>
  <c r="AH93" i="1" s="1"/>
  <c r="AI93" i="1" s="1"/>
  <c r="AH94" i="1" a="1"/>
  <c r="AH94" i="1" s="1"/>
  <c r="AI94" i="1" s="1"/>
  <c r="AH89" i="1" a="1"/>
  <c r="AH89" i="1" s="1"/>
  <c r="AI89" i="1" s="1"/>
  <c r="AH91" i="1" a="1"/>
  <c r="AH91" i="1" s="1"/>
  <c r="AI91" i="1" s="1"/>
  <c r="AH90" i="1" a="1"/>
  <c r="AH90" i="1" s="1"/>
  <c r="AI90" i="1" s="1"/>
  <c r="AH87" i="1" a="1"/>
  <c r="AH87" i="1" s="1"/>
  <c r="AI87" i="1" s="1"/>
  <c r="AH88" i="1" a="1"/>
  <c r="AH88" i="1" s="1"/>
  <c r="AI88" i="1" s="1"/>
  <c r="AH85" i="1" a="1"/>
  <c r="AH85" i="1" s="1"/>
  <c r="AI85" i="1" s="1"/>
  <c r="AH86" i="1" a="1"/>
  <c r="AH86" i="1" s="1"/>
  <c r="AI86" i="1" s="1"/>
  <c r="AH84" i="1" a="1"/>
  <c r="AH84" i="1" s="1"/>
  <c r="AI84" i="1" s="1"/>
  <c r="AH83" i="1" a="1"/>
  <c r="AH83" i="1" s="1"/>
  <c r="AI83" i="1" s="1"/>
  <c r="AH82" i="1" a="1"/>
  <c r="AH82" i="1" s="1"/>
  <c r="AI82" i="1" s="1"/>
  <c r="AH81" i="1" a="1"/>
  <c r="AH81" i="1" s="1"/>
  <c r="AI81" i="1" s="1"/>
  <c r="AH80" i="1" a="1"/>
  <c r="AH80" i="1" s="1"/>
  <c r="AI80" i="1" s="1"/>
  <c r="AH79" i="1" a="1"/>
  <c r="AH79" i="1" s="1"/>
  <c r="AI79" i="1" s="1"/>
  <c r="AH78" i="1" a="1"/>
  <c r="AH78" i="1" s="1"/>
  <c r="AI78" i="1" s="1"/>
  <c r="AH76" i="1" a="1"/>
  <c r="AH76" i="1" s="1"/>
  <c r="AI76" i="1" s="1"/>
  <c r="AH77" i="1" a="1"/>
  <c r="AH77" i="1" s="1"/>
  <c r="AI77" i="1" s="1"/>
  <c r="AH75" i="1" a="1"/>
  <c r="AH75" i="1" s="1"/>
  <c r="AI75" i="1" s="1"/>
  <c r="AH74" i="1" a="1"/>
  <c r="AH74" i="1" s="1"/>
  <c r="AI74" i="1" s="1"/>
  <c r="AH72" i="1" a="1"/>
  <c r="AH72" i="1" s="1"/>
  <c r="AI72" i="1" s="1"/>
  <c r="AH73" i="1" a="1"/>
  <c r="AH73" i="1" s="1"/>
  <c r="AI73" i="1" s="1"/>
  <c r="AH70" i="1" a="1"/>
  <c r="AH70" i="1" s="1"/>
  <c r="AI70" i="1" s="1"/>
  <c r="AH71" i="1" a="1"/>
  <c r="AH71" i="1" s="1"/>
  <c r="AI71" i="1" s="1"/>
  <c r="AH46" i="1" a="1"/>
  <c r="AH46" i="1" s="1"/>
  <c r="AI46" i="1" s="1"/>
  <c r="AH23" i="4" a="1"/>
  <c r="AH23" i="4" s="1"/>
  <c r="AI23" i="4" s="1"/>
  <c r="AH7" i="4" a="1"/>
  <c r="AH7" i="4" s="1"/>
  <c r="AI7" i="4" s="1"/>
  <c r="AI12" i="4"/>
  <c r="AH15" i="4" a="1"/>
  <c r="AH15" i="4" s="1"/>
  <c r="AI15" i="4" s="1"/>
  <c r="AH18" i="4" a="1"/>
  <c r="AH18" i="4" s="1"/>
  <c r="AI18" i="4" s="1"/>
  <c r="AH28" i="4" a="1"/>
  <c r="AH28" i="4" s="1"/>
  <c r="AI28" i="4" s="1"/>
  <c r="AH11" i="4" a="1"/>
  <c r="AH11" i="4" s="1"/>
  <c r="AI11" i="4" s="1"/>
  <c r="AH10" i="4" a="1"/>
  <c r="AH10" i="4" s="1"/>
  <c r="AI10" i="4" s="1"/>
  <c r="AH26" i="4" a="1"/>
  <c r="AH26" i="4" s="1"/>
  <c r="AI26" i="4" s="1"/>
  <c r="AH19" i="4" a="1"/>
  <c r="AH19" i="4" s="1"/>
  <c r="AI19" i="4" s="1"/>
  <c r="AH27" i="4" a="1"/>
  <c r="AH27" i="4" s="1"/>
  <c r="AI27" i="4" s="1"/>
  <c r="AH20" i="4" a="1"/>
  <c r="AH20" i="4" s="1"/>
  <c r="AI20" i="4" s="1"/>
  <c r="AH31" i="4" a="1"/>
  <c r="AH31" i="4" s="1"/>
  <c r="AI31" i="4" s="1"/>
  <c r="AH9" i="4" a="1"/>
  <c r="AH9" i="4" s="1"/>
  <c r="AI9" i="4" s="1"/>
  <c r="AH17" i="4" a="1"/>
  <c r="AH17" i="4" s="1"/>
  <c r="AI17" i="4" s="1"/>
  <c r="AH25" i="4" a="1"/>
  <c r="AH25" i="4" s="1"/>
  <c r="AI25" i="4" s="1"/>
  <c r="AH33" i="4" a="1"/>
  <c r="AH33" i="4" s="1"/>
  <c r="AI33" i="4" s="1"/>
  <c r="AH14" i="4" a="1"/>
  <c r="AH14" i="4" s="1"/>
  <c r="AI14" i="4" s="1"/>
  <c r="AH22" i="4" a="1"/>
  <c r="AH22" i="4" s="1"/>
  <c r="AI22" i="4" s="1"/>
  <c r="AH30" i="4" a="1"/>
  <c r="AH30" i="4" s="1"/>
  <c r="AI30" i="4" s="1"/>
  <c r="AH8" i="4" a="1"/>
  <c r="AH8" i="4" s="1"/>
  <c r="AI8" i="4" s="1"/>
  <c r="AH29" i="4" a="1"/>
  <c r="AH29" i="4" s="1"/>
  <c r="AI29" i="4" s="1"/>
  <c r="AH21" i="4" a="1"/>
  <c r="AH21" i="4" s="1"/>
  <c r="AI21" i="4" s="1"/>
  <c r="AH13" i="4" a="1"/>
  <c r="AH13" i="4" s="1"/>
  <c r="AI13" i="4" s="1"/>
  <c r="AH32" i="4" a="1"/>
  <c r="AH32" i="4" s="1"/>
  <c r="AI32" i="4" s="1"/>
  <c r="AH24" i="4" a="1"/>
  <c r="AH24" i="4" s="1"/>
  <c r="AI24" i="4" s="1"/>
  <c r="AH16" i="4" a="1"/>
  <c r="AH16" i="4" s="1"/>
  <c r="AI16" i="4" s="1"/>
  <c r="AH30" i="1" a="1"/>
  <c r="AH30" i="1" s="1"/>
  <c r="AI30" i="1" s="1"/>
  <c r="AH31" i="1" a="1"/>
  <c r="AH31" i="1" s="1"/>
  <c r="AI31" i="1" s="1"/>
  <c r="AH62" i="1" a="1"/>
  <c r="AH62" i="1" s="1"/>
  <c r="AI62" i="1" s="1"/>
  <c r="AH13" i="1" a="1"/>
  <c r="AH13" i="1" s="1"/>
  <c r="AI13" i="1" s="1"/>
  <c r="AH12" i="1" a="1"/>
  <c r="AH12" i="1" s="1"/>
  <c r="AI12" i="1" s="1"/>
  <c r="AH54" i="1" a="1"/>
  <c r="AH54" i="1" s="1"/>
  <c r="AI54" i="1" s="1"/>
  <c r="AH18" i="1" a="1"/>
  <c r="AH18" i="1" s="1"/>
  <c r="AI18" i="1" s="1"/>
  <c r="AH7" i="1" a="1"/>
  <c r="AH7" i="1" s="1"/>
  <c r="AI7" i="1" s="1"/>
  <c r="AH64" i="1" a="1"/>
  <c r="AH64" i="1" s="1"/>
  <c r="AI64" i="1" s="1"/>
  <c r="AH51" i="1" a="1"/>
  <c r="AH51" i="1" s="1"/>
  <c r="AI51" i="1" s="1"/>
  <c r="AH59" i="1" a="1"/>
  <c r="AH59" i="1" s="1"/>
  <c r="AI59" i="1" s="1"/>
  <c r="AH16" i="1" a="1"/>
  <c r="AH16" i="1" s="1"/>
  <c r="AI16" i="1" s="1"/>
  <c r="AH57" i="1" a="1"/>
  <c r="AH57" i="1" s="1"/>
  <c r="AI57" i="1" s="1"/>
  <c r="AH42" i="1" a="1"/>
  <c r="AH42" i="1" s="1"/>
  <c r="AI42" i="1" s="1"/>
  <c r="AH41" i="1" a="1"/>
  <c r="AH41" i="1" s="1"/>
  <c r="AI41" i="1" s="1"/>
  <c r="AH20" i="1" a="1"/>
  <c r="AH20" i="1" s="1"/>
  <c r="AI20" i="1" s="1"/>
  <c r="AH37" i="1" a="1"/>
  <c r="AH37" i="1" s="1"/>
  <c r="AI37" i="1" s="1"/>
  <c r="AH34" i="1" a="1"/>
  <c r="AH34" i="1" s="1"/>
  <c r="AI34" i="1" s="1"/>
  <c r="AH14" i="1" a="1"/>
  <c r="AH14" i="1" s="1"/>
  <c r="AI14" i="1" s="1"/>
  <c r="AH60" i="1" a="1"/>
  <c r="AH60" i="1" s="1"/>
  <c r="AI60" i="1" s="1"/>
  <c r="AH49" i="1" a="1"/>
  <c r="AH49" i="1" s="1"/>
  <c r="AI49" i="1" s="1"/>
  <c r="AH25" i="1" a="1"/>
  <c r="AH25" i="1" s="1"/>
  <c r="AI25" i="1" s="1"/>
  <c r="AH23" i="1" a="1"/>
  <c r="AH23" i="1" s="1"/>
  <c r="AI23" i="1" s="1"/>
  <c r="AH15" i="1" a="1"/>
  <c r="AH15" i="1" s="1"/>
  <c r="AI15" i="1" s="1"/>
  <c r="AH50" i="1" a="1"/>
  <c r="AH50" i="1" s="1"/>
  <c r="AI50" i="1" s="1"/>
  <c r="AH36" i="1" a="1"/>
  <c r="AH36" i="1" s="1"/>
  <c r="AI36" i="1" s="1"/>
  <c r="AH47" i="1" a="1"/>
  <c r="AH47" i="1" s="1"/>
  <c r="AI47" i="1" s="1"/>
  <c r="AH17" i="1" a="1"/>
  <c r="AH17" i="1" s="1"/>
  <c r="AI17" i="1" s="1"/>
  <c r="AH27" i="1" a="1"/>
  <c r="AH27" i="1" s="1"/>
  <c r="AI27" i="1" s="1"/>
  <c r="AH40" i="1" a="1"/>
  <c r="AH40" i="1" s="1"/>
  <c r="AI40" i="1" s="1"/>
  <c r="AH11" i="1" a="1"/>
  <c r="AH11" i="1" s="1"/>
  <c r="AI11" i="1" s="1"/>
  <c r="AH33" i="1" a="1"/>
  <c r="AH33" i="1" s="1"/>
  <c r="AI33" i="1" s="1"/>
  <c r="AH22" i="1" a="1"/>
  <c r="AH22" i="1" s="1"/>
  <c r="AI22" i="1" s="1"/>
  <c r="AH68" i="1" a="1"/>
  <c r="AH68" i="1" s="1"/>
  <c r="AI68" i="1" s="1"/>
  <c r="AH26" i="1" a="1"/>
  <c r="AH26" i="1" s="1"/>
  <c r="AI26" i="1" s="1"/>
  <c r="AH52" i="1" a="1"/>
  <c r="AH52" i="1" s="1"/>
  <c r="AI52" i="1" s="1"/>
  <c r="AH39" i="1" a="1"/>
  <c r="AH39" i="1" s="1"/>
  <c r="AI39" i="1" s="1"/>
  <c r="AH69" i="1" a="1"/>
  <c r="AH69" i="1" s="1"/>
  <c r="AI69" i="1" s="1"/>
  <c r="AH65" i="1" a="1"/>
  <c r="AH65" i="1" s="1"/>
  <c r="AI65" i="1" s="1"/>
  <c r="AH66" i="1" a="1"/>
  <c r="AH66" i="1" s="1"/>
  <c r="AI66" i="1" s="1"/>
  <c r="AH32" i="1" a="1"/>
  <c r="AH32" i="1" s="1"/>
  <c r="AI32" i="1" s="1"/>
  <c r="AH10" i="1" a="1"/>
  <c r="AH10" i="1" s="1"/>
  <c r="AI10" i="1" s="1"/>
  <c r="AH43" i="1" a="1"/>
  <c r="AH43" i="1" s="1"/>
  <c r="AI43" i="1" s="1"/>
  <c r="AH21" i="1" a="1"/>
  <c r="AH21" i="1" s="1"/>
  <c r="AI21" i="1" s="1"/>
  <c r="AH28" i="1" a="1"/>
  <c r="AH28" i="1" s="1"/>
  <c r="AI28" i="1" s="1"/>
  <c r="AH56" i="1" a="1"/>
  <c r="AH56" i="1" s="1"/>
  <c r="AI56" i="1" s="1"/>
  <c r="AH58" i="1" a="1"/>
  <c r="AH58" i="1" s="1"/>
  <c r="AI58" i="1" s="1"/>
  <c r="AH45" i="1" a="1"/>
  <c r="AH45" i="1" s="1"/>
  <c r="AI45" i="1" s="1"/>
  <c r="AH55" i="1" a="1"/>
  <c r="AH55" i="1" s="1"/>
  <c r="AI55" i="1" s="1"/>
  <c r="AH63" i="1" a="1"/>
  <c r="AH63" i="1" s="1"/>
  <c r="AI63" i="1" s="1"/>
  <c r="AH24" i="1" a="1"/>
  <c r="AH24" i="1" s="1"/>
  <c r="AI24" i="1" s="1"/>
  <c r="AH67" i="1" a="1"/>
  <c r="AH67" i="1" s="1"/>
  <c r="AI67" i="1" s="1"/>
  <c r="AH38" i="1" a="1"/>
  <c r="AH38" i="1" s="1"/>
  <c r="AI38" i="1" s="1"/>
  <c r="AH29" i="1" a="1"/>
  <c r="AH29" i="1" s="1"/>
  <c r="AI29" i="1" s="1"/>
  <c r="AH19" i="1" a="1"/>
  <c r="AH19" i="1" s="1"/>
  <c r="AI19" i="1" s="1"/>
  <c r="AH44" i="1" a="1"/>
  <c r="AH44" i="1" s="1"/>
  <c r="AI44" i="1" s="1"/>
  <c r="AH35" i="1" a="1"/>
  <c r="AH35" i="1" s="1"/>
  <c r="AI35" i="1" s="1"/>
  <c r="AH9" i="1" a="1"/>
  <c r="AH9" i="1" s="1"/>
  <c r="AI9" i="1" s="1"/>
  <c r="AH48" i="1" a="1"/>
  <c r="AH48" i="1" s="1"/>
  <c r="AI48" i="1" s="1"/>
  <c r="AH53" i="1" a="1"/>
  <c r="AH53" i="1" s="1"/>
  <c r="AI53" i="1" s="1"/>
  <c r="AH61" i="1" a="1"/>
  <c r="AH61" i="1" s="1"/>
  <c r="AI61" i="1" s="1"/>
  <c r="AH8" i="1" a="1"/>
  <c r="AH8" i="1" s="1"/>
  <c r="AI8" i="1" s="1"/>
  <c r="C7" i="7" l="1" a="1"/>
  <c r="D7" i="6" a="1"/>
  <c r="C7" i="7" l="1"/>
  <c r="P7" i="7" s="1" a="1"/>
  <c r="P7" i="7" s="1"/>
  <c r="D7" i="6"/>
  <c r="Q7" i="6" s="1" a="1"/>
  <c r="Q7" i="6" s="1"/>
  <c r="Q134" i="5"/>
  <c r="Q48" i="4"/>
  <c r="Q47" i="4"/>
  <c r="Q46" i="4"/>
  <c r="R143" i="1"/>
  <c r="R142" i="1"/>
  <c r="R141" i="1"/>
  <c r="B7" i="6" l="1" a="1"/>
  <c r="B7" i="6" s="1"/>
  <c r="A7" i="7" a="1"/>
  <c r="A7" i="7" s="1"/>
  <c r="I7" i="7" a="1"/>
  <c r="I7" i="7" s="1"/>
  <c r="J7" i="7" a="1"/>
  <c r="J7" i="7" s="1"/>
  <c r="K7" i="7" a="1"/>
  <c r="K7" i="7" s="1"/>
  <c r="L7" i="7" a="1"/>
  <c r="L7" i="7" s="1"/>
  <c r="H7" i="7" a="1"/>
  <c r="H7" i="7" s="1"/>
  <c r="O7" i="7" a="1"/>
  <c r="O7" i="7" s="1"/>
  <c r="F7" i="7" a="1"/>
  <c r="F7" i="7" s="1"/>
  <c r="G7" i="7" a="1"/>
  <c r="G7" i="7" s="1"/>
  <c r="N7" i="7" a="1"/>
  <c r="N7" i="7" s="1"/>
  <c r="E7" i="7" a="1"/>
  <c r="E7" i="7" s="1"/>
  <c r="M7" i="7" a="1"/>
  <c r="M7" i="7" s="1"/>
  <c r="D7" i="7" a="1"/>
  <c r="D7" i="7" s="1"/>
  <c r="B7" i="7" a="1"/>
  <c r="B7" i="7" s="1"/>
  <c r="C7" i="6" a="1"/>
  <c r="C7" i="6" s="1"/>
  <c r="M7" i="6" a="1"/>
  <c r="M7" i="6" s="1"/>
  <c r="G7" i="6" a="1"/>
  <c r="G7" i="6" s="1"/>
  <c r="F7" i="6" a="1"/>
  <c r="F7" i="6" s="1"/>
  <c r="J7" i="6" a="1"/>
  <c r="J7" i="6" s="1"/>
  <c r="O7" i="6" a="1"/>
  <c r="O7" i="6" s="1"/>
  <c r="A7" i="6" a="1"/>
  <c r="A7" i="6" s="1"/>
  <c r="K7" i="6" a="1"/>
  <c r="K7" i="6" s="1"/>
  <c r="L7" i="6" a="1"/>
  <c r="L7" i="6" s="1"/>
  <c r="N7" i="6" a="1"/>
  <c r="N7" i="6" s="1"/>
  <c r="E7" i="6" a="1"/>
  <c r="E7" i="6" s="1"/>
  <c r="H7" i="6" a="1"/>
  <c r="H7" i="6" s="1"/>
  <c r="I7" i="6" a="1"/>
  <c r="I7" i="6" s="1"/>
  <c r="P7" i="6" a="1"/>
  <c r="P7" i="6" s="1"/>
  <c r="K13" i="1"/>
  <c r="F13" i="1"/>
  <c r="E72" i="5" l="1"/>
  <c r="E71" i="5"/>
  <c r="E68" i="5"/>
  <c r="E67" i="5"/>
  <c r="E65" i="5"/>
  <c r="E63" i="5"/>
  <c r="E62" i="5"/>
  <c r="E61" i="5"/>
  <c r="E60" i="5"/>
  <c r="E59" i="5"/>
  <c r="E58" i="5"/>
  <c r="E57" i="5"/>
  <c r="E56" i="5"/>
  <c r="E55" i="5"/>
  <c r="E54" i="5"/>
  <c r="E53" i="5"/>
  <c r="E52" i="5"/>
  <c r="E51" i="5"/>
  <c r="E49" i="5"/>
  <c r="E48" i="5"/>
  <c r="E47" i="5"/>
  <c r="E46" i="5"/>
  <c r="E45" i="5"/>
  <c r="E44" i="5"/>
  <c r="M136" i="5"/>
  <c r="M50" i="4"/>
  <c r="N145" i="1"/>
  <c r="E43" i="5"/>
  <c r="E42" i="5"/>
  <c r="E41" i="5"/>
  <c r="E40" i="5"/>
  <c r="E39" i="5"/>
  <c r="E38" i="5"/>
  <c r="E36" i="5"/>
  <c r="E35" i="5"/>
  <c r="E34" i="5"/>
  <c r="M134" i="5"/>
  <c r="A7" i="4"/>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E32" i="5"/>
  <c r="E31" i="5"/>
  <c r="E30" i="5"/>
  <c r="E29" i="5"/>
  <c r="E28" i="5"/>
  <c r="E27" i="5"/>
  <c r="E26" i="5"/>
  <c r="E24" i="5"/>
  <c r="E23" i="5"/>
  <c r="E22" i="5"/>
  <c r="E21" i="5"/>
  <c r="E33" i="4"/>
  <c r="E31" i="4"/>
  <c r="E32" i="4"/>
  <c r="F69" i="1"/>
  <c r="E29" i="4"/>
  <c r="E28" i="4"/>
  <c r="E30" i="4"/>
  <c r="F68" i="1"/>
  <c r="E27" i="4"/>
  <c r="F67" i="1"/>
  <c r="F66" i="1"/>
  <c r="E26" i="4"/>
  <c r="E25" i="4"/>
  <c r="E24" i="4"/>
  <c r="E23" i="4"/>
  <c r="F65" i="1"/>
  <c r="F62" i="1"/>
  <c r="F63" i="1"/>
  <c r="E19" i="5"/>
  <c r="E22" i="4"/>
  <c r="F61" i="1"/>
  <c r="F60" i="1"/>
  <c r="F58" i="1"/>
  <c r="F57" i="1"/>
  <c r="F56" i="1"/>
  <c r="F55" i="1"/>
  <c r="F54" i="1"/>
  <c r="F50" i="1"/>
  <c r="F53" i="1"/>
  <c r="F52" i="1"/>
  <c r="F49" i="1"/>
  <c r="F48" i="1"/>
  <c r="F45" i="1"/>
  <c r="F46" i="1"/>
  <c r="F47" i="1"/>
  <c r="F44" i="1"/>
  <c r="E18" i="5"/>
  <c r="E17" i="5"/>
  <c r="J16" i="5"/>
  <c r="E16" i="5"/>
  <c r="J15" i="5"/>
  <c r="E15" i="5"/>
  <c r="J14" i="5"/>
  <c r="E14" i="5"/>
  <c r="E13" i="5"/>
  <c r="J12" i="5"/>
  <c r="E12" i="5"/>
  <c r="J11" i="5"/>
  <c r="E11" i="5"/>
  <c r="J10" i="5"/>
  <c r="E10" i="5"/>
  <c r="J9" i="5"/>
  <c r="E9" i="5"/>
  <c r="J8" i="5"/>
  <c r="E8" i="5"/>
  <c r="I1" i="5"/>
  <c r="I128" i="5" s="1"/>
  <c r="J128" i="5" s="1"/>
  <c r="I14" i="4"/>
  <c r="J14" i="4" s="1"/>
  <c r="M48" i="4"/>
  <c r="M47" i="4"/>
  <c r="M46" i="4"/>
  <c r="E20" i="4"/>
  <c r="E19" i="4"/>
  <c r="E18" i="4"/>
  <c r="E17" i="4"/>
  <c r="I16" i="4"/>
  <c r="J16" i="4" s="1"/>
  <c r="E16" i="4"/>
  <c r="I15" i="4"/>
  <c r="J15" i="4" s="1"/>
  <c r="E15" i="4"/>
  <c r="E14" i="4"/>
  <c r="I12" i="4"/>
  <c r="J12" i="4" s="1"/>
  <c r="E12" i="4"/>
  <c r="I11" i="4"/>
  <c r="J11" i="4" s="1"/>
  <c r="E11" i="4"/>
  <c r="I10" i="4"/>
  <c r="J10" i="4" s="1"/>
  <c r="E10" i="4"/>
  <c r="I9" i="4"/>
  <c r="J9" i="4" s="1"/>
  <c r="E9" i="4"/>
  <c r="I8" i="4"/>
  <c r="J8" i="4" s="1"/>
  <c r="E8" i="4"/>
  <c r="I7" i="4"/>
  <c r="J7" i="4" s="1"/>
  <c r="E7" i="4"/>
  <c r="I1" i="4"/>
  <c r="I40" i="4" s="1"/>
  <c r="J40" i="4" s="1"/>
  <c r="N143" i="1"/>
  <c r="N142" i="1"/>
  <c r="N141" i="1"/>
  <c r="K15" i="1"/>
  <c r="K16" i="1"/>
  <c r="K17" i="1"/>
  <c r="K18" i="1"/>
  <c r="K19" i="1"/>
  <c r="K20" i="1"/>
  <c r="K21" i="1"/>
  <c r="K22" i="1"/>
  <c r="K23" i="1"/>
  <c r="K24" i="1"/>
  <c r="K26" i="1"/>
  <c r="K25" i="1"/>
  <c r="K27" i="1"/>
  <c r="K28" i="1"/>
  <c r="K29" i="1"/>
  <c r="K30" i="1"/>
  <c r="K8" i="1"/>
  <c r="K9" i="1"/>
  <c r="K10" i="1"/>
  <c r="K11" i="1"/>
  <c r="K12" i="1"/>
  <c r="F8" i="1"/>
  <c r="F9" i="1"/>
  <c r="F10" i="1"/>
  <c r="F11" i="1"/>
  <c r="F12" i="1"/>
  <c r="F14" i="1"/>
  <c r="F15" i="1"/>
  <c r="F16" i="1"/>
  <c r="F17" i="1"/>
  <c r="F18" i="1"/>
  <c r="F19" i="1"/>
  <c r="F20" i="1"/>
  <c r="F21" i="1"/>
  <c r="F22" i="1"/>
  <c r="F23" i="1"/>
  <c r="F24" i="1"/>
  <c r="F26" i="1"/>
  <c r="F25" i="1"/>
  <c r="F27" i="1"/>
  <c r="F28" i="1"/>
  <c r="F29" i="1"/>
  <c r="F30" i="1"/>
  <c r="F31" i="1"/>
  <c r="F32" i="1"/>
  <c r="F33" i="1"/>
  <c r="F34" i="1"/>
  <c r="F35" i="1"/>
  <c r="F36" i="1"/>
  <c r="F37" i="1"/>
  <c r="F38" i="1"/>
  <c r="F40" i="1"/>
  <c r="F39" i="1"/>
  <c r="F42" i="1"/>
  <c r="F43" i="1"/>
  <c r="F7" i="1"/>
  <c r="I67" i="5"/>
  <c r="J67" i="5" s="1"/>
  <c r="I65" i="5"/>
  <c r="J65" i="5" s="1"/>
  <c r="I63" i="5"/>
  <c r="J63" i="5" s="1"/>
  <c r="I62" i="5"/>
  <c r="J62" i="5" s="1"/>
  <c r="I59" i="5"/>
  <c r="J59" i="5" s="1"/>
  <c r="I60" i="5"/>
  <c r="J60" i="5" s="1"/>
  <c r="I57" i="5"/>
  <c r="J57" i="5" s="1"/>
  <c r="I58" i="5"/>
  <c r="J58" i="5" s="1"/>
  <c r="I56" i="5"/>
  <c r="J56" i="5" s="1"/>
  <c r="I55" i="5"/>
  <c r="J55" i="5" s="1"/>
  <c r="I54" i="5"/>
  <c r="J54" i="5" s="1"/>
  <c r="I52" i="5"/>
  <c r="J52" i="5" s="1"/>
  <c r="I53" i="5"/>
  <c r="J53" i="5" s="1"/>
  <c r="I51" i="5"/>
  <c r="J51" i="5" s="1"/>
  <c r="I48" i="5"/>
  <c r="J48" i="5" s="1"/>
  <c r="I49" i="5"/>
  <c r="J49" i="5" s="1"/>
  <c r="I46" i="5"/>
  <c r="J46" i="5" s="1"/>
  <c r="I47" i="5"/>
  <c r="J47" i="5" s="1"/>
  <c r="I45" i="5"/>
  <c r="J45" i="5" s="1"/>
  <c r="I43" i="5"/>
  <c r="J43" i="5" s="1"/>
  <c r="I44" i="5"/>
  <c r="J44" i="5" s="1"/>
  <c r="I41" i="5"/>
  <c r="J41" i="5" s="1"/>
  <c r="I42" i="5"/>
  <c r="J42" i="5" s="1"/>
  <c r="I40" i="5"/>
  <c r="J40" i="5" s="1"/>
  <c r="I38" i="5"/>
  <c r="J38" i="5" s="1"/>
  <c r="I35" i="5"/>
  <c r="J35" i="5" s="1"/>
  <c r="I36" i="5"/>
  <c r="J36" i="5" s="1"/>
  <c r="I34" i="5"/>
  <c r="J34" i="5" s="1"/>
  <c r="I31" i="5"/>
  <c r="J31" i="5" s="1"/>
  <c r="I32" i="5"/>
  <c r="J32" i="5" s="1"/>
  <c r="I29" i="5"/>
  <c r="J29" i="5" s="1"/>
  <c r="I30" i="5"/>
  <c r="J30" i="5" s="1"/>
  <c r="I27" i="5"/>
  <c r="J27" i="5" s="1"/>
  <c r="I28" i="5"/>
  <c r="J28" i="5" s="1"/>
  <c r="I26" i="5"/>
  <c r="J26" i="5" s="1"/>
  <c r="I23" i="5"/>
  <c r="J23" i="5" s="1"/>
  <c r="I24" i="5"/>
  <c r="J24" i="5" s="1"/>
  <c r="I21" i="5"/>
  <c r="J21" i="5" s="1"/>
  <c r="I22" i="5"/>
  <c r="J22" i="5" s="1"/>
  <c r="I33" i="4"/>
  <c r="J33" i="4" s="1"/>
  <c r="I32" i="4"/>
  <c r="J32" i="4" s="1"/>
  <c r="J19" i="5"/>
  <c r="I28" i="4"/>
  <c r="J28" i="4" s="1"/>
  <c r="I27" i="4"/>
  <c r="J27" i="4" s="1"/>
  <c r="I30" i="4"/>
  <c r="J30" i="4" s="1"/>
  <c r="I24" i="4"/>
  <c r="J24" i="4" s="1"/>
  <c r="I26" i="4"/>
  <c r="J26" i="4" s="1"/>
  <c r="I25" i="4"/>
  <c r="J25" i="4" s="1"/>
  <c r="I22" i="4"/>
  <c r="J22" i="4" s="1"/>
  <c r="I23" i="4"/>
  <c r="J23" i="4" s="1"/>
  <c r="J18" i="5"/>
  <c r="J17" i="5"/>
  <c r="I19" i="4"/>
  <c r="J19" i="4" s="1"/>
  <c r="I20" i="4"/>
  <c r="J20" i="4" s="1"/>
  <c r="I17" i="4"/>
  <c r="J17" i="4" s="1"/>
  <c r="I18" i="4"/>
  <c r="J18" i="4" s="1"/>
  <c r="J1" i="1"/>
  <c r="J135" i="1" s="1"/>
  <c r="K135" i="1" s="1"/>
  <c r="K68" i="1"/>
  <c r="K69" i="1"/>
  <c r="K66" i="1"/>
  <c r="K67" i="1"/>
  <c r="K65" i="1"/>
  <c r="K63" i="1"/>
  <c r="K62" i="1"/>
  <c r="K61" i="1"/>
  <c r="K60" i="1"/>
  <c r="K56" i="1"/>
  <c r="K58" i="1"/>
  <c r="K57" i="1"/>
  <c r="K54" i="1"/>
  <c r="K55" i="1"/>
  <c r="K53" i="1"/>
  <c r="K50" i="1"/>
  <c r="K52" i="1"/>
  <c r="K49" i="1"/>
  <c r="K48" i="1"/>
  <c r="K46" i="1"/>
  <c r="K45" i="1"/>
  <c r="K44" i="1"/>
  <c r="K47" i="1"/>
  <c r="K38" i="1"/>
  <c r="K36" i="1"/>
  <c r="K31" i="1"/>
  <c r="K40" i="1"/>
  <c r="K35" i="1"/>
  <c r="K32" i="1"/>
  <c r="K39" i="1"/>
  <c r="K33" i="1"/>
  <c r="K43" i="1"/>
  <c r="K37" i="1"/>
  <c r="K34" i="1"/>
  <c r="K42" i="1"/>
  <c r="A7" i="5"/>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7" i="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I126" i="5" l="1"/>
  <c r="J126" i="5" s="1"/>
  <c r="I127" i="5"/>
  <c r="J127" i="5" s="1"/>
  <c r="J133" i="1"/>
  <c r="K133" i="1" s="1"/>
  <c r="J134" i="1"/>
  <c r="K134" i="1" s="1"/>
  <c r="J131" i="1"/>
  <c r="K131" i="1" s="1"/>
  <c r="J132" i="1"/>
  <c r="K132" i="1" s="1"/>
  <c r="J129" i="1"/>
  <c r="K129" i="1" s="1"/>
  <c r="J130" i="1"/>
  <c r="K130" i="1" s="1"/>
  <c r="I124" i="5"/>
  <c r="J124" i="5" s="1"/>
  <c r="I125" i="5"/>
  <c r="J125" i="5" s="1"/>
  <c r="J127" i="1"/>
  <c r="K127" i="1" s="1"/>
  <c r="J128" i="1"/>
  <c r="K128" i="1" s="1"/>
  <c r="J125" i="1"/>
  <c r="K125" i="1" s="1"/>
  <c r="J126" i="1"/>
  <c r="K126" i="1" s="1"/>
  <c r="AC122" i="1"/>
  <c r="AD122" i="1" s="1"/>
  <c r="AC120" i="1"/>
  <c r="AD120" i="1" s="1"/>
  <c r="I38" i="4"/>
  <c r="I39" i="4"/>
  <c r="I36" i="4"/>
  <c r="I37" i="4"/>
  <c r="J124" i="1"/>
  <c r="K124" i="1" s="1"/>
  <c r="J122" i="1"/>
  <c r="K122" i="1" s="1"/>
  <c r="AB35" i="4"/>
  <c r="AC35" i="4" s="1"/>
  <c r="I35" i="4"/>
  <c r="I122" i="5"/>
  <c r="J122" i="5" s="1"/>
  <c r="J120" i="1"/>
  <c r="K120" i="1" s="1"/>
  <c r="J119" i="1"/>
  <c r="K119" i="1" s="1"/>
  <c r="J116" i="1"/>
  <c r="K116" i="1" s="1"/>
  <c r="J117" i="1"/>
  <c r="K117" i="1" s="1"/>
  <c r="J114" i="1"/>
  <c r="K114" i="1" s="1"/>
  <c r="J115" i="1"/>
  <c r="K115" i="1" s="1"/>
  <c r="I120" i="5"/>
  <c r="J120" i="5" s="1"/>
  <c r="I121" i="5"/>
  <c r="J121" i="5" s="1"/>
  <c r="I70" i="5"/>
  <c r="J70" i="5" s="1"/>
  <c r="I119" i="5"/>
  <c r="J119" i="5" s="1"/>
  <c r="I112" i="5"/>
  <c r="J112" i="5" s="1"/>
  <c r="I113" i="5"/>
  <c r="J113" i="5" s="1"/>
  <c r="I114" i="5"/>
  <c r="J114" i="5" s="1"/>
  <c r="I115" i="5"/>
  <c r="J115" i="5" s="1"/>
  <c r="I117" i="5"/>
  <c r="J117" i="5" s="1"/>
  <c r="J112" i="1"/>
  <c r="K112" i="1" s="1"/>
  <c r="J113" i="1"/>
  <c r="K113" i="1" s="1"/>
  <c r="J110" i="1"/>
  <c r="K110" i="1" s="1"/>
  <c r="J111" i="1"/>
  <c r="K111" i="1" s="1"/>
  <c r="J59" i="1"/>
  <c r="J51" i="1"/>
  <c r="J108" i="1"/>
  <c r="K108" i="1" s="1"/>
  <c r="J109" i="1"/>
  <c r="K109" i="1" s="1"/>
  <c r="J103" i="1"/>
  <c r="K103" i="1" s="1"/>
  <c r="AC50" i="1"/>
  <c r="AD50" i="1" s="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J84" i="1"/>
  <c r="K84" i="1" s="1"/>
  <c r="J106" i="1"/>
  <c r="K106" i="1" s="1"/>
  <c r="J104" i="1"/>
  <c r="K104" i="1" s="1"/>
  <c r="J105" i="1"/>
  <c r="K105" i="1" s="1"/>
  <c r="J101" i="1"/>
  <c r="K101" i="1" s="1"/>
  <c r="AC94" i="1"/>
  <c r="AD94" i="1" s="1"/>
  <c r="J100" i="1"/>
  <c r="K100" i="1" s="1"/>
  <c r="J93" i="1"/>
  <c r="K93" i="1" s="1"/>
  <c r="J92" i="1"/>
  <c r="K92" i="1" s="1"/>
  <c r="J97" i="1"/>
  <c r="K97" i="1" s="1"/>
  <c r="J89" i="1"/>
  <c r="K89" i="1" s="1"/>
  <c r="J91" i="1"/>
  <c r="K91" i="1" s="1"/>
  <c r="J90" i="1"/>
  <c r="K90" i="1" s="1"/>
  <c r="J88" i="1"/>
  <c r="K88" i="1" s="1"/>
  <c r="J86" i="1"/>
  <c r="K86" i="1" s="1"/>
  <c r="K81" i="1"/>
  <c r="I101" i="5"/>
  <c r="J101" i="5" s="1"/>
  <c r="I103" i="5"/>
  <c r="J103" i="5" s="1"/>
  <c r="I97" i="5"/>
  <c r="J97" i="5" s="1"/>
  <c r="I99" i="5"/>
  <c r="J99" i="5" s="1"/>
  <c r="I81" i="5"/>
  <c r="J81" i="5" s="1"/>
  <c r="I77" i="5"/>
  <c r="J77" i="5" s="1"/>
  <c r="I75" i="5"/>
  <c r="J75" i="5" s="1"/>
  <c r="I76" i="5"/>
  <c r="J76" i="5" s="1"/>
  <c r="I73" i="5"/>
  <c r="J73" i="5" s="1"/>
  <c r="I74" i="5"/>
  <c r="J74" i="5" s="1"/>
  <c r="K70" i="1"/>
  <c r="K71" i="1"/>
  <c r="I31" i="4"/>
  <c r="AB32" i="4"/>
  <c r="AC32" i="4" s="1"/>
  <c r="AB30" i="4"/>
  <c r="AC30" i="4" s="1"/>
  <c r="AB21" i="4"/>
  <c r="AC21" i="4" s="1"/>
  <c r="AB28" i="4"/>
  <c r="AC28" i="4" s="1"/>
  <c r="AB13" i="4"/>
  <c r="AC13" i="4" s="1"/>
  <c r="I21" i="4"/>
  <c r="J21" i="4" s="1"/>
  <c r="AB12" i="4"/>
  <c r="AC12" i="4" s="1"/>
  <c r="I13" i="4"/>
  <c r="J13" i="4" s="1"/>
  <c r="I64" i="5"/>
  <c r="J64" i="5" s="1"/>
  <c r="K64" i="1"/>
  <c r="AC68" i="1"/>
  <c r="AD68" i="1" s="1"/>
  <c r="AC61" i="1"/>
  <c r="AD61" i="1" s="1"/>
  <c r="AC62" i="1"/>
  <c r="AD62" i="1" s="1"/>
  <c r="AC58" i="1"/>
  <c r="AD58" i="1" s="1"/>
  <c r="AC60" i="1"/>
  <c r="AD60" i="1" s="1"/>
  <c r="I39" i="5"/>
  <c r="J39" i="5" s="1"/>
  <c r="AC45" i="1"/>
  <c r="AD45" i="1" s="1"/>
  <c r="AC46" i="1"/>
  <c r="AD46" i="1" s="1"/>
  <c r="AC33" i="1"/>
  <c r="AD33" i="1" s="1"/>
  <c r="AC44" i="1"/>
  <c r="AD44" i="1" s="1"/>
  <c r="AC27" i="1"/>
  <c r="AD27" i="1" s="1"/>
  <c r="AC28" i="1"/>
  <c r="AD28" i="1" s="1"/>
  <c r="AC20" i="1"/>
  <c r="AD20" i="1" s="1"/>
  <c r="AC19" i="1"/>
  <c r="AD19" i="1" s="1"/>
  <c r="AC15" i="1"/>
  <c r="AD15" i="1" s="1"/>
  <c r="AC16" i="1"/>
  <c r="AD16" i="1" s="1"/>
  <c r="AC13" i="1"/>
  <c r="AD13" i="1" s="1"/>
  <c r="AC14" i="1"/>
  <c r="AD14" i="1" s="1"/>
  <c r="AC11" i="1"/>
  <c r="AD11" i="1" s="1"/>
  <c r="AC12" i="1"/>
  <c r="AD12" i="1" s="1"/>
  <c r="K7" i="1"/>
  <c r="AC10" i="1"/>
  <c r="AD10" i="1" s="1"/>
  <c r="AB7" i="4"/>
  <c r="AB9" i="4"/>
  <c r="AC9" i="4" s="1"/>
  <c r="AB20" i="4"/>
  <c r="AC20" i="4" s="1"/>
  <c r="AB31" i="4"/>
  <c r="AC31" i="4" s="1"/>
  <c r="AB10" i="4"/>
  <c r="AC10" i="4" s="1"/>
  <c r="AB11" i="4"/>
  <c r="AC11" i="4" s="1"/>
  <c r="AB22" i="4"/>
  <c r="AC22" i="4" s="1"/>
  <c r="AB33" i="4"/>
  <c r="AC33" i="4" s="1"/>
  <c r="AB14" i="4"/>
  <c r="AC14" i="4" s="1"/>
  <c r="AB25" i="4"/>
  <c r="AC25" i="4" s="1"/>
  <c r="AB15" i="4"/>
  <c r="AC15" i="4" s="1"/>
  <c r="AB26" i="4"/>
  <c r="AC26" i="4" s="1"/>
  <c r="AB16" i="4"/>
  <c r="AC16" i="4" s="1"/>
  <c r="AB8" i="4"/>
  <c r="AC8" i="4" s="1"/>
  <c r="AB17" i="4"/>
  <c r="AC17" i="4" s="1"/>
  <c r="AB18" i="4"/>
  <c r="AC18" i="4" s="1"/>
  <c r="AB19" i="4"/>
  <c r="AC19" i="4" s="1"/>
  <c r="AB23" i="4"/>
  <c r="AC23" i="4" s="1"/>
  <c r="AB27" i="4"/>
  <c r="AC27" i="4" s="1"/>
  <c r="AB24" i="4"/>
  <c r="AC24" i="4" s="1"/>
  <c r="AC8" i="1"/>
  <c r="AD8" i="1" s="1"/>
  <c r="AC49" i="1"/>
  <c r="AD49" i="1" s="1"/>
  <c r="AC51" i="1"/>
  <c r="AD51" i="1" s="1"/>
  <c r="AC52" i="1"/>
  <c r="AD52" i="1" s="1"/>
  <c r="AC21" i="1"/>
  <c r="AD21" i="1" s="1"/>
  <c r="AC53" i="1"/>
  <c r="AD53" i="1" s="1"/>
  <c r="AC63" i="1"/>
  <c r="AD63" i="1" s="1"/>
  <c r="AC32" i="1"/>
  <c r="AD32" i="1" s="1"/>
  <c r="AC22" i="1"/>
  <c r="AD22" i="1" s="1"/>
  <c r="AC54" i="1"/>
  <c r="AD54" i="1" s="1"/>
  <c r="AC30" i="1"/>
  <c r="AD30" i="1" s="1"/>
  <c r="AC31" i="1"/>
  <c r="AD31" i="1" s="1"/>
  <c r="AC7" i="1"/>
  <c r="I61" i="5"/>
  <c r="J61" i="5" s="1"/>
  <c r="I72" i="5"/>
  <c r="J72" i="5" s="1"/>
  <c r="I68" i="5"/>
  <c r="J68" i="5" s="1"/>
  <c r="J13" i="5"/>
  <c r="K14" i="1"/>
  <c r="I71" i="5"/>
  <c r="J71" i="5" s="1"/>
  <c r="J38" i="4" l="1"/>
  <c r="J37" i="4"/>
  <c r="J31" i="4"/>
  <c r="J39" i="4"/>
  <c r="J36" i="4"/>
  <c r="J35" i="4"/>
  <c r="A102" i="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C7" i="4"/>
  <c r="R7" i="7" s="1" a="1"/>
  <c r="Q7" i="7" a="1"/>
  <c r="Q7" i="7" s="1"/>
  <c r="AD7" i="1"/>
  <c r="R7" i="6" a="1"/>
  <c r="R7" i="6" s="1"/>
  <c r="Q49" i="4"/>
  <c r="R144" i="1"/>
  <c r="P141" i="1"/>
  <c r="O144" i="1"/>
  <c r="N48" i="4"/>
  <c r="O46" i="4"/>
  <c r="O48" i="4"/>
  <c r="P144" i="1"/>
  <c r="O143" i="1"/>
  <c r="P143" i="1"/>
  <c r="P142" i="1"/>
  <c r="O142" i="1"/>
  <c r="O47" i="4"/>
  <c r="O49" i="4"/>
  <c r="N47" i="4"/>
  <c r="N46" i="4"/>
  <c r="O141" i="1"/>
  <c r="N49" i="4"/>
  <c r="R7" i="7" l="1"/>
  <c r="D3" i="9" s="1"/>
  <c r="S7" i="6" a="1"/>
  <c r="Q45" i="4"/>
  <c r="R140" i="1"/>
  <c r="N144" i="1"/>
  <c r="N140" i="1" s="1"/>
  <c r="M49" i="4"/>
  <c r="M45" i="4" s="1"/>
  <c r="L49" i="4" s="1"/>
  <c r="C3" i="9" l="1"/>
  <c r="S7" i="6"/>
  <c r="P45" i="4"/>
  <c r="P47" i="4"/>
  <c r="P48" i="4"/>
  <c r="P46" i="4"/>
  <c r="P49" i="4"/>
  <c r="Q140" i="1"/>
  <c r="Q142" i="1"/>
  <c r="Q143" i="1"/>
  <c r="Q141" i="1"/>
  <c r="Q144" i="1"/>
  <c r="M143" i="1"/>
  <c r="M145" i="1"/>
  <c r="M140" i="1"/>
  <c r="M141" i="1"/>
  <c r="M142" i="1"/>
  <c r="M144" i="1"/>
  <c r="L47" i="4"/>
  <c r="L46" i="4"/>
  <c r="L48" i="4"/>
  <c r="L45" i="4"/>
  <c r="L50" i="4"/>
  <c r="B3" i="9" l="1"/>
  <c r="A3" i="9"/>
  <c r="N135" i="5"/>
  <c r="Q135" i="5"/>
  <c r="Q133" i="5" s="1"/>
  <c r="O135" i="5"/>
  <c r="O134" i="5"/>
  <c r="N134" i="5"/>
  <c r="J7" i="5"/>
  <c r="A5" i="9" l="1"/>
  <c r="M135" i="5"/>
  <c r="M133" i="5" s="1"/>
  <c r="L135" i="5" s="1"/>
  <c r="P134" i="5"/>
  <c r="P133" i="5"/>
  <c r="P135" i="5"/>
  <c r="L136" i="5" l="1"/>
  <c r="L134" i="5"/>
  <c r="L13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<sst xmlns="http://schemas.openxmlformats.org/spreadsheetml/2006/main" count="3441" uniqueCount="1071">
  <si>
    <t>TT</t>
  </si>
  <si>
    <t>C</t>
  </si>
  <si>
    <t>B</t>
  </si>
  <si>
    <t>A</t>
  </si>
  <si>
    <t>Subject</t>
  </si>
  <si>
    <t>Tiêu đề</t>
  </si>
  <si>
    <t>RFCS</t>
  </si>
  <si>
    <t>Processing Time</t>
  </si>
  <si>
    <t>Link</t>
  </si>
  <si>
    <t xml:space="preserve">   </t>
  </si>
  <si>
    <t xml:space="preserve">    </t>
  </si>
  <si>
    <t xml:space="preserve"> </t>
  </si>
  <si>
    <t>LInk</t>
  </si>
  <si>
    <t>X</t>
  </si>
  <si>
    <t>Note: 04/2024 → Today</t>
  </si>
  <si>
    <t>&lt;=21 day</t>
  </si>
  <si>
    <t>&gt;21 day</t>
  </si>
  <si>
    <t>Total no. of RFI to submit</t>
  </si>
  <si>
    <t>Total no. of RFA-SDS to submit</t>
  </si>
  <si>
    <t>Total no. of RFA to submit</t>
  </si>
  <si>
    <t>RFA</t>
  </si>
  <si>
    <r>
      <rPr>
        <b/>
        <sz val="12"/>
        <rFont val="Times New Roman"/>
        <family val="1"/>
      </rPr>
      <t>Request For Approval</t>
    </r>
    <r>
      <rPr>
        <sz val="12"/>
        <rFont val="Times New Roman"/>
        <family val="1"/>
      </rPr>
      <t xml:space="preserve">/ </t>
    </r>
    <r>
      <rPr>
        <i/>
        <sz val="12"/>
        <rFont val="Times New Roman"/>
        <family val="1"/>
      </rPr>
      <t>Yêu cầu phê duyệt</t>
    </r>
  </si>
  <si>
    <t>LET</t>
  </si>
  <si>
    <r>
      <rPr>
        <b/>
        <sz val="12"/>
        <rFont val="Times New Roman"/>
        <family val="1"/>
      </rPr>
      <t>Letter</t>
    </r>
    <r>
      <rPr>
        <sz val="12"/>
        <rFont val="Times New Roman"/>
        <family val="1"/>
      </rPr>
      <t xml:space="preserve">/ </t>
    </r>
    <r>
      <rPr>
        <i/>
        <sz val="12"/>
        <rFont val="Times New Roman"/>
        <family val="1"/>
      </rPr>
      <t>Công văn</t>
    </r>
  </si>
  <si>
    <t>GEN</t>
  </si>
  <si>
    <r>
      <rPr>
        <b/>
        <sz val="12"/>
        <rFont val="Times New Roman"/>
        <family val="1"/>
      </rPr>
      <t>General/</t>
    </r>
    <r>
      <rPr>
        <sz val="12"/>
        <rFont val="Times New Roman"/>
        <family val="1"/>
      </rPr>
      <t xml:space="preserve"> </t>
    </r>
    <r>
      <rPr>
        <i/>
        <sz val="12"/>
        <rFont val="Times New Roman"/>
        <family val="1"/>
      </rPr>
      <t>Chung</t>
    </r>
  </si>
  <si>
    <t>PER</t>
  </si>
  <si>
    <r>
      <rPr>
        <b/>
        <sz val="12"/>
        <rFont val="Times New Roman"/>
        <family val="1"/>
      </rPr>
      <t>Personnel</t>
    </r>
    <r>
      <rPr>
        <sz val="12"/>
        <rFont val="Times New Roman"/>
        <family val="1"/>
      </rPr>
      <t xml:space="preserve">/ </t>
    </r>
    <r>
      <rPr>
        <i/>
        <sz val="12"/>
        <rFont val="Times New Roman"/>
        <family val="1"/>
      </rPr>
      <t>Nhân sự</t>
    </r>
  </si>
  <si>
    <t>OTH</t>
  </si>
  <si>
    <r>
      <rPr>
        <b/>
        <sz val="12"/>
        <rFont val="Times New Roman"/>
        <family val="1"/>
      </rPr>
      <t>Other</t>
    </r>
    <r>
      <rPr>
        <sz val="12"/>
        <rFont val="Times New Roman"/>
        <family val="1"/>
      </rPr>
      <t xml:space="preserve">/ </t>
    </r>
    <r>
      <rPr>
        <i/>
        <sz val="12"/>
        <rFont val="Times New Roman"/>
        <family val="1"/>
      </rPr>
      <t>Khác</t>
    </r>
  </si>
  <si>
    <t>MAS</t>
  </si>
  <si>
    <r>
      <rPr>
        <b/>
        <sz val="12"/>
        <rFont val="Times New Roman"/>
        <family val="1"/>
      </rPr>
      <t>Material</t>
    </r>
    <r>
      <rPr>
        <sz val="12"/>
        <rFont val="Times New Roman"/>
        <family val="1"/>
      </rPr>
      <t xml:space="preserve">/ </t>
    </r>
    <r>
      <rPr>
        <i/>
        <sz val="12"/>
        <rFont val="Times New Roman"/>
        <family val="1"/>
      </rPr>
      <t>Vật liệu</t>
    </r>
  </si>
  <si>
    <t>MSS</t>
  </si>
  <si>
    <r>
      <rPr>
        <b/>
        <sz val="12"/>
        <rFont val="Times New Roman"/>
        <family val="1"/>
      </rPr>
      <t>Construction Method</t>
    </r>
    <r>
      <rPr>
        <sz val="12"/>
        <rFont val="Times New Roman"/>
        <family val="1"/>
      </rPr>
      <t xml:space="preserve">/ </t>
    </r>
    <r>
      <rPr>
        <i/>
        <sz val="12"/>
        <rFont val="Times New Roman"/>
        <family val="1"/>
      </rPr>
      <t>Biện pháp thi công</t>
    </r>
  </si>
  <si>
    <t>MSU</t>
  </si>
  <si>
    <r>
      <rPr>
        <b/>
        <sz val="12"/>
        <rFont val="Times New Roman"/>
        <family val="1"/>
      </rPr>
      <t>Subcontractor</t>
    </r>
    <r>
      <rPr>
        <sz val="12"/>
        <rFont val="Times New Roman"/>
        <family val="1"/>
      </rPr>
      <t xml:space="preserve">/ </t>
    </r>
    <r>
      <rPr>
        <i/>
        <sz val="12"/>
        <rFont val="Times New Roman"/>
        <family val="1"/>
      </rPr>
      <t>Nhà thầu phụ</t>
    </r>
  </si>
  <si>
    <t>SDS</t>
  </si>
  <si>
    <r>
      <rPr>
        <b/>
        <sz val="11"/>
        <rFont val="Times New Roman"/>
        <family val="1"/>
      </rPr>
      <t>Shop Drawing</t>
    </r>
    <r>
      <rPr>
        <sz val="11"/>
        <rFont val="Times New Roman"/>
        <family val="1"/>
      </rPr>
      <t xml:space="preserve">/ </t>
    </r>
    <r>
      <rPr>
        <i/>
        <sz val="11"/>
        <rFont val="Times New Roman"/>
        <family val="1"/>
      </rPr>
      <t>Bản vẽ kỹ thuật</t>
    </r>
  </si>
  <si>
    <t>RFI</t>
  </si>
  <si>
    <r>
      <rPr>
        <b/>
        <sz val="11"/>
        <rFont val="Times New Roman"/>
        <family val="1"/>
      </rPr>
      <t>Request For Information</t>
    </r>
    <r>
      <rPr>
        <sz val="11"/>
        <rFont val="Times New Roman"/>
        <family val="1"/>
      </rPr>
      <t xml:space="preserve">/ </t>
    </r>
    <r>
      <rPr>
        <i/>
        <sz val="11"/>
        <rFont val="Times New Roman"/>
        <family val="1"/>
      </rPr>
      <t>Yêu cầu cung cấp thông tin</t>
    </r>
  </si>
  <si>
    <r>
      <rPr>
        <b/>
        <sz val="11"/>
        <rFont val="Times New Roman"/>
        <family val="1"/>
      </rPr>
      <t>Response Form Construction Supervisor/</t>
    </r>
    <r>
      <rPr>
        <sz val="11"/>
        <rFont val="Times New Roman"/>
        <family val="1"/>
      </rPr>
      <t xml:space="preserve">
</t>
    </r>
    <r>
      <rPr>
        <i/>
        <sz val="11"/>
        <rFont val="Times New Roman"/>
        <family val="1"/>
      </rPr>
      <t>Phản hồi của giám sát thi công</t>
    </r>
  </si>
  <si>
    <r>
      <rPr>
        <b/>
        <sz val="12"/>
        <color theme="1"/>
        <rFont val="Times New Roman"/>
        <family val="1"/>
      </rPr>
      <t>Some other links</t>
    </r>
    <r>
      <rPr>
        <sz val="12"/>
        <color theme="1"/>
        <rFont val="Times New Roman"/>
        <family val="1"/>
      </rPr>
      <t xml:space="preserve">/ </t>
    </r>
    <r>
      <rPr>
        <i/>
        <sz val="12"/>
        <color theme="1"/>
        <rFont val="Times New Roman"/>
        <family val="1"/>
      </rPr>
      <t>Một số đường link khác</t>
    </r>
  </si>
  <si>
    <r>
      <rPr>
        <b/>
        <sz val="12"/>
        <color theme="1"/>
        <rFont val="Times New Roman"/>
        <family val="1"/>
      </rPr>
      <t>LTIA_Register</t>
    </r>
    <r>
      <rPr>
        <sz val="12"/>
        <color theme="1"/>
        <rFont val="Times New Roman"/>
        <family val="1"/>
      </rPr>
      <t xml:space="preserve">/ </t>
    </r>
    <r>
      <rPr>
        <i/>
        <sz val="12"/>
        <color theme="1"/>
        <rFont val="Times New Roman"/>
        <family val="1"/>
      </rPr>
      <t>Danh mục hồ sơ trình duyệt</t>
    </r>
  </si>
  <si>
    <r>
      <t xml:space="preserve">Vietur Official Data/ </t>
    </r>
    <r>
      <rPr>
        <i/>
        <sz val="12"/>
        <color theme="1"/>
        <rFont val="Times New Roman"/>
        <family val="1"/>
      </rPr>
      <t>Dữ liệu chính thức Vietur</t>
    </r>
  </si>
  <si>
    <r>
      <rPr>
        <b/>
        <sz val="12"/>
        <color theme="1"/>
        <rFont val="Times New Roman"/>
        <family val="1"/>
      </rPr>
      <t>Document Management 5.10</t>
    </r>
    <r>
      <rPr>
        <sz val="12"/>
        <color theme="1"/>
        <rFont val="Times New Roman"/>
        <family val="1"/>
      </rPr>
      <t xml:space="preserve">/ </t>
    </r>
    <r>
      <rPr>
        <i/>
        <sz val="12"/>
        <color theme="1"/>
        <rFont val="Times New Roman"/>
        <family val="1"/>
      </rPr>
      <t>Quản lý hồ sơ 5.10</t>
    </r>
  </si>
  <si>
    <r>
      <t xml:space="preserve">System
</t>
    </r>
    <r>
      <rPr>
        <b/>
        <i/>
        <sz val="12"/>
        <color theme="1"/>
        <rFont val="Times New Roman"/>
        <family val="1"/>
      </rPr>
      <t>Hệ</t>
    </r>
  </si>
  <si>
    <r>
      <t xml:space="preserve">Document Reference No.
</t>
    </r>
    <r>
      <rPr>
        <b/>
        <i/>
        <sz val="12"/>
        <color theme="1"/>
        <rFont val="Times New Roman"/>
        <family val="1"/>
      </rPr>
      <t>Tham chiếu hồ sơ số</t>
    </r>
  </si>
  <si>
    <r>
      <t xml:space="preserve">Deadline to responde
</t>
    </r>
    <r>
      <rPr>
        <b/>
        <i/>
        <sz val="12"/>
        <rFont val="Times New Roman"/>
        <family val="1"/>
      </rPr>
      <t>Thời hạn trả lời</t>
    </r>
  </si>
  <si>
    <r>
      <t xml:space="preserve">Status
</t>
    </r>
    <r>
      <rPr>
        <b/>
        <i/>
        <sz val="12"/>
        <color theme="1"/>
        <rFont val="Times New Roman"/>
        <family val="1"/>
      </rPr>
      <t>Tình trạng</t>
    </r>
  </si>
  <si>
    <r>
      <t xml:space="preserve">Processing Time
</t>
    </r>
    <r>
      <rPr>
        <b/>
        <i/>
        <sz val="12"/>
        <color theme="1"/>
        <rFont val="Times New Roman"/>
        <family val="1"/>
      </rPr>
      <t>Thời gian xử lý</t>
    </r>
  </si>
  <si>
    <r>
      <t>FOLLOW DOCUMENTS - RFA /</t>
    </r>
    <r>
      <rPr>
        <b/>
        <i/>
        <sz val="14"/>
        <color theme="1"/>
        <rFont val="Times New Roman"/>
        <family val="1"/>
      </rPr>
      <t xml:space="preserve"> THEO DÕI HỒ SƠ - RFA</t>
    </r>
  </si>
  <si>
    <r>
      <t xml:space="preserve">SECTION TE / </t>
    </r>
    <r>
      <rPr>
        <b/>
        <i/>
        <sz val="14"/>
        <color theme="1"/>
        <rFont val="Times New Roman"/>
        <family val="1"/>
      </rPr>
      <t>HẠNG MỤC TE</t>
    </r>
  </si>
  <si>
    <r>
      <t xml:space="preserve">Official
</t>
    </r>
    <r>
      <rPr>
        <b/>
        <i/>
        <sz val="12"/>
        <color theme="1"/>
        <rFont val="Times New Roman"/>
        <family val="1"/>
      </rPr>
      <t>Chính thức</t>
    </r>
  </si>
  <si>
    <r>
      <t xml:space="preserve">Documents Submission
</t>
    </r>
    <r>
      <rPr>
        <b/>
        <i/>
        <sz val="12"/>
        <color theme="1"/>
        <rFont val="Times New Roman"/>
        <family val="1"/>
      </rPr>
      <t>Hồ sơ đệ trình</t>
    </r>
  </si>
  <si>
    <r>
      <t xml:space="preserve">Internal
</t>
    </r>
    <r>
      <rPr>
        <b/>
        <i/>
        <sz val="12"/>
        <color theme="1"/>
        <rFont val="Times New Roman"/>
        <family val="1"/>
      </rPr>
      <t>Nội bộ</t>
    </r>
  </si>
  <si>
    <r>
      <t xml:space="preserve">JCJV's Response
</t>
    </r>
    <r>
      <rPr>
        <b/>
        <i/>
        <sz val="12"/>
        <color theme="1"/>
        <rFont val="Times New Roman"/>
        <family val="1"/>
      </rPr>
      <t xml:space="preserve"> Phản hồi của JCJV</t>
    </r>
  </si>
  <si>
    <r>
      <t xml:space="preserve">Sub. Date 
(Soft copy)
</t>
    </r>
    <r>
      <rPr>
        <b/>
        <i/>
        <sz val="12"/>
        <color theme="1"/>
        <rFont val="Times New Roman"/>
        <family val="1"/>
      </rPr>
      <t>Ngày đệ trình 
(bản mềm)</t>
    </r>
  </si>
  <si>
    <r>
      <t xml:space="preserve">Sub. Date 
(by Email)
</t>
    </r>
    <r>
      <rPr>
        <b/>
        <i/>
        <sz val="12"/>
        <color theme="1"/>
        <rFont val="Times New Roman"/>
        <family val="1"/>
      </rPr>
      <t>Ngày đệ trình 
(bằng Email)</t>
    </r>
  </si>
  <si>
    <r>
      <t xml:space="preserve">Sub. Date 
(Hard copy)
</t>
    </r>
    <r>
      <rPr>
        <b/>
        <i/>
        <sz val="12"/>
        <color theme="1"/>
        <rFont val="Times New Roman"/>
        <family val="1"/>
      </rPr>
      <t>Ngày đệ trình 
(bản cứng)</t>
    </r>
  </si>
  <si>
    <r>
      <t xml:space="preserve">Response Date 
</t>
    </r>
    <r>
      <rPr>
        <b/>
        <i/>
        <sz val="12"/>
        <rFont val="Times New Roman"/>
        <family val="1"/>
      </rPr>
      <t>Ngày phản hồi</t>
    </r>
  </si>
  <si>
    <r>
      <t xml:space="preserve">Submit Date 
</t>
    </r>
    <r>
      <rPr>
        <b/>
        <i/>
        <sz val="12"/>
        <rFont val="Times New Roman"/>
        <family val="1"/>
      </rPr>
      <t>Ngày phát hành</t>
    </r>
  </si>
  <si>
    <r>
      <t xml:space="preserve">Signed by
</t>
    </r>
    <r>
      <rPr>
        <b/>
        <i/>
        <sz val="12"/>
        <color theme="1"/>
        <rFont val="Times New Roman"/>
        <family val="1"/>
      </rPr>
      <t>Đã ký bởi</t>
    </r>
  </si>
  <si>
    <r>
      <t xml:space="preserve">Current Date
</t>
    </r>
    <r>
      <rPr>
        <b/>
        <i/>
        <sz val="12"/>
        <color theme="1"/>
        <rFont val="Times New Roman"/>
        <family val="1"/>
      </rPr>
      <t>Ngày hiện tại</t>
    </r>
  </si>
  <si>
    <r>
      <t xml:space="preserve">FOLLOW DOCUMENTS - RFA-SDS / </t>
    </r>
    <r>
      <rPr>
        <b/>
        <i/>
        <sz val="14"/>
        <color theme="1"/>
        <rFont val="Times New Roman"/>
        <family val="1"/>
      </rPr>
      <t>THEO DÕI HỒ SƠ - RFA-SDS</t>
    </r>
  </si>
  <si>
    <r>
      <t>Response Date 
N</t>
    </r>
    <r>
      <rPr>
        <b/>
        <i/>
        <sz val="12"/>
        <rFont val="Times New Roman"/>
        <family val="1"/>
      </rPr>
      <t>gày phản hồi</t>
    </r>
  </si>
  <si>
    <r>
      <t>FOLLOW DOCUMENTS - RFI /</t>
    </r>
    <r>
      <rPr>
        <b/>
        <i/>
        <sz val="14"/>
        <color theme="1"/>
        <rFont val="Times New Roman"/>
        <family val="1"/>
      </rPr>
      <t xml:space="preserve"> THEO DÕI HỒ SƠ RFI</t>
    </r>
  </si>
  <si>
    <t>A: Approved/ Phê duyệt</t>
  </si>
  <si>
    <r>
      <rPr>
        <b/>
        <sz val="11"/>
        <color theme="4"/>
        <rFont val="Times New Roman"/>
        <family val="1"/>
      </rPr>
      <t>B: Approved with comment</t>
    </r>
    <r>
      <rPr>
        <sz val="11"/>
        <color theme="4"/>
        <rFont val="Times New Roman"/>
        <family val="1"/>
      </rPr>
      <t xml:space="preserve">s/ </t>
    </r>
    <r>
      <rPr>
        <i/>
        <sz val="11"/>
        <color theme="4"/>
        <rFont val="Times New Roman"/>
        <family val="1"/>
      </rPr>
      <t>Phê duyệt với ý kiến</t>
    </r>
  </si>
  <si>
    <r>
      <rPr>
        <b/>
        <sz val="11"/>
        <color rgb="FFFF0000"/>
        <rFont val="Times New Roman"/>
        <family val="1"/>
      </rPr>
      <t>C: Rejected</t>
    </r>
    <r>
      <rPr>
        <sz val="11"/>
        <color rgb="FFFF0000"/>
        <rFont val="Times New Roman"/>
        <family val="1"/>
      </rPr>
      <t xml:space="preserve">/ </t>
    </r>
    <r>
      <rPr>
        <i/>
        <sz val="11"/>
        <color rgb="FFFF0000"/>
        <rFont val="Times New Roman"/>
        <family val="1"/>
      </rPr>
      <t>Từ chối</t>
    </r>
  </si>
  <si>
    <r>
      <rPr>
        <b/>
        <sz val="11"/>
        <color rgb="FF92D050"/>
        <rFont val="Times New Roman"/>
        <family val="1"/>
      </rPr>
      <t>RFCS</t>
    </r>
    <r>
      <rPr>
        <sz val="11"/>
        <color rgb="FF92D050"/>
        <rFont val="Times New Roman"/>
        <family val="1"/>
        <charset val="163"/>
      </rPr>
      <t xml:space="preserve"> / </t>
    </r>
    <r>
      <rPr>
        <i/>
        <sz val="11"/>
        <color rgb="FF92D050"/>
        <rFont val="Times New Roman"/>
        <family val="1"/>
      </rPr>
      <t>Đã phản hồi</t>
    </r>
  </si>
  <si>
    <r>
      <rPr>
        <b/>
        <sz val="12"/>
        <color theme="5"/>
        <rFont val="Times New Roman"/>
        <family val="1"/>
      </rPr>
      <t>Pending</t>
    </r>
    <r>
      <rPr>
        <sz val="12"/>
        <color theme="5"/>
        <rFont val="Times New Roman"/>
        <family val="1"/>
      </rPr>
      <t xml:space="preserve">/ </t>
    </r>
    <r>
      <rPr>
        <i/>
        <sz val="12"/>
        <color theme="5"/>
        <rFont val="Times New Roman"/>
        <family val="1"/>
      </rPr>
      <t>Chưa giải quyết</t>
    </r>
  </si>
  <si>
    <r>
      <rPr>
        <b/>
        <sz val="12"/>
        <color theme="1"/>
        <rFont val="Times New Roman"/>
        <family val="1"/>
      </rPr>
      <t>Withdrawn</t>
    </r>
    <r>
      <rPr>
        <sz val="12"/>
        <color theme="1"/>
        <rFont val="Times New Roman"/>
        <family val="1"/>
      </rPr>
      <t xml:space="preserve">/ </t>
    </r>
    <r>
      <rPr>
        <i/>
        <sz val="12"/>
        <color theme="1"/>
        <rFont val="Times New Roman"/>
        <family val="1"/>
      </rPr>
      <t>Đã thu hồi</t>
    </r>
  </si>
  <si>
    <r>
      <t xml:space="preserve">Employer's Response
</t>
    </r>
    <r>
      <rPr>
        <b/>
        <i/>
        <sz val="12"/>
        <color theme="1"/>
        <rFont val="Times New Roman"/>
        <family val="1"/>
      </rPr>
      <t>Phản hồi của Chủ đầu tư</t>
    </r>
  </si>
  <si>
    <r>
      <t xml:space="preserve">Status
</t>
    </r>
    <r>
      <rPr>
        <b/>
        <i/>
        <sz val="12"/>
        <color theme="1"/>
        <rFont val="Times New Roman"/>
        <family val="1"/>
      </rPr>
      <t>Trạng thái</t>
    </r>
  </si>
  <si>
    <t>RBE</t>
  </si>
  <si>
    <t>SUP</t>
  </si>
  <si>
    <r>
      <t xml:space="preserve">Superseded by other revision/
</t>
    </r>
    <r>
      <rPr>
        <i/>
        <sz val="12"/>
        <color theme="1"/>
        <rFont val="Times New Roman"/>
        <family val="1"/>
      </rPr>
      <t>Đã được thay thế bằng bản sửa đổi khác</t>
    </r>
  </si>
  <si>
    <r>
      <rPr>
        <b/>
        <sz val="11"/>
        <rFont val="Times New Roman"/>
        <family val="1"/>
      </rPr>
      <t>Response by Employer</t>
    </r>
    <r>
      <rPr>
        <sz val="11"/>
        <rFont val="Times New Roman"/>
        <family val="1"/>
      </rPr>
      <t xml:space="preserve">/ </t>
    </r>
    <r>
      <rPr>
        <i/>
        <sz val="11"/>
        <rFont val="Times New Roman"/>
        <family val="1"/>
      </rPr>
      <t>Phản hồi của CĐT</t>
    </r>
  </si>
  <si>
    <r>
      <t xml:space="preserve">Delay
</t>
    </r>
    <r>
      <rPr>
        <b/>
        <i/>
        <sz val="12"/>
        <color theme="1"/>
        <rFont val="Times New Roman"/>
        <family val="1"/>
      </rPr>
      <t>Chậm trễ</t>
    </r>
  </si>
  <si>
    <r>
      <t xml:space="preserve">Notes
</t>
    </r>
    <r>
      <rPr>
        <b/>
        <i/>
        <sz val="12"/>
        <color theme="1"/>
        <rFont val="Times New Roman"/>
        <family val="1"/>
      </rPr>
      <t>Ghi chú</t>
    </r>
  </si>
  <si>
    <r>
      <t xml:space="preserve">Withdraw or
Change (X)
See notes
</t>
    </r>
    <r>
      <rPr>
        <b/>
        <i/>
        <sz val="12"/>
        <color theme="1"/>
        <rFont val="Times New Roman"/>
        <family val="1"/>
      </rPr>
      <t>Thu hồi hoặc
Thay đổi (X)
Xem ghi chú</t>
    </r>
  </si>
  <si>
    <t>MFR</t>
  </si>
  <si>
    <t>SUB</t>
  </si>
  <si>
    <t>FDS</t>
  </si>
  <si>
    <t>DDS</t>
  </si>
  <si>
    <t>ICD</t>
  </si>
  <si>
    <t>ATP</t>
  </si>
  <si>
    <t>IPTP</t>
  </si>
  <si>
    <t>FAT</t>
  </si>
  <si>
    <t>FTP</t>
  </si>
  <si>
    <t>SCH</t>
  </si>
  <si>
    <r>
      <rPr>
        <b/>
        <sz val="12"/>
        <color theme="1"/>
        <rFont val="Times New Roman"/>
        <family val="1"/>
      </rPr>
      <t>LTIA_Register/</t>
    </r>
    <r>
      <rPr>
        <sz val="12"/>
        <color theme="1"/>
        <rFont val="Times New Roman"/>
        <family val="1"/>
      </rPr>
      <t xml:space="preserve"> </t>
    </r>
    <r>
      <rPr>
        <i/>
        <sz val="12"/>
        <color theme="1"/>
        <rFont val="Times New Roman"/>
        <family val="1"/>
      </rPr>
      <t>Danh mục hồ sơ trình duyệt</t>
    </r>
  </si>
  <si>
    <r>
      <rPr>
        <b/>
        <sz val="12"/>
        <color theme="1"/>
        <rFont val="Times New Roman"/>
        <family val="1"/>
      </rPr>
      <t>Vietur Official Data</t>
    </r>
    <r>
      <rPr>
        <sz val="12"/>
        <color theme="1"/>
        <rFont val="Times New Roman"/>
        <family val="1"/>
      </rPr>
      <t xml:space="preserve">/ </t>
    </r>
    <r>
      <rPr>
        <i/>
        <sz val="12"/>
        <color theme="1"/>
        <rFont val="Times New Roman"/>
        <family val="1"/>
      </rPr>
      <t>Dữ liệu chính thức Vietur</t>
    </r>
  </si>
  <si>
    <r>
      <rPr>
        <b/>
        <sz val="12"/>
        <color theme="1"/>
        <rFont val="Times New Roman"/>
        <family val="1"/>
      </rPr>
      <t>Document Management 5.10/</t>
    </r>
    <r>
      <rPr>
        <sz val="12"/>
        <color theme="1"/>
        <rFont val="Times New Roman"/>
        <family val="1"/>
      </rPr>
      <t xml:space="preserve"> </t>
    </r>
    <r>
      <rPr>
        <i/>
        <sz val="12"/>
        <color theme="1"/>
        <rFont val="Times New Roman"/>
        <family val="1"/>
      </rPr>
      <t>Quản lý hồ sơ 5.10</t>
    </r>
  </si>
  <si>
    <t>ITP</t>
  </si>
  <si>
    <r>
      <t xml:space="preserve">Keyword
</t>
    </r>
    <r>
      <rPr>
        <b/>
        <i/>
        <sz val="12"/>
        <color theme="1"/>
        <rFont val="Times New Roman"/>
        <family val="1"/>
      </rPr>
      <t>Từ khóa</t>
    </r>
  </si>
  <si>
    <r>
      <t xml:space="preserve">Abbreviations List (Internal Use Only)
</t>
    </r>
    <r>
      <rPr>
        <b/>
        <i/>
        <sz val="12"/>
        <rFont val="Times New Roman"/>
        <family val="1"/>
      </rPr>
      <t>Danh mục chữ viết tắt (Chỉ sử dụng nội bộ)</t>
    </r>
  </si>
  <si>
    <r>
      <rPr>
        <b/>
        <sz val="12"/>
        <rFont val="Times New Roman"/>
        <family val="1"/>
      </rPr>
      <t>Approval of Manufacturer</t>
    </r>
    <r>
      <rPr>
        <sz val="12"/>
        <rFont val="Times New Roman"/>
        <family val="1"/>
      </rPr>
      <t>/</t>
    </r>
    <r>
      <rPr>
        <i/>
        <sz val="12"/>
        <rFont val="Times New Roman"/>
        <family val="1"/>
      </rPr>
      <t xml:space="preserve"> Phê duyệt nhà sản xuất</t>
    </r>
  </si>
  <si>
    <r>
      <rPr>
        <b/>
        <sz val="12"/>
        <rFont val="Times New Roman"/>
        <family val="1"/>
      </rPr>
      <t>Approval of Subcontractor</t>
    </r>
    <r>
      <rPr>
        <sz val="12"/>
        <rFont val="Times New Roman"/>
        <family val="1"/>
      </rPr>
      <t xml:space="preserve">/ </t>
    </r>
    <r>
      <rPr>
        <i/>
        <sz val="12"/>
        <rFont val="Times New Roman"/>
        <family val="1"/>
      </rPr>
      <t>Phê duyệt nhà thầu phụ</t>
    </r>
  </si>
  <si>
    <r>
      <rPr>
        <b/>
        <sz val="12"/>
        <rFont val="Times New Roman"/>
        <family val="1"/>
      </rPr>
      <t>Functional Design Specification</t>
    </r>
    <r>
      <rPr>
        <sz val="12"/>
        <rFont val="Times New Roman"/>
        <family val="1"/>
      </rPr>
      <t xml:space="preserve">/ </t>
    </r>
    <r>
      <rPr>
        <i/>
        <sz val="12"/>
        <rFont val="Times New Roman"/>
        <family val="1"/>
      </rPr>
      <t>Thiết kế chức năng</t>
    </r>
  </si>
  <si>
    <r>
      <rPr>
        <b/>
        <sz val="12"/>
        <rFont val="Times New Roman"/>
        <family val="1"/>
      </rPr>
      <t>Detailed Design Specification</t>
    </r>
    <r>
      <rPr>
        <sz val="12"/>
        <rFont val="Times New Roman"/>
        <family val="1"/>
      </rPr>
      <t xml:space="preserve">/ </t>
    </r>
    <r>
      <rPr>
        <i/>
        <sz val="12"/>
        <rFont val="Times New Roman"/>
        <family val="1"/>
      </rPr>
      <t>Thiết kế chi tiết</t>
    </r>
  </si>
  <si>
    <r>
      <rPr>
        <b/>
        <sz val="12"/>
        <rFont val="Times New Roman"/>
        <family val="1"/>
      </rPr>
      <t>Interface Control Document</t>
    </r>
    <r>
      <rPr>
        <sz val="12"/>
        <rFont val="Times New Roman"/>
        <family val="1"/>
      </rPr>
      <t xml:space="preserve">/ </t>
    </r>
    <r>
      <rPr>
        <i/>
        <sz val="12"/>
        <rFont val="Times New Roman"/>
        <family val="1"/>
      </rPr>
      <t>Tài liệu kiểm soát giao diện</t>
    </r>
  </si>
  <si>
    <r>
      <rPr>
        <b/>
        <sz val="12"/>
        <rFont val="Times New Roman"/>
        <family val="1"/>
      </rPr>
      <t>Approval of Third Party</t>
    </r>
    <r>
      <rPr>
        <sz val="12"/>
        <rFont val="Times New Roman"/>
        <family val="1"/>
      </rPr>
      <t xml:space="preserve">/ </t>
    </r>
    <r>
      <rPr>
        <i/>
        <sz val="12"/>
        <rFont val="Times New Roman"/>
        <family val="1"/>
      </rPr>
      <t>Phê duyệt 3</t>
    </r>
    <r>
      <rPr>
        <i/>
        <vertAlign val="superscript"/>
        <sz val="12"/>
        <rFont val="Times New Roman"/>
        <family val="1"/>
      </rPr>
      <t>rd</t>
    </r>
    <r>
      <rPr>
        <i/>
        <sz val="12"/>
        <rFont val="Times New Roman"/>
        <family val="1"/>
      </rPr>
      <t>party</t>
    </r>
  </si>
  <si>
    <r>
      <rPr>
        <b/>
        <sz val="12"/>
        <rFont val="Times New Roman"/>
        <family val="1"/>
      </rPr>
      <t>Third Party Inspection Plan</t>
    </r>
    <r>
      <rPr>
        <sz val="12"/>
        <rFont val="Times New Roman"/>
        <family val="1"/>
      </rPr>
      <t xml:space="preserve">/ </t>
    </r>
    <r>
      <rPr>
        <i/>
        <sz val="12"/>
        <rFont val="Times New Roman"/>
        <family val="1"/>
      </rPr>
      <t>Kế hoạch kiểm tra 3</t>
    </r>
    <r>
      <rPr>
        <i/>
        <vertAlign val="superscript"/>
        <sz val="12"/>
        <rFont val="Times New Roman"/>
        <family val="1"/>
      </rPr>
      <t>rd</t>
    </r>
    <r>
      <rPr>
        <i/>
        <sz val="12"/>
        <rFont val="Times New Roman"/>
        <family val="1"/>
      </rPr>
      <t>party</t>
    </r>
  </si>
  <si>
    <r>
      <rPr>
        <b/>
        <sz val="12"/>
        <color theme="1"/>
        <rFont val="Times New Roman"/>
        <family val="1"/>
      </rPr>
      <t>Factory Acceptance Test</t>
    </r>
    <r>
      <rPr>
        <sz val="12"/>
        <color theme="1"/>
        <rFont val="Times New Roman"/>
        <family val="1"/>
      </rPr>
      <t xml:space="preserve">/ </t>
    </r>
    <r>
      <rPr>
        <i/>
        <sz val="12"/>
        <color theme="1"/>
        <rFont val="Times New Roman"/>
        <family val="1"/>
      </rPr>
      <t>Kế hoạch kiểm tra nhà máy</t>
    </r>
  </si>
  <si>
    <r>
      <rPr>
        <b/>
        <sz val="12"/>
        <rFont val="Times New Roman"/>
        <family val="1"/>
      </rPr>
      <t>Third Party FAT</t>
    </r>
    <r>
      <rPr>
        <sz val="12"/>
        <rFont val="Times New Roman"/>
        <family val="1"/>
      </rPr>
      <t xml:space="preserve">/ </t>
    </r>
    <r>
      <rPr>
        <i/>
        <sz val="12"/>
        <rFont val="Times New Roman"/>
        <family val="1"/>
      </rPr>
      <t>Kế hoạch kiểm tra nhà máy 3</t>
    </r>
    <r>
      <rPr>
        <i/>
        <vertAlign val="superscript"/>
        <sz val="12"/>
        <rFont val="Times New Roman"/>
        <family val="1"/>
      </rPr>
      <t>rd</t>
    </r>
    <r>
      <rPr>
        <i/>
        <sz val="12"/>
        <rFont val="Times New Roman"/>
        <family val="1"/>
      </rPr>
      <t>party</t>
    </r>
  </si>
  <si>
    <r>
      <rPr>
        <b/>
        <sz val="12"/>
        <rFont val="Times New Roman"/>
        <family val="1"/>
      </rPr>
      <t>Schematic</t>
    </r>
    <r>
      <rPr>
        <sz val="12"/>
        <rFont val="Times New Roman"/>
        <family val="1"/>
      </rPr>
      <t xml:space="preserve">/ </t>
    </r>
    <r>
      <rPr>
        <i/>
        <sz val="12"/>
        <rFont val="Times New Roman"/>
        <family val="1"/>
      </rPr>
      <t>Sơ đồ nguyên lý</t>
    </r>
  </si>
  <si>
    <r>
      <rPr>
        <b/>
        <sz val="12"/>
        <color theme="1"/>
        <rFont val="Times New Roman"/>
        <family val="1"/>
      </rPr>
      <t>Inspection &amp; Test Plan</t>
    </r>
    <r>
      <rPr>
        <sz val="12"/>
        <color theme="1"/>
        <rFont val="Times New Roman"/>
        <family val="1"/>
      </rPr>
      <t xml:space="preserve">/ </t>
    </r>
    <r>
      <rPr>
        <i/>
        <sz val="12"/>
        <color theme="1"/>
        <rFont val="Times New Roman"/>
        <family val="1"/>
      </rPr>
      <t>Kế hoạch Kiểm tra &amp; Thử nghiệm</t>
    </r>
  </si>
  <si>
    <t>Mr Hưởng + Kato</t>
  </si>
  <si>
    <t>ABE</t>
  </si>
  <si>
    <t>IBE</t>
  </si>
  <si>
    <r>
      <rPr>
        <b/>
        <sz val="12"/>
        <rFont val="Times New Roman"/>
        <family val="1"/>
      </rPr>
      <t>Approval By Employer</t>
    </r>
    <r>
      <rPr>
        <sz val="12"/>
        <rFont val="Times New Roman"/>
        <family val="1"/>
      </rPr>
      <t xml:space="preserve">/ </t>
    </r>
    <r>
      <rPr>
        <i/>
        <sz val="12"/>
        <color theme="1"/>
        <rFont val="Times New Roman"/>
        <family val="1"/>
      </rPr>
      <t>Phê duyệt bởi CĐT</t>
    </r>
  </si>
  <si>
    <r>
      <t xml:space="preserve">Vietur Resubmission Status
</t>
    </r>
    <r>
      <rPr>
        <b/>
        <i/>
        <sz val="12"/>
        <color theme="1"/>
        <rFont val="Times New Roman"/>
        <family val="1"/>
      </rPr>
      <t>Tình trạng đệ trình lại hồ sơ</t>
    </r>
  </si>
  <si>
    <r>
      <t xml:space="preserve">Response Date 
</t>
    </r>
    <r>
      <rPr>
        <b/>
        <i/>
        <sz val="12"/>
        <rFont val="Times New Roman"/>
        <family val="1"/>
      </rPr>
      <t>Ngày phản hồi
(by Email)</t>
    </r>
  </si>
  <si>
    <r>
      <t xml:space="preserve">Submit Date
(Hard copy)
</t>
    </r>
    <r>
      <rPr>
        <b/>
        <i/>
        <sz val="12"/>
        <rFont val="Times New Roman"/>
        <family val="1"/>
      </rPr>
      <t>Ngày phát hành
(bản cứng)</t>
    </r>
  </si>
  <si>
    <r>
      <t xml:space="preserve">Deadline to resubmit
</t>
    </r>
    <r>
      <rPr>
        <b/>
        <i/>
        <sz val="12"/>
        <rFont val="Times New Roman"/>
        <family val="1"/>
      </rPr>
      <t>Hạn chót 
đệ trình lại</t>
    </r>
  </si>
  <si>
    <r>
      <t xml:space="preserve">Actual resubmission Date
</t>
    </r>
    <r>
      <rPr>
        <b/>
        <i/>
        <sz val="12"/>
        <rFont val="Times New Roman"/>
        <family val="1"/>
      </rPr>
      <t>Ngày đệ trình 
thực tế</t>
    </r>
  </si>
  <si>
    <r>
      <t xml:space="preserve">Resubmission
Status Assessment
</t>
    </r>
    <r>
      <rPr>
        <b/>
        <i/>
        <sz val="12"/>
        <rFont val="Times New Roman"/>
        <family val="1"/>
      </rPr>
      <t>Đánh giá tình trạng đệ trình lại</t>
    </r>
  </si>
  <si>
    <r>
      <t xml:space="preserve">Delayed 
Days
</t>
    </r>
    <r>
      <rPr>
        <b/>
        <i/>
        <sz val="12"/>
        <rFont val="Times New Roman"/>
        <family val="1"/>
      </rPr>
      <t>Ngày chậm trễ</t>
    </r>
  </si>
  <si>
    <r>
      <t xml:space="preserve">Base Reference
</t>
    </r>
    <r>
      <rPr>
        <b/>
        <i/>
        <sz val="12"/>
        <color theme="1"/>
        <rFont val="Times New Roman"/>
        <family val="1"/>
      </rPr>
      <t>Tham chiếu cơ sở</t>
    </r>
  </si>
  <si>
    <r>
      <t xml:space="preserve">Latest Revision
</t>
    </r>
    <r>
      <rPr>
        <b/>
        <i/>
        <sz val="12"/>
        <color theme="1"/>
        <rFont val="Times New Roman"/>
        <family val="1"/>
      </rPr>
      <t>Phiên bản cuối</t>
    </r>
  </si>
  <si>
    <r>
      <t xml:space="preserve">Need Submisson
</t>
    </r>
    <r>
      <rPr>
        <b/>
        <i/>
        <sz val="12"/>
        <color theme="1"/>
        <rFont val="Times New Roman"/>
        <family val="1"/>
      </rPr>
      <t>Cần đệ trình lại</t>
    </r>
  </si>
  <si>
    <r>
      <t xml:space="preserve">RESUBMISSION REQUIRED - RFA / </t>
    </r>
    <r>
      <rPr>
        <b/>
        <i/>
        <sz val="14"/>
        <color theme="1"/>
        <rFont val="Times New Roman"/>
        <family val="1"/>
      </rPr>
      <t>HỒ SƠ CẦN ĐỆ TRÌNH LẠI - RFA</t>
    </r>
  </si>
  <si>
    <t>STT</t>
  </si>
  <si>
    <t>RESUBMISSION REQUIRED - RFA-SDS / HỒ SƠ CẦN ĐỆ TRÌNH LẠI - RFA-SDS</t>
  </si>
  <si>
    <t>`</t>
  </si>
  <si>
    <t>Maximum Days elapsed up to today</t>
    <phoneticPr fontId="73"/>
  </si>
  <si>
    <t>Average Days elapsed up to today</t>
    <phoneticPr fontId="73"/>
  </si>
  <si>
    <t>RFA Issue condition</t>
    <phoneticPr fontId="71"/>
  </si>
  <si>
    <t>RFA(SDS) Issue condition</t>
    <phoneticPr fontId="71"/>
  </si>
  <si>
    <r>
      <t xml:space="preserve">In the RFA process, the </t>
    </r>
    <r>
      <rPr>
        <sz val="11"/>
        <color rgb="FFFF0000"/>
        <rFont val="游ゴシック"/>
        <family val="3"/>
        <charset val="128"/>
      </rPr>
      <t xml:space="preserve">average number of days </t>
    </r>
    <r>
      <rPr>
        <sz val="11"/>
        <color theme="1"/>
        <rFont val="游ゴシック"/>
        <family val="3"/>
        <charset val="128"/>
      </rPr>
      <t>elapsed since responding to an unapproved RFA was</t>
    </r>
    <r>
      <rPr>
        <sz val="11"/>
        <color rgb="FFFF0000"/>
        <rFont val="游ゴシック"/>
        <family val="3"/>
        <charset val="128"/>
      </rPr>
      <t xml:space="preserve"> 297 days, </t>
    </r>
    <r>
      <rPr>
        <sz val="11"/>
        <color theme="1"/>
        <rFont val="游ゴシック"/>
        <family val="3"/>
        <charset val="128"/>
      </rPr>
      <t xml:space="preserve">with a </t>
    </r>
    <r>
      <rPr>
        <sz val="11"/>
        <color rgb="FFFF0000"/>
        <rFont val="游ゴシック"/>
        <family val="3"/>
        <charset val="128"/>
      </rPr>
      <t>maximum of 729 days,</t>
    </r>
    <r>
      <rPr>
        <sz val="11"/>
        <color theme="1"/>
        <rFont val="Calibri"/>
        <family val="2"/>
        <scheme val="minor"/>
      </rPr>
      <t xml:space="preserve"> indicating that delays in the RFA approval process are contributing to delays in construction work.
Furthermore, the RFA (SDS) is as follows:
</t>
    </r>
    <r>
      <rPr>
        <sz val="11"/>
        <color rgb="FFFF0000"/>
        <rFont val="游ゴシック"/>
        <family val="3"/>
        <charset val="128"/>
      </rPr>
      <t>Avarage : 286 days
Maimum : 735 days</t>
    </r>
    <phoneticPr fontId="71"/>
  </si>
  <si>
    <t>FAS</t>
  </si>
  <si>
    <t>LTIA-5.10-VIETUR-70000-RFA-MAS-0088</t>
  </si>
  <si>
    <t>Request for approval material cable fire resistant shield for fire alarm system (Belden)</t>
  </si>
  <si>
    <t>Đề nghị phê duyệt vật liệu cáp chống cháy cho hệ thống báo cháy (Belden)</t>
  </si>
  <si>
    <r>
      <t xml:space="preserve">SECTION ICT / </t>
    </r>
    <r>
      <rPr>
        <b/>
        <i/>
        <sz val="14"/>
        <color theme="1"/>
        <rFont val="Times New Roman"/>
        <family val="1"/>
      </rPr>
      <t>HẠNG MỤC ICT</t>
    </r>
  </si>
  <si>
    <t>Mr Phong + Shimada</t>
  </si>
  <si>
    <t>LTIA-5.10-VIETUR-70000-RFA-MAS-0093</t>
  </si>
  <si>
    <t>Request for approval of conduit and accessories for fire alarm system (Cat Van Loi)</t>
  </si>
  <si>
    <t>Đề nghị phê duyệt vật liệu ống thép luồn dây và phụ kiện cho hệ thống báo cháy (Cát Vạn Lợi)</t>
  </si>
  <si>
    <t>Mr Hưởng + Phong</t>
  </si>
  <si>
    <t>LTIA-5.10-VIETUR-70000-RFA-MAS-0116</t>
  </si>
  <si>
    <t>Request for approval of Material for Cable Tray &amp; Accessories - Hai Nam</t>
  </si>
  <si>
    <t>Đề nghị phê duyệt vật tư cho Máng cáp &amp; Phụ Kiện - Hải Nam</t>
  </si>
  <si>
    <t>SCS</t>
  </si>
  <si>
    <t>Mr Phong + Tiệp</t>
  </si>
  <si>
    <t>Mr Hưởng + Tiệp</t>
  </si>
  <si>
    <t>LTIA-5.10-VIETUR-70000-RFA-MAS-0158</t>
  </si>
  <si>
    <t>Request for approval of ICT cable - ELV System</t>
  </si>
  <si>
    <t>Đề nghị phê duyệt vật tư cáp điện nhẹ - Hệ thống điện nhẹ</t>
  </si>
  <si>
    <t>LTIA-5.10-VIETUR-70000-RFI-0114</t>
  </si>
  <si>
    <t>MCS</t>
  </si>
  <si>
    <t>Clarify the discrepancies between in technical instructions for master clock system</t>
  </si>
  <si>
    <t>Cần làm rõ sự khác nhau trong chỉ dẫn kỹ thuật cho hệ thống đồng hồ chủ</t>
  </si>
  <si>
    <t>LTIA-5.10-VIETUR-72000-RFI-0132</t>
  </si>
  <si>
    <t>Clarify information type of horn, strobe for fire alarm system</t>
  </si>
  <si>
    <t>Làm rõ thông tin chủng loại còi, đèn cho hệ thống báo cháy</t>
  </si>
  <si>
    <t>LTIA-5.10-VIETUR-72160-RFA-MSS-0082</t>
  </si>
  <si>
    <t>Request for approval for method statement of fire alarm system installation</t>
  </si>
  <si>
    <t>Đề nghị phê duyệt thuyết minh biện pháp thi công hệ thống báo cháy</t>
  </si>
  <si>
    <t>Mr Phụng + Phong</t>
  </si>
  <si>
    <t>LTIA-5.10-VIETUR-70000-RFA-MAS-0208</t>
  </si>
  <si>
    <t>Request for approval of fire alarm equipment for fire alarm system</t>
  </si>
  <si>
    <t>Đề nghị phê duyệt thiết bị báo cháy cho hệ thống báo cháy</t>
  </si>
  <si>
    <t>LTIA-5.10-VIETUR-70000-RFA-MAS-0219</t>
  </si>
  <si>
    <t>Request for approval of list material and equipment for master clock system</t>
  </si>
  <si>
    <t>Đề nghị phê duyệt danh mục vật tư và thiết bị cho hệ thống đồng hồ chủ</t>
  </si>
  <si>
    <t>LTIA-5.10-VIETUR-70000-RFA-MAS-0088A</t>
  </si>
  <si>
    <t>LTIA-5.10-VIETUR-70000-RFA-MAS-0248</t>
  </si>
  <si>
    <t>Request for approval material for accessories of GI conduit (EMT) for fire alarm system (Cat Van Loi)</t>
  </si>
  <si>
    <t>Đề nghị phê duyệt vật tư về phụ kiện của ống thép GI luồn dây (EMT) cho hệ thống báo cháy (Cat Van Loi)</t>
  </si>
  <si>
    <t>Mr Hưởng + Shimada</t>
  </si>
  <si>
    <t>LTIA-5.10-VIETUR-70000-RFA-MAS-0258</t>
  </si>
  <si>
    <t>Request for approval Material of structured cabling system (SCS)</t>
  </si>
  <si>
    <t>Đề nghị phê duyệt vật tư hệ thống cấu trúc mạng</t>
  </si>
  <si>
    <t>LTIA-5.10-VIETUR-70000-RFA-MAS-0265</t>
  </si>
  <si>
    <t>Request for approval of conduit and accessories for fire fighting alarm system Hung Phat brand</t>
  </si>
  <si>
    <t>Đề nghị phê duyệt vật tư ống thép luồn dây và phụ kiện cho hệ thống báo cháy nhãn hiệu Hưng Phát</t>
  </si>
  <si>
    <t>LTIA-5.10-VIETUR-70000-RFA-MAS-0219A</t>
  </si>
  <si>
    <t>LTIA-5.10-VIETUR-70000-RFA-MAS-0277</t>
  </si>
  <si>
    <t>IMM</t>
  </si>
  <si>
    <t>Request  for approval of equipment and accessories for Immigration system (IMM)</t>
  </si>
  <si>
    <t>Đề nghị phê duyệt thiết bị và phụ kiện cho hệ thống Công an cửa khẩu (IMM)</t>
  </si>
  <si>
    <t>LTIA-5.10-VIETUR-70000-RFI-0241</t>
  </si>
  <si>
    <t>HBMS</t>
  </si>
  <si>
    <t>Provides information regarding systems outside of the 5.10 package connected to the HBMS</t>
  </si>
  <si>
    <t>Cung cấp thông tin liên quan hệ thống nằm ngoài gói 5.10 kết nối với hệ thống HBMS</t>
  </si>
  <si>
    <t>LTIA-5.10-VIETUR-70000-RFA-MAS-0271</t>
  </si>
  <si>
    <t>Request  for approval of ICT cable of Item PMR, PAS &amp; IMM - ELV system</t>
  </si>
  <si>
    <t>Đề nghị phê duyệt vật tư cáp điện nhẹ của hạng mục PMR, PAS và IMM - Hệ thống điện nhẹ</t>
  </si>
  <si>
    <t>Mr Phong + Kuroda</t>
  </si>
  <si>
    <t>Mr Phong + Shimada + Kuroda</t>
  </si>
  <si>
    <t>LTIA-5.10-VIETUR-70000-RFA-MAS-0305</t>
  </si>
  <si>
    <t>Request for approval Materials of Access Control System (ACS)</t>
  </si>
  <si>
    <t>Đề nghị phê duyệt vật tư hệ thống kiểm soát cửa ra vào</t>
  </si>
  <si>
    <t>ACS</t>
  </si>
  <si>
    <t>LTIA-5.10-VIETUR-70000-RFA-MAS-0307</t>
  </si>
  <si>
    <t>PAS</t>
  </si>
  <si>
    <t>Request for approval of equipment and all mounting accessories for Public address system (PAS)</t>
  </si>
  <si>
    <t>Yêu cầu phê duyệt thiết bị và tất cả các phụ kiện lắp đặt cho hệ thống âm thanh công cộng (PAS)</t>
  </si>
  <si>
    <t>LTIA-5.10-VIETUR-72160-RFI-0277</t>
  </si>
  <si>
    <t>Clarify information about the types of heat detectors in the Fire Alarm system</t>
  </si>
  <si>
    <t>Làm rõ thông tin về chủng loại đầu báo nhiệt của hệ thống báo cháy</t>
  </si>
  <si>
    <t>LTIA-5.10-VIETUR-80000-RFI-0246</t>
  </si>
  <si>
    <t>Clarifying Equipment specifications of ICT equipment Not included in package 5.10</t>
  </si>
  <si>
    <t>Làm rõ Thông số của thiết bị ICT không nằm trong phạm vi gói thầu 5.10</t>
  </si>
  <si>
    <t>LTIA-5.10-VIETUR-80000-RFI-0273</t>
  </si>
  <si>
    <t>Clarify the information about power supply for the electrical system and ICT, LBMS.</t>
  </si>
  <si>
    <t>Làm rõ thông tin về cấp nguồn cho hệ thống điện và ICT, LBMS</t>
  </si>
  <si>
    <t>LTIA-5.10-VIETUR-72160-RFA-MSS-0082A</t>
  </si>
  <si>
    <t>LTIA-5.10-VIETUR-70000-RFA-MAS-0318</t>
  </si>
  <si>
    <t>Request for approval material cable fire resistant shield for fire alarm system (Norden)</t>
  </si>
  <si>
    <t>Đề nghị phê duyệt vật liệu cáp chống cháy cho hệ thống báo cháy (Norden)</t>
  </si>
  <si>
    <t>LTIA-5.10-VIETUR-70000-RFA-MAS-0320</t>
  </si>
  <si>
    <t>Request for approval for accessories of GI conduit and equipment mounting (Cat Van Loi) for fire alarm system</t>
  </si>
  <si>
    <t>Đề nghị phê duyệt vật tư về phụ kiện ống thép GI luồn dây và giá treo thiết bị (Cát Vạn Lợi) cho hệ thống báo cháy</t>
  </si>
  <si>
    <t>LTIA-5.10-VIETUR-70000-RFI-0288</t>
  </si>
  <si>
    <t>Providing information about the scope of work of HBMS system</t>
  </si>
  <si>
    <t>Thông tin làm rõ về phạm vi công việc của gói HBMS</t>
  </si>
  <si>
    <t>Mr Phong + Kato</t>
  </si>
  <si>
    <t>Mr Cường + Shimada</t>
  </si>
  <si>
    <t>LTIA-5.10-VIETUR-70000-RFI-0312</t>
  </si>
  <si>
    <t>Clarifying of construction design PMR cable</t>
  </si>
  <si>
    <t>Làm rõ bản vẽ thiết kế thi công cáp phát sóng PMR</t>
  </si>
  <si>
    <t>PMR
SCS</t>
  </si>
  <si>
    <t>LTIA-5.10-VIETUR-80000-RFI-0335</t>
  </si>
  <si>
    <t>SCN Systems - Clarification the FA interface diagram</t>
  </si>
  <si>
    <t>Làm rõ sơ đồ giao tiếp tín hiệu của hệ thống Báo Cháy</t>
  </si>
  <si>
    <t>LTIA-5.10-VIETUR-70000-RFA-MAS-0208A</t>
  </si>
  <si>
    <t>LTIA-5.10-VIETUR-70000-RFA-MSS-0123</t>
  </si>
  <si>
    <t>Request for approval of installation methods master clock system</t>
  </si>
  <si>
    <t>Đề nghị phê duyệt biện pháp thi công lắp đặt hệ thống đồng hồ chủ</t>
  </si>
  <si>
    <t>LTIA-5.10-VIETUR-70000-RFA-MAS-0158A</t>
  </si>
  <si>
    <t>Request for approval of ICT cable - ELV system</t>
  </si>
  <si>
    <t>LTIA-5.10-VIETUR-70000-RFA-MAS-0307A</t>
  </si>
  <si>
    <t>LTIA-5.10-VIETUR-70000-RFA-MAS-0258A</t>
  </si>
  <si>
    <t>LTIA-5.10-VIETUR-70000-RFA-MAS-0305A</t>
  </si>
  <si>
    <t>LTIA-5.10-VIETUR-70000-RFI-0360</t>
  </si>
  <si>
    <t>Clarify the installation plan for conduits and signal cables in the ICT-ELV system - 70000.</t>
  </si>
  <si>
    <t>Làm rõ phương án lắp đặt ống luồn dây và cáp tín hiệu hệ thống ICT-ELV 70000</t>
  </si>
  <si>
    <t>Mr Cường + Kuroda</t>
  </si>
  <si>
    <t>LTIA-5.10-VIETUR-70000-RFI-0394</t>
  </si>
  <si>
    <t>Clarification information of ICT system relating to IBE No: LTIA-5.10-PMU-IBE-ICT-0005</t>
  </si>
  <si>
    <t>Làm rõ một số thông tin hệ thống ICT liên quan đến chỉ thị số LTIA-5.10-PMU-IBE-ICT-0005</t>
  </si>
  <si>
    <t>LTIA-5.10-VIETUR-80000-RFI-0418</t>
  </si>
  <si>
    <t>Clarification for the information of Access Control System (ACS)</t>
  </si>
  <si>
    <t>Làm rõ thông tin Hệ thống kiểm soát cửa truy cập (ACS)</t>
  </si>
  <si>
    <t>LTIA-5.10-VIETUR-80000-RFI-0420</t>
  </si>
  <si>
    <t>Clarify the information regarding "Hardware set connected to "ACS Interface box"</t>
  </si>
  <si>
    <t>Làm rõ thông tin phụ kiện cửa kết nối tới hộp giao tiếp ACS</t>
  </si>
  <si>
    <t>LTIA-5.10-VIETUR-70000-RFI-0437</t>
  </si>
  <si>
    <t>Update the product code of material cable fire resistant shield (Norden) for fire alarm systems</t>
  </si>
  <si>
    <t>Cập nhật mã sản phẩm vật liệu cáp chống cháy (Norden) cho hệ thống báo cháy</t>
  </si>
  <si>
    <t>LTIA-5.10-VIETUR-70000-RFA-MSS-0123A</t>
  </si>
  <si>
    <t>LTIA-5.10-VIETUR-70000-RFA-MAS-0158B</t>
  </si>
  <si>
    <t>Mr Hiếu + Kuroda</t>
  </si>
  <si>
    <t>LTIA-5.10-VIETUR-70000-RFA-MAS-0409</t>
  </si>
  <si>
    <t>Request for approval of additional ICT cable of Item PMR - ELV system</t>
  </si>
  <si>
    <t>Đề nghị phê duyệt bổ sung vật tư cáp điện nhẹ của hạng mục PMR - Hệ thống điện nhẹ</t>
  </si>
  <si>
    <t>SCS
PMR</t>
  </si>
  <si>
    <t>LTIA-5.10-VIETUR-70000-RFA-MAS-0305B</t>
  </si>
  <si>
    <t>LTIA-5.10-VIETUR-70000-RFA-OTH-0328</t>
  </si>
  <si>
    <t>Report for site inspection on the installation for junction box and data outlet connection</t>
  </si>
  <si>
    <t>Báo cáo kiểm tra thực tế phương án lắp đặt hộp đấu nối và kết nối ổ cắm dữ liệu</t>
  </si>
  <si>
    <t>LTIA-5.10-VIETUR-70000-RFA-MAS-0318A</t>
  </si>
  <si>
    <t>LTIA-5.10-VIETUR-70000-RFI-0456</t>
  </si>
  <si>
    <t>Clarify the information regarding "End device" of structured cabling system (SCS)</t>
  </si>
  <si>
    <t>Làm rõ thông tin về "Thiết bị đầu cuối" của hệ thống cấu trúc mạng</t>
  </si>
  <si>
    <t>LTIA-5.10-VIETUR-70000-RFI-0457</t>
  </si>
  <si>
    <t>Clarify the information regarding CAT6A Patch-Cables</t>
  </si>
  <si>
    <t>Làm rõ thông tin về dây nhảy CAT6A</t>
  </si>
  <si>
    <t>LTIA-5.10-VIETUR-80000-RFI-0455</t>
  </si>
  <si>
    <t>Clarify the information regarding Media Converter (MC)</t>
  </si>
  <si>
    <t>Làm rõ thông tin về bộ chuyển đổi quang điện</t>
  </si>
  <si>
    <t>LTIA-5.10-VIETUR-80000-RFI-0459</t>
  </si>
  <si>
    <t>Clarifying the design for the Data center system - Number 01</t>
  </si>
  <si>
    <t>Làm rõ thiết kế cho hệ thống Data center - Số 01</t>
  </si>
  <si>
    <t>LTIA-5.10-VIETUR-80000-RFI-0460</t>
  </si>
  <si>
    <t>Clarifying the design for the Data center system - Number 02</t>
  </si>
  <si>
    <t>Làm rõ thiết kế cho hệ thống Data center - Số 02</t>
  </si>
  <si>
    <t>LTIA-5.10-VIETUR-70000-RFI-0471</t>
  </si>
  <si>
    <t>Clarify the information issues outside the scope of contract "96-core optical fiber, tight buffet"</t>
  </si>
  <si>
    <t>Làm rõ thông tin phát sinh ngoài hợp đồng hạng mục "Cáp quang 96 lõi loại ống bện chặt"</t>
  </si>
  <si>
    <t>LTIA-5.10-VIETUR-72000-RFI-0468</t>
  </si>
  <si>
    <t>Clarify information about equipment mounting of fire alarm system</t>
  </si>
  <si>
    <t>Làm rõ thông tin về giá treo thiết bị của hệ thống báo cháy</t>
  </si>
  <si>
    <t>LTIA-5.10-VIETUR-70000-RFI-0478</t>
  </si>
  <si>
    <t>Providing information about scope of work of HBMS system - 3rd Edition</t>
  </si>
  <si>
    <t>Thông tin làm rõ về phạm vi công việc của gói HBMS - Lần thứ 3</t>
  </si>
  <si>
    <t>LTIA-5.10-VIETUR-80000-RFI-0470</t>
  </si>
  <si>
    <t>FIDS screen at check-in island</t>
  </si>
  <si>
    <t>Màn hình FIDS tại đảo làm thủ tục</t>
  </si>
  <si>
    <t>FIDS</t>
  </si>
  <si>
    <t>01/14/2025 Withdraw</t>
  </si>
  <si>
    <t>LTIA-5.10-VIETUR-80000-RFI-0469</t>
  </si>
  <si>
    <t xml:space="preserve">FAS Systems - Clarify step 2 information of Fire Alarm System </t>
  </si>
  <si>
    <t>Hệ thống Báo cháy – Làm rõ thông tin thiết kế bước 2 của hệ thống báo cháy</t>
  </si>
  <si>
    <t>LTIA-5.10-VIETUR-70000-RFI-0491</t>
  </si>
  <si>
    <t>Proposal to adjust the model and brand of PVC pipes used for public address project (PAS)</t>
  </si>
  <si>
    <t>Đề xuất điều chỉnh mã hiệu, nhãn hiệu của ống PVC sử dụng cho các hạng mục phát thanh công cộng PAS</t>
  </si>
  <si>
    <t>LTIA-5.10-VIETUR-70000-RFA-MAS-0158C</t>
  </si>
  <si>
    <t>Mr Shimada + Kuroda</t>
  </si>
  <si>
    <t>LTIA-5.10-VIETUR-70000-RFA-MSS-0153</t>
  </si>
  <si>
    <t>Request for approval of method statement installation of the public address system, immigration system, professional mobile radio</t>
  </si>
  <si>
    <t>Đề nghị phê duyệt thuyết minh biện pháp thi công lắp đặt hệ thống phát thanh công cộng, công an cửa khẩu, bộ đàm</t>
  </si>
  <si>
    <t>PAS
IMM
PMR</t>
  </si>
  <si>
    <t>LTIA-5.10-VIETUR-70000-RFA-MAS-0468</t>
  </si>
  <si>
    <t>Request for approval additional of fire alarm equipment for fire alarm system</t>
  </si>
  <si>
    <t>Đề nghị phê duyệt bổ sung thiết bị báo cháy cho hệ thống báo cháy</t>
  </si>
  <si>
    <t>12/31/2024 Withdraw</t>
  </si>
  <si>
    <t>LTIA-5.10-VIETUR-70000-RFI-0471A</t>
  </si>
  <si>
    <t>LTIA-5.10-VIETUR-70000-RFA-MAS-0258B</t>
  </si>
  <si>
    <t>LTIA-5.10-VIETUR-70000-RFA-MAS-0519</t>
  </si>
  <si>
    <t>Request for approval additional material cable fire resistant shield for fire alarm system (Norden)</t>
  </si>
  <si>
    <t>Đề nghị phê duyệt bổ sung vật liệu cáp chống cháy cho hệ thống báo cháy (Norden)</t>
  </si>
  <si>
    <t>LTIA-5.10-VIETUR-70000-RFI-0563</t>
  </si>
  <si>
    <t>Antenna installation plan of MCS system</t>
  </si>
  <si>
    <t>Phương án lắp đặt Antenna của hệ MCS</t>
  </si>
  <si>
    <t>05/28/2025 Withdraw</t>
  </si>
  <si>
    <t>LTIA-5.10-VIETUR-70000-RFI-0579</t>
  </si>
  <si>
    <t>Proposal to change the brand and model of FADS workstation equipment for fire alarm system</t>
  </si>
  <si>
    <t>Đề xuất thay đổi nhãn hiệu, mã hiệu thiết bị máy trạm FADS cho hệ thống báo cháy</t>
  </si>
  <si>
    <t>LTIA-5.10-VIETUR-70000-RFA-MAS-0535</t>
  </si>
  <si>
    <t>Request for approval of additional Materials for the Access Control System (ACS)</t>
  </si>
  <si>
    <t>Đề nghị phê duyệt bổ sung vật tư hệ thống kiểm soát cửa ra vào (ACS)</t>
  </si>
  <si>
    <t>LTIA-5.10-VIETUR-70000-RFA-OTH-0432</t>
  </si>
  <si>
    <t>Request for approval media converters for SCS system and SCADA system</t>
  </si>
  <si>
    <t>Đề nghị phê duyệt thiết bị chuyển đổi quang điện cho hệ SCS và hệ SCADA</t>
  </si>
  <si>
    <t>SCS
SCADA</t>
  </si>
  <si>
    <t>LTIA-5.10-VIETUR-70000-RFA-MAS-0556</t>
  </si>
  <si>
    <t>Request for approval of HBMS Management software in DC2 (install in visual server) High BMS Management Software for central management and 3rd party system interation</t>
  </si>
  <si>
    <t>Đề nghị phê duyệt phần mềm quản lý HBMS tại DC2 (cài đặt trên máy chủ ảo) Phần mềm tích hợp quản lý tòa nhà bậc cao cho trung tâm quản lý và tích hợp các hệ thống phụ bao gồm các tính năng</t>
  </si>
  <si>
    <t>LTIA-5.10-VIETUR-70000-RFA-MAS-0277A</t>
  </si>
  <si>
    <t>LTIA-5.10-VIETUR-70000-RFA-OTH-0440</t>
  </si>
  <si>
    <t>Request for approval of the shop drawings of the Interface Box of the ACS</t>
  </si>
  <si>
    <t>Yêu cầu phê duyệt bản vẽ chế tạo hộp giao tiếp hệ ACS.</t>
  </si>
  <si>
    <t>LTIA-5.10-VIETUR-70000-RFI-0594</t>
  </si>
  <si>
    <t>Propose the option for using the workstation of the SACS system under Package 5.10</t>
  </si>
  <si>
    <t>Đề xuất phương án sử dụng máy tính trạm hệ thống SACS thuộc Gói thầu 5.10</t>
  </si>
  <si>
    <t>LTIA-5.10-VIETUR-70000-RFI-0600</t>
  </si>
  <si>
    <t>Clarify Rack-layout design for FDR</t>
  </si>
  <si>
    <t>Làm rõ thông tin thiết kế bố trí thiết bị trong tủ Rack của FDR</t>
  </si>
  <si>
    <t>DNE</t>
  </si>
  <si>
    <t>LTIA-5.10-VIETUR-70000-RFI-0598</t>
  </si>
  <si>
    <t>Clarify the information: Updating the design drawing of the master clock system</t>
  </si>
  <si>
    <t>Làm rõ thông tin: cập nhật mặt bằng thiết kế đồng hồ chủ</t>
  </si>
  <si>
    <t>LTIA-5.10-VIETUR-70000-RFI-0605</t>
  </si>
  <si>
    <t>The technical solution for the Public Address System PAS that comply requirements of the project. At the same time, clarify the Instruction by Employer No. LTIA-5.10-PMU-IBE-ICT-0003 (attached in Appendix 04)</t>
  </si>
  <si>
    <t>Phương án kỹ thuật cho Hệ thống Phát thanh công cộng PAS đáp ứng yêu cầu kỹ thuật của dự án. Đồng thời làm rõ thông tin chỉ dẫn của chủ đầu tư số LTIA-5.10-PMU-IBE-ICT-0003 (đính kèm phụ lục 04).</t>
  </si>
  <si>
    <t>LTIA-5.10-VIETUR-80000-RFI-0624</t>
  </si>
  <si>
    <t>Clarify of the Cable Network Structure System (SCN): Schematic diagram of the Immigration System and the Customs System.</t>
  </si>
  <si>
    <t>Làm rõ thông tin Bản vẻ Thiết kế thi công Hệ thống Cấu trúc mạng cáp (SCN): Sơ đồ nguyên lý hệ thống Công an cửa khẩu và hệ thống Hải quan</t>
  </si>
  <si>
    <t>LTIA-5.10-VIETUR-80000-RFI-0625</t>
  </si>
  <si>
    <t>FAS Systems - Clarify step 3  information of Fire Alarm System No.3</t>
  </si>
  <si>
    <t>Hệ thống Báo cháy – Làm rõ thông tin thiết kế bước 3 của hệ thống báo cháy Số 3</t>
  </si>
  <si>
    <t>LTIA-5.10-VIETUR-70000-RFA-MAS-0584</t>
  </si>
  <si>
    <t>Request for approval Additional Materials of Structured Cabling System - Floor-mounted data outlets.</t>
  </si>
  <si>
    <t>Đề nghị phê duyệt Vật tư bổ sung Hệ thống cáp cấu trúc mạng - Ổ cắm mạng âm sàn</t>
  </si>
  <si>
    <t>LTIA-5.10-VIETUR-70000-RFI-0634</t>
  </si>
  <si>
    <t>Clarify the location to install GPS Antenna of MCS system</t>
  </si>
  <si>
    <t>Làm rõ vị trí lắp đặt Anten GPS của hệ thống MCS</t>
  </si>
  <si>
    <t>LTIA-5.10-VIETUR-70000-RFI-0643</t>
  </si>
  <si>
    <t>Clarify the information regarding Rack cabinet in the entrance facility room (EF Room)</t>
  </si>
  <si>
    <t>Làm rõ thông tin về tủ Rack trong phòng tập điểm kết nối (Phòng EF)</t>
  </si>
  <si>
    <t>LTIA-5.10-VIETUR-70000-RFI-0635</t>
  </si>
  <si>
    <t>The Contractor sends this Request for information to clarify the content of the Instruction by Employer No. LTIA-5.10-PMU-IBE-ICT-0003 (attached in Appendix 04).</t>
  </si>
  <si>
    <t>Nhà thầu gửi RFI này để làm rõ nội dung chỉ dẫn của chủ đầu tư số: LTIA-5.10-PMU-IBE-ICT-0003 (đính kèm phụ lục 04).</t>
  </si>
  <si>
    <t>LTIA-5.10-VIETUR-70000-RFI-0663</t>
  </si>
  <si>
    <t>Clarify installation of conduit and cable of ICT system - ELV 70000</t>
  </si>
  <si>
    <t>LTIA-5.10-VIETUR-70000-RFI-0665</t>
  </si>
  <si>
    <t xml:space="preserve">Contractor's response to the Author's Supervision Consultant's notes and the construction supervision consultant regarding the proposed replacement of 150W/300W/500W 4-channel amplifiers (PRA-AD604) with 600W 8-channel amplifiers (PRA-AD608); and the signal cable for the ambient noise sensor </t>
  </si>
  <si>
    <t>Phản hồi của nhà thầu đối với lưu ý của đơn vị Tư vấn giám sát tác giả cùng tư vấn giám sát thi công về việc đề xuất thay thế các amplifier 150W/300W/500W-loại 4 kênh (PRA-AD604) sang amplifier 600W-loại 8 kênh (PRA-AD608); và cáp tín hiệu cho micro cảm biến nhiễu môi trường (Ambient Noise Sensor).</t>
  </si>
  <si>
    <t>PMR</t>
  </si>
  <si>
    <t>LTIA-5.10-VIETUR-70000-RFI-0677</t>
  </si>
  <si>
    <t>The contractor proposes to add trays for installing the PRA-EOL devices and batteries in the rack cabinets of the public address system.</t>
  </si>
  <si>
    <t>Nhà thầu đề xuất bổ sung khay để lắp đặt thiết bị PRA-EOL và Ắc quy trong tủ rack của hệ thống âm thanh công cộng</t>
  </si>
  <si>
    <t>DNE
PAS</t>
  </si>
  <si>
    <t>LTIA-5.10-VIETUR-80000-RFI-0632</t>
  </si>
  <si>
    <t>Clarification for the information of Access Control System (ACS) : Duress Button</t>
  </si>
  <si>
    <t>Làm rõ thông tin Hệ thống kiểm soát cửa truy cập (ACS) : Nút nhấn khẩn cấp</t>
  </si>
  <si>
    <t>LTIA-5.10-VIETUR-80000-RFI-0645</t>
  </si>
  <si>
    <t>Clarification for the information on Access Control System (ACS)</t>
  </si>
  <si>
    <t>LTIA-5.10-VIETUR-70000-RFI-0684</t>
  </si>
  <si>
    <t>Technical Clarification – Separation of Loudspeaker Physical Loops in the PAS System.</t>
  </si>
  <si>
    <t>Làm rõ giải pháp kỹ thuật - Tách vùng loa vật lý trong hệ thống Âm thanh công cộng (PAS).</t>
  </si>
  <si>
    <t>LTIA-5.10-VIETUR-70000-RFI-0674</t>
  </si>
  <si>
    <t>Proposal to Change the Brand and Model of the SRL Fire Alarm Indicator Lamp for the Fire Alarm System</t>
  </si>
  <si>
    <t>Đề xuất thay đổi nhãn hiệu và mã hiệu thiết bị đèn báo cháy SRL cho hệ thống báo cháy</t>
  </si>
  <si>
    <t>08/06/2025 Withdraw</t>
  </si>
  <si>
    <t>LTIA-5.10-VIETUR-70000-RFI-0690</t>
  </si>
  <si>
    <t>Installation MCS's equipment in Data center DC2</t>
  </si>
  <si>
    <t>Lắp đặt thiết bị hệ thống MCS tại Data center DC2</t>
  </si>
  <si>
    <t>LTIA-5.10-VIETUR-70000-RFA-MAS-0556A</t>
  </si>
  <si>
    <t>LTIA-5.10-VIETUR-70000-RFA-OTH-0523</t>
  </si>
  <si>
    <t>Request for approval of Fire Alarm Control Panel Fabrication Drawing For Fire Alarm System + Section 70000 - Extra low voltage system/72160 - Fire Alarm system.</t>
  </si>
  <si>
    <t>Đề nghị phê duyệt Bản Vẽ Chế Tạo Tủ Báo Cháy Cho Hệ Thống Báo Cháy + Phần 70000 - Hệ thống điện nhẹ ELV / 72160 - Hệ thống báo cháy.</t>
  </si>
  <si>
    <t>LTIA-5.10-VIETUR-70000-RFA-MSS-0203</t>
  </si>
  <si>
    <t>Request for approval of standard numbering system for cable and equipment identification tags</t>
  </si>
  <si>
    <t>Đệ trình quy định đánh số tên nhãn cáp và thiết bị</t>
  </si>
  <si>
    <t>08/28/2025 Withdraw</t>
  </si>
  <si>
    <t>LTIA-5.10-VIETUR-70000-RFI-0711</t>
  </si>
  <si>
    <t>Clarify the connection cable from CM, I/O, I-M modules (FAS system) to the device (ACS, ASD, GFS, MSB, EAF,...).</t>
  </si>
  <si>
    <t>Làm rõ về cáp kết nối từ module CM, I/O, I-M (hệ FAS) tới thiết bị (ACS, ASD, GFS, MSB, EAF,...).</t>
  </si>
  <si>
    <t>LTIA-5.10-VIETUR-80000-RFI-0716</t>
  </si>
  <si>
    <t>Clarification for the information on Access Control System (ACS – Door detail) – No.01</t>
  </si>
  <si>
    <t xml:space="preserve">Làm rõ thông tin Hệ thống kiểm soát cửa truy cập (ACS – chi tiết cửa) – Số 01 </t>
  </si>
  <si>
    <t>LTIA-5.10-VIETUR-54000-RFI-0753</t>
  </si>
  <si>
    <t>Request confirmation of additional items that are not included in the Contract Appendix but are shown in the construction design drawings (step 03)</t>
  </si>
  <si>
    <t>Đề nghị xác nhận các hạng mục bổ sung không có trong Phụ lục hợp đồng nhưng được thể hiện trong bản vẽ thiết kế thi công (TKB3)</t>
  </si>
  <si>
    <t>LTIA-5.10-VIETUR-70000-RFA-MAS-0655</t>
  </si>
  <si>
    <t>Request for approval Materials of Structured Cabling System (SCS) - Rack cabinet in the Entrance Facility room (EF Room)</t>
  </si>
  <si>
    <t>Đề nghị phê duyệt vật tư Hệ thống cấu trúc mạng - Tủ Rack trong phòng tập điểm kết nối (Phòng EF)</t>
  </si>
  <si>
    <t>LTIA-5.10-VIETUR-70000-RFA-MAS-0660</t>
  </si>
  <si>
    <t>Request for approval of additional materials for Cable tray and Accessories Cat Van Loi</t>
  </si>
  <si>
    <t>Đề nghị phê duyệt bổ sung vật tư Máng cáp và phụ kiện Cát Vạn Lợi</t>
  </si>
  <si>
    <t>LTIA-5.10-VIETUR-70000-RFA-OTH-0565</t>
  </si>
  <si>
    <t>Request for approval of the scope of work and the quantity of ACS workstations belonging to P5.10</t>
  </si>
  <si>
    <t>Đề nghị phê duyệt phạm vi và số lượng cung cấp máy tính trạm hệ ACS thuộc gói 5.10</t>
  </si>
  <si>
    <t>LTIA-5.10-VIETUR-70000-RFI-0717</t>
  </si>
  <si>
    <t>Contractor proposes to update loudspeaker loop naming rules in public address system (PAS)</t>
  </si>
  <si>
    <t>Nhà thầu đề xuất cập nhật quy tắc đặt tên loop loa trong hệ thống âm thanh (PAS)</t>
  </si>
  <si>
    <t>LTIA-5.10-VIETUR-70000-RFA-OTH-0568</t>
  </si>
  <si>
    <t>Request for approval of the drawings of the Interface Box of the ACS for the Duress button and the Elevator</t>
  </si>
  <si>
    <t>Yêu cầu phê duyệt bản vẽ chế tạo hộp giao tiếp hệ ACS dùng cho nút nhấn khẩn và thang máy.</t>
  </si>
  <si>
    <t>LTIA-5.10-VIETUR-70000-RFA-MAS-0219B</t>
  </si>
  <si>
    <t>LTIA-5.10-VIETUR-70000-RFA-MAS-0675</t>
  </si>
  <si>
    <t>Đề nghị phê duyệt vật tư bổ sung cho hệ thống kiểm soát cửa ra vào</t>
  </si>
  <si>
    <t>LTIA-5.10-VIETUR-70000-RFI-0756</t>
  </si>
  <si>
    <t>Confirmation of Proposal for Additional Quantities of Structured Cabling System (SCS)</t>
  </si>
  <si>
    <t>Xác nhận đề xuất bổ sung khối lượng hệ thống cấu trúc mạng (SCS)</t>
  </si>
  <si>
    <t>LTIA-5.10-VIETUR-80000-RFI-0762</t>
  </si>
  <si>
    <t>Clarifying information about the grounding system for ICT equipment in Data center 2, BD, EF rooms and FDR rooms.</t>
  </si>
  <si>
    <t>Làm rõ thông tin về hệ thống tiếp địa cho thiết bị ICT trong các phòng Data center 2, BD, EF và các phòng FDR.</t>
  </si>
  <si>
    <t>LTIA-5.10-VIETUR-80000-RFI-0763</t>
  </si>
  <si>
    <t>FAS Systems - Clarify step 2 information of Fire Alarm System No.4</t>
  </si>
  <si>
    <t>Hệ thống Báo cháy – Làm rõ thông tin thiết kế bước 2 của hệ thống báo cháy Số 4</t>
  </si>
  <si>
    <t>LTIA-5.10-VIETUR-70000-RFI-0774</t>
  </si>
  <si>
    <t>Proposed to enhance the cable tray system to meet the space requirement for cable installation for public address system (PAS).</t>
  </si>
  <si>
    <t>Đề xuất tăng cường hệ thống máng cáp để đáp ứng về không gian lắp đặt cáp cho hệ thống âm thanh công cộng (PAS).</t>
  </si>
  <si>
    <t>LTIA-5.10-VIETUR-72160-RFI-0771</t>
  </si>
  <si>
    <t>Clarify the method of routing fire alarm cables into the FACP and propose the addition of cable trays at level G</t>
  </si>
  <si>
    <t>Làm rõ phương án đi cáp báo cháy vào tủ báo cháy và đề xuất bổ sung máng cáp tầng G</t>
  </si>
  <si>
    <t>SCS
FAS</t>
  </si>
  <si>
    <t>LTIA-5.10-VIETUR-70000-RFA-OTH-0589</t>
  </si>
  <si>
    <t>Request for approval of Interface Control Document (ICD) of SACS System.</t>
  </si>
  <si>
    <t>Đề nghị phê duyệt Tài liệu kiểm soát Giao diện (ICD) của hệ thống SACS.</t>
  </si>
  <si>
    <t>LTIA-5.10-VIETUR-70000-RFA-MAS-0700</t>
  </si>
  <si>
    <t>Request for approval equipment for master clock system.</t>
  </si>
  <si>
    <t>Đề nghị phê duyệt thiết bị cho hệ thống đồng hồ chủ</t>
  </si>
  <si>
    <t>11/28/2025 Withdraw</t>
  </si>
  <si>
    <t>LTIA-5.10-VIETUR-70000-RFA-MAS-0696</t>
  </si>
  <si>
    <t>Request for approval Fire Alarm System (FAS) – Workstation.</t>
  </si>
  <si>
    <t>Đề nghị phê duyệt vật tư hệ thống báo cháy – Máy Trạm.</t>
  </si>
  <si>
    <t>LTIA-5.10-VIETUR-70000-RFA-MAS-0706</t>
  </si>
  <si>
    <t>Request for approval of Floor-Mounted data outlets for Raised Floor Area</t>
  </si>
  <si>
    <t>Đề nghị phê duyệt Ổ cắm dữ liệu âm sàn cho khu vực sàn nâng</t>
  </si>
  <si>
    <t>LTIA-5.10-VIETUR-70000-RFA-OTH-0631</t>
  </si>
  <si>
    <t>Request for approval of the drawings of the Interface Box of the ACS (Supplement according to instruction number: LTIA-5.10-PMU-IBE-ICT-ELV-0009)</t>
  </si>
  <si>
    <t>Yêu cầu phê duyệt bản vẽ chế tạo hộp giao tiếp hệ ACS (Bổ sung theo chỉ thị số: LTIA-5.10-PMU-IBE-ICT-ELV-0009)</t>
  </si>
  <si>
    <t>LTIA-5.10-VIETUR-70000-RFA-MAS-0720</t>
  </si>
  <si>
    <t>Request for approval of equipment for Immigration system (IMM) - Phase 2</t>
  </si>
  <si>
    <t>Đề nghị phê duyệt thiết bị hệ thống Công An cửa khẩu (IMM) - Đợt 2</t>
  </si>
  <si>
    <t>LTIA-5.10-VIETUR-70000-RFA-MAS-0708</t>
  </si>
  <si>
    <t>Request for approval of additional Shielded RJ45 CAT6A plug for CAT6A cable</t>
  </si>
  <si>
    <t>Đề nghị phê duyệt bổ sung Đầu cắm RJ45 CAT6A có che chắn dùng cho cáp CAT6A</t>
  </si>
  <si>
    <t>LTIA-5.10-VIETUR-80000-RFI-0790</t>
  </si>
  <si>
    <t>FAS Systems - Clarify step 2 information of Fire Alarm System No.5</t>
  </si>
  <si>
    <t>Hệ thống Báo cháy – Làm rõ thông tin thiết kế bước 2 của hệ thống báo cháy Số 5</t>
  </si>
  <si>
    <t>LTIA-5.10-VIETUR-70000-RFI-0798</t>
  </si>
  <si>
    <t>Clarification of the information on the key switch on the Access Control System (ACS)</t>
  </si>
  <si>
    <t>Làm rõ thông tin khóa chuyển mạch của Hệ thống kiểm soát cửa truy cập (ACS)</t>
  </si>
  <si>
    <t>LTIA-5.10-VIETUR-70000-RFI-0806</t>
  </si>
  <si>
    <t>Làm rõ thông tin: Cập nhật mặt bằng thiết kế đồng hồ chủ</t>
  </si>
  <si>
    <t>LTIA-5.10-VIETUR-70000-RFA-MAS-0734</t>
  </si>
  <si>
    <t>Request for approval of additional Materials of Structured Cabling System - SCS</t>
  </si>
  <si>
    <t>Đề nghị phê duyệt Vật tư bổ sung của Hệ cấu trúc cáp - SCS</t>
  </si>
  <si>
    <t>LTIA-5.10-VIETUR-70000-RFA-MAS-0556B</t>
  </si>
  <si>
    <t>LTIA-5.10-VIETUR-70000-RFA-OTH-0631A</t>
  </si>
  <si>
    <t>Mr Long + Kuroda</t>
  </si>
  <si>
    <t>LTIA-5.10-VIETUR-70000-RFA-OTH-0654</t>
  </si>
  <si>
    <t>Request for approval for Measurement Equipment of ICT cable - ELV System</t>
  </si>
  <si>
    <t>Đề nghị phê duyệt Thiết bị đo cáp điện nhẹ - Hệ thống điện nhẹ</t>
  </si>
  <si>
    <t>LTIA-5.10-VIETUR-54000-RFI-0778</t>
  </si>
  <si>
    <t>Clarification on Communication Distance for CO Sensors in the Building Management System (LBMS).</t>
  </si>
  <si>
    <t>LBMS</t>
  </si>
  <si>
    <t>Mr Phong + Anh</t>
  </si>
  <si>
    <t>LTIA-5.10-VIETUR-70000-RFI-0818</t>
  </si>
  <si>
    <t>LTIA-5.10-VIETUR-70000-RFI-0849</t>
  </si>
  <si>
    <t>LTIA-5.10-VIETUR-70000-RFI-0882</t>
  </si>
  <si>
    <t>Clarify and propose the design and construction of the system in accordance with the directives and documents of the Immigration Department</t>
  </si>
  <si>
    <t>Làm rõ và đề xuất thiết kế thi công hệ thống theo chỉ thị và các văn bản của Cục quản lý xuất nhập cảnh</t>
  </si>
  <si>
    <t>Proposal to approval changes to workstation equipment for the Public Address System</t>
  </si>
  <si>
    <t>Đề xuất phê duyệt thay đổi thiết bị máy trạm cho Hệ thống Âm thanh công cộng</t>
  </si>
  <si>
    <t>Clarify the information: SCN detail layout and equipment quantities in the FDR rooms</t>
  </si>
  <si>
    <t>Làm rõ thông tin: Bố trí thiết bị và khối lượng thiết bị SCN các phòng FDR</t>
  </si>
  <si>
    <t>LTIA-5.10-VIETUR-72160-RFI-0887</t>
  </si>
  <si>
    <t>Adjustment of cabinet position and VESDA system piping network</t>
  </si>
  <si>
    <t>Điều chỉnh vị trí tủ và mạng đường ống hệ thống VESDA</t>
  </si>
  <si>
    <t>LTIA-5.10-VIETUR-80000-RFI-0822</t>
  </si>
  <si>
    <t>Smoke Exhaust / Ventilation Window System – Clarification of Control Requirements at the Airport Operations Control Center (APOC)</t>
  </si>
  <si>
    <t>Hệ thống cửa sổ thoát khói/thông khí – Làm rõ yêu cầu điều khiển tại Trung tâm Điều Hành Sân Bay (APOC)</t>
  </si>
  <si>
    <t>02/04/2026 Withdraw</t>
  </si>
  <si>
    <t>FAS Systems - Clarify step 2 information of Fire Alarm System No.6</t>
  </si>
  <si>
    <t>Hệ thống Báo cháy – Làm rõ thông tin thiết kế bước 2 của hệ thống báo cháy Số 6</t>
  </si>
  <si>
    <t>LTIA-5.10-VIETUR-80000-RFI-0835</t>
  </si>
  <si>
    <t>LTIA-5.10-VIETUR-80000-RFI-0833</t>
  </si>
  <si>
    <t>Clarifying the Fire Protection System: Automatic fire fighting system for FD rooms</t>
  </si>
  <si>
    <t>Làm rõ Hệ thống PCCC: Chữa cháy tự động tại các phòng FD</t>
  </si>
  <si>
    <t>Mr Phụng + Thu</t>
  </si>
  <si>
    <t>LTIA-5.10-VIETUR-80000-RFI-0867</t>
  </si>
  <si>
    <t>Clarification on power supply for FCC and FAS rooms</t>
  </si>
  <si>
    <t>Làm rõ về việc cấp nguồn cho các phòng FCC, FAS</t>
  </si>
  <si>
    <t>LTIA-5.10-VIETUR-70000-RFA-MAS-0774</t>
  </si>
  <si>
    <t>Request for approval of workstation for Immigration system (IMM)</t>
  </si>
  <si>
    <t>Yêu cầu phê duyệt máy trạm cho hệ thống Công An cửa khẩu (IMM)</t>
  </si>
  <si>
    <t>Package</t>
  </si>
  <si>
    <t>LTIA-5.10-VIETUR-70000-RFI-0945</t>
  </si>
  <si>
    <t>Clarification for the information on the quantity of Biometric Reader (BR) in the Biometric Registration Room and Card Issuance Room belonging to P5.10 package on Access Control System (ACS)</t>
  </si>
  <si>
    <t>Làm rõ thông tin về số lượng cung cấp đầu đọc sinh trắc học trong phòng đăng ký sinh trắc học và phòng phát hành thẻ ACS thuộc gói 5.10</t>
  </si>
  <si>
    <t>LTIA-5.10-VIETUR-80000-RFA-SDS-0080</t>
  </si>
  <si>
    <t>Construction design drawing of  ICT system – part.4: ICT systems for PIT Level (Underground)</t>
  </si>
  <si>
    <t>Bản vẽ TKTC cho hệ thống ICT – phần 4 – Hệ thống ICT cho tầng PIT (phần ngầm)</t>
  </si>
  <si>
    <t>FAS
SCS
SCN</t>
  </si>
  <si>
    <t>Mr Phong + Trãi + Kuroda</t>
  </si>
  <si>
    <t>LTIA-5.10-VIETUR-80000-RFA-SDS-0122</t>
  </si>
  <si>
    <t xml:space="preserve">Construction design drawing of ICT system - part .1 : ICT system for 1F Level </t>
  </si>
  <si>
    <t>Bản vẽ TKTC cho hệ thống ICT - phần 1 - Hệ thống ICT cho tầng 1</t>
  </si>
  <si>
    <t>FAS
SCS
SCN
DCH
PAS
PPS</t>
  </si>
  <si>
    <t>LTIA-5.10-VIETUR-80000-RFA-SDS-0140</t>
  </si>
  <si>
    <t xml:space="preserve">Construction design drawing of  ICT system – part.1: ICT systems for 2F Level </t>
  </si>
  <si>
    <t>Bản vẽ TKTC cho hệ thống ICT – phần 1 – Hệ thống ICT cho tầng 2</t>
  </si>
  <si>
    <t>FAS
SCS
SCN
DCH
PAS
PPS
PMR</t>
  </si>
  <si>
    <t>Mr Phong + Trãi + Shimada</t>
  </si>
  <si>
    <t>LTIA-5.10-VIETUR-80000-RFA-SDS-0160</t>
  </si>
  <si>
    <t xml:space="preserve">Construction design drawing of  ICT system – part.1: ICT systems for GF Level </t>
  </si>
  <si>
    <t>Bản vẽ TKTC cho hệ thống ICT – phần 1 – Hệ thống ICT cho tầng GF</t>
  </si>
  <si>
    <t>LTIA-5.10-VIETUR-80000-RFA-SDS-0197</t>
  </si>
  <si>
    <t xml:space="preserve">Construction design drawing of  ICT system – part.1: ICT systems for 3F Level </t>
  </si>
  <si>
    <t>Bản vẽ TKTC cho hệ thống ICT – phần 1 – Hệ thống ICT cho tầng 3F</t>
  </si>
  <si>
    <t>+ SCN/SCS 4F drawing</t>
  </si>
  <si>
    <t>LTIA-5.10-VIETUR-80000-RFA-SDS-0214</t>
  </si>
  <si>
    <t xml:space="preserve">Construction design drawing of  ICT system – part.1: ICT systems for FLB </t>
  </si>
  <si>
    <t>Bản vẽ TKTC cho hệ thống ICT – phần 1 – Hệ thống ICT cho FLB</t>
  </si>
  <si>
    <t>FAS
SCS
SCN
DCH
PAS</t>
  </si>
  <si>
    <t>Mr Phong + Trãi + Kuroda + Shimada</t>
  </si>
  <si>
    <t>LTIA-5.10-VIETUR-80000-RFA-SDS-0222</t>
  </si>
  <si>
    <t>Construction design drawing of  ICT system – part.1: ICT systems for DATA CENTER 2 (DC2) &amp; TECHNICAL ROOM (EF,BD)</t>
  </si>
  <si>
    <t>Bản vẽ TKTC cho hệ thống ICT – phần 1 – Hệ thống ICT cho Trung tâm dữ liệu số 2 (DC2) và Phòng kỹ thuật (EF,BD)</t>
  </si>
  <si>
    <t>LTIA-5.10-VIETUR-80000-RFA-SDS-0297</t>
  </si>
  <si>
    <t xml:space="preserve">Construction design drawing of  ICT system – part.1: ICT systems for 4F+Rf </t>
  </si>
  <si>
    <t>Bản vẽ TKTC cho hệ thống ICT – phần 1 – Hệ thống ICT cho 4F+Rf</t>
  </si>
  <si>
    <t>LTIA-5.10-VIETUR-80000-RFA-SDS-0310</t>
  </si>
  <si>
    <t>Construction design drawing of ICT system - part 1: Automatic Smoke Extraction And Ventilation Windows Drawing</t>
  </si>
  <si>
    <t>Bản vẽ TKTC cho hệ thống ICT - phần 1 - Bản Vẽ Hệ Thống Cửa Sổ Cấp Gió Và Thoát Khói Tự Động</t>
  </si>
  <si>
    <t>Mr Aoki + Phong + Kuroda + Boe</t>
  </si>
  <si>
    <t>LTIA-5.10-VIETUR-80000-RFA-SDS-0330</t>
  </si>
  <si>
    <t>SCN</t>
  </si>
  <si>
    <t xml:space="preserve">Construction design drawing of  ICT system – part.1: ICT systems for Cable Fiber Layout Level Overall (SCN). </t>
  </si>
  <si>
    <t>Bản vẽ TKTC cho hệ thống ICT – phần 1 – Hệ thống ICT cho Bản Vẽ Bố Trí Cáp Quang Tổng Thể (SCN).</t>
  </si>
  <si>
    <t>Mr Phong + Mừng + Kuroda</t>
  </si>
  <si>
    <t>LTIA-5.10-VIETUR-80000-RFA-SDS-0122A</t>
  </si>
  <si>
    <t>Construction design drawing of ICT system – part.1: ICT systems for 1F Level (Re-submission for attachment): 2. Structure Cable Network-level 1 (attachment 02). &amp; 5. Public Address Systems -level 1 (attachment 05).</t>
  </si>
  <si>
    <t>Bản vẽ TKTC cho hệ thống ICT – phần 1 – Hệ thống ICT cho tầng 1 (Trình cho phần đính kèm số: 2. Hệ thống Mạng Cáp – tầng 1 (đính kèm 02) &amp; 5. Hệ Thống Phát Thanh Công Cộng - tầng 1 (đính kèm 05)</t>
  </si>
  <si>
    <t>SCN
PAS</t>
  </si>
  <si>
    <t>LTIA-5.10-VIETUR-80000-RFA-SDS-0080A</t>
  </si>
  <si>
    <t>LTIA-5.10-VIETUR-80000-RFA-SDS-0140A</t>
  </si>
  <si>
    <t>LTIA-5.10-VIETUR-80000-RFA-SDS-0160A</t>
  </si>
  <si>
    <t>LTIA-5.10-VIETUR-80000-RFA-SDS-0197A</t>
  </si>
  <si>
    <t>+ SCN 4F drawing</t>
  </si>
  <si>
    <t>LTIA-5.10-VIETUR-80000-RFA-SDS-0310A</t>
  </si>
  <si>
    <t>Bản vẽ TKTC cho hệ thống ICT - phần 1 - Bản Vẽ Hệ Thống Cửa Sổ Cấp Gió Và Thoát Khói Tự Động (SVP)</t>
  </si>
  <si>
    <t>SVP</t>
  </si>
  <si>
    <t>Mr Cường + Mừng + Kuroda + Boe</t>
  </si>
  <si>
    <t>LTIA-5.10-VIETUR-80000-RFA-SDS-0350</t>
  </si>
  <si>
    <t xml:space="preserve">Construction design drawing of  ICT system – part.1: ICT systems for FAS Under BHS Flatform. </t>
  </si>
  <si>
    <t>Bản vẽ TKTC cho hệ thống ICT – phần 1 – Hệ thống ICT cho Hệ Thống báo cháy dưới sàn thép BHS</t>
  </si>
  <si>
    <t>FAS
BHS</t>
  </si>
  <si>
    <t>LTIA-5.10-VIETUR-80000-RFA-SDS-0140B</t>
  </si>
  <si>
    <t>Construction design drawing of  ICT system – part.1: ICT systems for 2F Level (Re-submission for attachment) 5. Public addressable system-level 2 (attachment 5)</t>
  </si>
  <si>
    <t>Bản vẽ TKTC cho hệ thống ICT – phần 1 – Hệ thống ICT cho tầng 2 (trình cho phần đính kèm số: 5. Hệ thống phát thanh công cộng - tầng 2 (đính kèm 5)</t>
  </si>
  <si>
    <t>LTIA-5.10-VIETUR-80000-RFA-SDS-0222A</t>
  </si>
  <si>
    <t>Mr Long + Phong + Kuroda</t>
  </si>
  <si>
    <t>LTIA-5.10-VIETUR-80000-RFA-SDS-0371</t>
  </si>
  <si>
    <t xml:space="preserve">Construction design drawing of  ICT system – part.1: ICT systems for Duress Button Drawings. </t>
  </si>
  <si>
    <t>Bản vẽ TKTC cho hệ thống ICT – phần 1 – Hệ thống ICT cho hệ thống nút nhấn khẩn cấp.</t>
  </si>
  <si>
    <t>LTIA-5.10-VIETUR-80000-RFA-SDS-0197B</t>
  </si>
  <si>
    <t>LTIA-5.10-VIETUR-80000-RFA-SDS-0394</t>
  </si>
  <si>
    <t>Construction design drawing of  ICT system – part.1: ICT systems for Schematic Diagram Public Address System (PAS)</t>
  </si>
  <si>
    <t>Bản vẽ TKTC cho hệ thống ICT – phần 1 – Hệ thống ICT cho SDNL hệ thống Phát Thanh</t>
  </si>
  <si>
    <t>LTIA-5.10-VIETUR-80000-RFA-SDS-0372</t>
  </si>
  <si>
    <t xml:space="preserve">Construction design drawing of  ICT system – part.1: ICT systems for IMM Schematic Diagram Drawing. </t>
  </si>
  <si>
    <t>Bản vẽ TKTC cho hệ thống ICT – phần 1 – Hệ thống ICT cho SDNL Công An Cửa Khẩu</t>
  </si>
  <si>
    <t>LTIA-5.10-VIETUR-80000-RFA-SDS-0160B</t>
  </si>
  <si>
    <t>11/20/2025 Update
Not have Link Response Date</t>
  </si>
  <si>
    <t>LTIA-5.10-VIETUR-80000-RFA-SDS-0415</t>
  </si>
  <si>
    <t>Construction design drawing of  ICT system – part.1: ICT systems for Power and Loop Cable Layout on Cable Tray</t>
  </si>
  <si>
    <t>Bản vẽ TKTC cho hệ thống ICT – phần 1 – Hệ thống ICT cho Bản Vẽ Dây Nguồn Và Dây Tín Hiệu Loop Trên Máng Cáp</t>
  </si>
  <si>
    <t>4/29/2026 Update
6/2/2026: Đã comments
6/5/2026: Đã ký C</t>
  </si>
  <si>
    <t>LTIA-5.10-VIETUR-80000-RFA-SDS-0417</t>
  </si>
  <si>
    <t>Construction design drawing of  ICT system – part.1: ICT systems for PAS Rack Cabinet Layout</t>
  </si>
  <si>
    <t>Bản vẽ TKTC cho hệ thống ICT – phần 1 – Hệ thống ICT cho Bản Vẽ Tủ Rack Hệ Thống Phát Thanh</t>
  </si>
  <si>
    <t>1/2/2026 Soft Update
1/8/2026: Đã comments</t>
  </si>
  <si>
    <t>LTIA-5.10-VIETUR-80000-RFA-SDS-0428</t>
  </si>
  <si>
    <t>Coordination layout of Architecture, MEPF, TE for one 3F typical check-in island</t>
  </si>
  <si>
    <t>Bản vẽ mặt bằng phối hợp Kiến trúc, MEPF, TE cho một đảo check-in điển hình Lầu 3</t>
  </si>
  <si>
    <t>2/26/2026 Soft Update</t>
  </si>
  <si>
    <t>Mr Aoki + Phong + Boe + Kuroda</t>
  </si>
  <si>
    <t>LTIA-5.11-LONGTHANHICT72040-RFI-0001</t>
  </si>
  <si>
    <t>Clarification of information, comments, and recommendations regarding the cable tray system in the dc and BD rooms</t>
  </si>
  <si>
    <t>LÀM RÕ CÁC THÔNG TIN VÀ Ý KIẾN, KIẾN NGHỊ CHO PHẦN MÁNG CÁP TẠI PHÒNG DC VÀ BD</t>
  </si>
  <si>
    <t>7/7/2025 Update</t>
  </si>
  <si>
    <t>LTIA-5.11-LTICT-70000-RFI-0002</t>
  </si>
  <si>
    <t>Request providing information about design and planing of ICT systems for package 5.11</t>
  </si>
  <si>
    <t>Yêu cầu cung cấp các thông tin liên quan đến thiết kế và quy hoạch hệ thống ICT của gói thầu 5.11</t>
  </si>
  <si>
    <t>LTIA-5.11-LTICT-72010-RFI-0003</t>
  </si>
  <si>
    <t>Request providing information about design and planing for structured cabling system of package 5.11</t>
  </si>
  <si>
    <t>Yêu cầu cung cấp các thông tin liên quan đến thiết kế và quy hoạch hệ thống cáp cấu trúc của gói thầu 5.11</t>
  </si>
  <si>
    <t>LTIA-5.11-LTICT-70000-RFI-0004</t>
  </si>
  <si>
    <t>Request declaration and providing information about design and planing for toll collection system of package 5.11</t>
  </si>
  <si>
    <t>Yêu cầu làm rõ và cung cấp các thông tin liên quan đến thiết kế và quy hoạch hệ thống thu phí của gói thầu 5.11</t>
  </si>
  <si>
    <t>LTIA-5.11-LTICT-72190-RFI-0005</t>
  </si>
  <si>
    <t>Smart Parking</t>
  </si>
  <si>
    <t>Request clarification and providing of information about design and planing for Smart Parking system of package 5.11</t>
  </si>
  <si>
    <t>Yêu cầu làm rõ và cung cấp các thông tin liên quan đến thiết kế và quy hoạch Hệ thống Smart Parking của gói thầu 5.11</t>
  </si>
  <si>
    <t>LTIA-5.11-LTICT-70000-RFI-0006</t>
  </si>
  <si>
    <t>WDNE</t>
  </si>
  <si>
    <t>Recommendations regarding the reallocation of Access Points (AP) in the WDNE system of Package 5.11</t>
  </si>
  <si>
    <t>Kiến nghị thay đổi phân bổ Access Points(AP) cho hệ thống WDNE thuộc gói thầu 5.11</t>
  </si>
  <si>
    <t>LTIA-5.11-LTICT-72030-RFI-0006A</t>
  </si>
  <si>
    <t>Recommendations regarding the reallocation of Access Points (AP) in the WDNE system of
Package 5.11</t>
  </si>
  <si>
    <t>Kiến nghị thay đổi phân bổ Access Points (AP) cho hệ thống WDNE thuộc gói thầu 5.11</t>
  </si>
  <si>
    <t>9/10/2025 Update =&gt; 0006A
No RFCS</t>
  </si>
  <si>
    <t>LTIA-5.11-LTICT-70000-RFI-0007</t>
  </si>
  <si>
    <t>AGAC</t>
  </si>
  <si>
    <t>Clarification of Information and Propose a Backup network connection Solution regarding AUTOMATIC GATE ACCESS CONTROL SYSTEM (AGAC) of package 5.11</t>
  </si>
  <si>
    <t>Làm rõ thông tin và kiến nghị Phương án dự phòng kết nối mạng cho HỆ THỐNG KIỂM SOÁT CỬA TỰ ĐỘNG (AGAC) thuộc gói thầu 5.11</t>
  </si>
  <si>
    <t>LTIA-5.11-LTICT-72120-RFI-0008</t>
  </si>
  <si>
    <t>CCTV</t>
  </si>
  <si>
    <t>Recommendations regarding the replacement of the camera model in the CCTV system of Package 5.11</t>
  </si>
  <si>
    <t>Kiến nghị thay đổi mã hiệu camera cho hệ thống CCTV thuộc gói thầu 5.11</t>
  </si>
  <si>
    <t>LTIA-5.11-LTICT-80000-RFI-0009</t>
  </si>
  <si>
    <t>Proposals and Recommendations for the Installation Plan of the LED Display System, Check-in Island Video Wall, and LCD Video Wall under Package 5.11</t>
  </si>
  <si>
    <t>Đề xuất và kiến nghị phương án lắp đặt hệ thống màn hình LED, màn hình ghép đầu đảo, màn hình ghép LCD thuộc gói thầu 5.11</t>
  </si>
  <si>
    <t>LTIA-5.11-LTICT-72090-RFI-0010</t>
  </si>
  <si>
    <t>TOIP</t>
  </si>
  <si>
    <t>LTIA-5.11-LTICT-72090-RFI-0010A</t>
  </si>
  <si>
    <t>LTIA-5.11-LTICT-72090-RFI-0010B</t>
  </si>
  <si>
    <t>Proposal to adjust the IP Phone (IPP) allocation for the TOIP system under Package 5.11</t>
  </si>
  <si>
    <t>Kiến nghị thay đổi phân bổ IP Phone (IPP) cho hệ thống TOIP thuộc gói thầu 5.11</t>
  </si>
  <si>
    <t>9/10/2025 Update =&gt; 0010A
No RFCS</t>
  </si>
  <si>
    <t>9/29/2025 Update</t>
  </si>
  <si>
    <t>Proposal for Supplementary Design to Expand Coverage for the PMR System - Package 5.11</t>
  </si>
  <si>
    <t>Kiến nghị thiết kế bổ sung mở rộng phạm vi phủ sóng cho Hệ thống bộ đàm - PMR thuộc gói thầu 5.11</t>
  </si>
  <si>
    <t>LTIA-5.11-LTICT-71110-RFI-0012</t>
  </si>
  <si>
    <t>Proposal for adjustments and additions, including modifying and supplementing lane-separation islands, gantry prices, and relocating the access path for people with disabilities in the parking area of the Non-Stop Toll Collection System under Package 5.11.</t>
  </si>
  <si>
    <t>Kiến nghị thay đổi, bổ sung đảo phân làn, giá long môn và di chuyển lối đi dành cho người khuyết tật trong nhà để xe của hệ thống thu phí không dừng thuộc gói thầu 5.11</t>
  </si>
  <si>
    <t>TOLL</t>
  </si>
  <si>
    <t>LTIA-5.11-LTICT-72010-RFI-0013</t>
  </si>
  <si>
    <t>Kiến nghị phê duyệt, bổ sung thiết kế tuyến cáp quang của hệ thống SCADA cho hệ thống Cáp cấu trúc SCS.</t>
  </si>
  <si>
    <t>Proposal for approval and supplementation of the fiber-optic cable route design of the SCADA system for the Structured Cabling System SCS.</t>
  </si>
  <si>
    <t>Mr Phong + Nose</t>
  </si>
  <si>
    <t>LTIA-5.11-LTICT-72010-RFI-0014</t>
  </si>
  <si>
    <t>Không có bản đệ trình</t>
  </si>
  <si>
    <t>LTIA-5.11-LTICT- 71110-RFI-0015</t>
  </si>
  <si>
    <t>Request for the fee calculation scheme for vehicle types (cars and motorcycles) in each designated area within Long Thanh International Airport.</t>
  </si>
  <si>
    <t>Kiến nghị cung cấp thông tin phương pháp tính phí cho các loại xe oto, xe máy ở từng khu vực trong HKQT Long Thành</t>
  </si>
  <si>
    <t>5/12/2026 Update</t>
  </si>
  <si>
    <t>LTIA-5.11-LTICT- 80000-RFI-0016</t>
  </si>
  <si>
    <t>Recommendation for installation of industrial sockets (female) for rack PDU connection in DC, BD and FDR room</t>
  </si>
  <si>
    <t>Kiến nghị về việc lắp đặt ổ cắm công nghiệp (đầu cái) cho đấu nối nguồn PDU tủ rack tại phòng DC, BD và FDR</t>
  </si>
  <si>
    <t>Mr Chiến + Kuroda</t>
  </si>
  <si>
    <t>LTIA-5.11-LTICT- 80000-RFI-0017</t>
  </si>
  <si>
    <t>Proposal to add quantity and code of Media Converter for system under package 5.11</t>
  </si>
  <si>
    <t>Kiến nghị bổ sung số lượng và mã hiệu Media Converter cho các hệ thông thuộc gói thầu 5.11</t>
  </si>
  <si>
    <t>LTIA-5.11-LTICT- 71110-RFI-0018</t>
  </si>
  <si>
    <t>Proposed quantities of vacant-slot cameras, direction signs, vacant signboards, and self-service kiosks in the parking garage</t>
  </si>
  <si>
    <t>Đề xuất số lượng camera ô trống, bảng chỉ dẫn, biển báo trống và kiosk tự phục vụ trong nhà để xe</t>
  </si>
  <si>
    <t>3/3/2026 Update
4/22/2026 Withdraw</t>
  </si>
  <si>
    <t>LTIA-5.11-LTICT- 72030-RFI-0019</t>
  </si>
  <si>
    <t>Proposal for approval to add additional computer systems for controlling passenger flow through the automatic eGate</t>
  </si>
  <si>
    <t>Kiến nghị phê duyệt, bổ sung thêm máy tính phục vụ kiểm soát luồng di chuyển qua cửa tự động eGate.</t>
  </si>
  <si>
    <t>1/15/2026 Update</t>
  </si>
  <si>
    <t>LTIA-5.11-LTICT- 72190-RFI-0020</t>
  </si>
  <si>
    <t>Proposal on the quantity of outdoor vacant parking space monitoring cameras, AI-based parking and stopping monitoring cameras, and vacant parking signage for outdoor parking areas</t>
  </si>
  <si>
    <t>Đề xuất số lượng camera giám sát ô trống ngoài trời, camera AI giám sát dừng đỗ và biển báo trống bãi đỗ xe ngoài nhà.</t>
  </si>
  <si>
    <t>5/27/2026 Update =&gt; 0020A</t>
  </si>
  <si>
    <t>LTIA-5.11-LTICT- 72190-RFI-0020A</t>
  </si>
  <si>
    <t>LTIA-5.11-LTICT-72110-RFI-0021</t>
  </si>
  <si>
    <t>IPTV</t>
  </si>
  <si>
    <t>Proposal for approval to change of TV Mounting System (FIDS &amp; IPTV)</t>
  </si>
  <si>
    <t>Kiến nghị phê duyệt, thay đổi hệ thống giá treo tv (FIDS &amp; IPTV)</t>
  </si>
  <si>
    <t>4/20/2026 Update</t>
  </si>
  <si>
    <t>LTIA-5.11-LTICT-71110-RFI-0022</t>
  </si>
  <si>
    <t>Proposed an underground power cable route option for the electronic toll collection system and the signal transmission infrastructure from stations to the data center</t>
  </si>
  <si>
    <t>Đề xuất phương án tuyến cáp ngầm cấp nguồn cho hệ thống thu phí không dừng và hạ tầng truyền dẫn tín hiệu từ các trạm về trung tâm dữ liệu.</t>
  </si>
  <si>
    <t>Mr Hưởng + Phong + Kato + Kuroda</t>
  </si>
  <si>
    <t>LTIA-5.11-LTICT-72100-RFI-0023</t>
  </si>
  <si>
    <t>Proposed relocation of the installation position for the Digital Trunking Radio Switch Cabinet (TETRA) - PMR Radio Communication System under Package 5.11</t>
  </si>
  <si>
    <t>Kiến nghị di dời vị trí đặt tủ Tổng đài vô tuyến Trunking kỹ thuật số TETRA - Hệ thống bộ đàm - PMR thuộc gói thầu 5.11</t>
  </si>
  <si>
    <t>LTIA-5.11-LTICT-72120-RFI-0024</t>
  </si>
  <si>
    <t>Request for Clarification and Layout Optimization for the Electronic Toll Collection (ETC) System - Package 5.11</t>
  </si>
  <si>
    <t>Bố trí thiết bị thu phí tại các trạm thu phí không dừng</t>
  </si>
  <si>
    <t>LTIA-5.11-LTICT-72190-RFI-0025</t>
  </si>
  <si>
    <t>Proposal for connection solution of outdoor parking lot cameras, Al cameras for parking/stopping monitoring, and grounding system for lightning protection of outdoor parking lot cameras.</t>
  </si>
  <si>
    <t>Đề xuất phương án kết nối camera bãi xe ngoài nhà, camera AI giám sát dừng đỗ và bãi tiếp địa chống sét cho camera bãi xe ngoài nhà</t>
  </si>
  <si>
    <t>LTIA-5.11-LTICT-71110-RFI-0026</t>
  </si>
  <si>
    <t>Cantilever pole structure, signage at the mainline entry lane, and signage at the parking entrance–exit.</t>
  </si>
  <si>
    <t>Kết cấu cột cần tay vươn, biển báo tại làn vào tuyến chính, biển báo lối vào - lối ra bãi xe</t>
  </si>
  <si>
    <t>Out of Scope ICT</t>
  </si>
  <si>
    <t>Mr Thuận + Bảo</t>
  </si>
  <si>
    <t>LTIA-5.11-LTICT-72100-RFI-0027</t>
  </si>
  <si>
    <t>Proposal for Adjustments and Supplements to Optimized Redundancy Solutions for the PMR Radio System Design</t>
  </si>
  <si>
    <t>Kiến nghị điều chỉnh bổ sung phương án dự phòng tối ưu thiết kế hệ thống bộ đàm PMR</t>
  </si>
  <si>
    <t>LTIA-5.11-LTICT-72010-RFI-0028</t>
  </si>
  <si>
    <t>Proposal for Structural Design and Technical Specifications of SIFP Optical Distribution Cabinet Foundations.</t>
  </si>
  <si>
    <t>Kiến nghị phương án kết cấu và thông số kỹ thuật móng Tủ phối quang SIFP.</t>
  </si>
  <si>
    <t>LTIA-5.11-LTICT-72010-RFI-0029</t>
  </si>
  <si>
    <t>Proposed clarification on the design and route of ICT cable ducting/trenches from external infrastructure to the Passenger Terminal.</t>
  </si>
  <si>
    <t>Kiến nghị làm rõ thiết kế và hướng tuyến ống/mương cáp ICT kết nối từ hạ tầng ngoài nhà vào Nhà ga hành khách.</t>
  </si>
  <si>
    <t>LTIA-5.11-LTICT-72010-RFI-0030</t>
  </si>
  <si>
    <t>Recommendation for clarifying the SCADA system's network infrastructure scope.</t>
  </si>
  <si>
    <t>Kiến nghị Làm rõ phạm vi hạ tầng mạng cho hệ thống SCADA.</t>
  </si>
  <si>
    <t>LTIA-5.11-LTICT-71000-RFI-0031</t>
  </si>
  <si>
    <t>Request for information on dimensions, power supply, and network requirements for the Self Bag Drop (SBD) under the CUSS system.</t>
  </si>
  <si>
    <t>Kiến nghị cung cấp thông tin kích thước, cấp nguồn và mạng cho Quầy gửi hành lý tự động (Seft Bagge Drop) hệ thống CUSS.</t>
  </si>
  <si>
    <t>PPS</t>
  </si>
  <si>
    <t>Mr Ito + Nose</t>
  </si>
  <si>
    <t>LTIA-5.11-LTICT-72010-RFI-0032</t>
  </si>
  <si>
    <t>Propose to Utilize Existing SCS Infrastructure for Connectivity Deployment in the Security Screening Area and to Increase Cable Core Quantity to Ensure Sufficient Connections for SC1 (Security Checkpoint 01) and SC2 (Security Checkpoint 02)</t>
  </si>
  <si>
    <t>Kiến nghị tận dụng hạ tầng SCS hiện hữu để triển khai kết nối cho khu vực kiểm soát an ninh, đồng thời tăng số lượng core cáp nhằm đảm bảo đủ kết nối cho 02 trạm SC1 (Security Checkpoint 01) và SC2 (Security Checkpoint 02)</t>
  </si>
  <si>
    <t>LTIA-5.11-LTICT-71110-RFI-0033</t>
  </si>
  <si>
    <t>Change of the installation locations of license plate monitoring cameras and lane monitoring cameras from the gantries to the lane divider islands at the toll stations in the parking garage and remote passenger car park..</t>
  </si>
  <si>
    <t>Thay đổi vị trí lắp đặt camera quan sát biển số xe và camera quan sát làn xe từ trên giá long môn xuống đảo phân làn tại các trạm thu phí trong nhà để xe, bãi xe khách xa.</t>
  </si>
  <si>
    <t>LTIA-5.11-LTICT-72110-RFA-MAS-0001</t>
  </si>
  <si>
    <t>Request for approval of equiment for IP Television (IPTV)</t>
  </si>
  <si>
    <t>Đề nghị phê duyệt thiết bị cho Hệ thống phát hình IP (IPTV)</t>
  </si>
  <si>
    <t>10/1/2025 Update</t>
  </si>
  <si>
    <t>LTIA-5.11-LTICT-72110-RFA-MAS-0002</t>
  </si>
  <si>
    <t>Request for approval of list material and equiment for Structured Cable System (SCS)</t>
  </si>
  <si>
    <t>Đề nghị phê duyệt danh mục vật tư và thiết bị cho Hệ thống cấu trúc cáp mạng (SCS)</t>
  </si>
  <si>
    <t>10/1/2025 Update
11/17/2025 Update</t>
  </si>
  <si>
    <t>LTIA-5.11-LTICT-72120-RFA-MAS-0003</t>
  </si>
  <si>
    <t>Request for approval of list material and equiment for CCTV</t>
  </si>
  <si>
    <t>Đề nghị phê duyệt danh mục vật tư và thiết bị cho Hệ thống camera giám sát (CCTV)</t>
  </si>
  <si>
    <t>Mr Phong + Long + Kuroda</t>
  </si>
  <si>
    <t>10/16/2025: Đã comment
11/06/2025: Send comments to Contractor</t>
  </si>
  <si>
    <t>LTIA-5.11-LTICT-72120-RFA-MAS-0004</t>
  </si>
  <si>
    <t>Đề nghị phê duyệt danh mục vật tư và thiết bị cho Hệ thống cửa truy cập tự động (AGAC)</t>
  </si>
  <si>
    <t>Request for approval of list material and equiment for Automated Gate Access Control (AGAC)</t>
  </si>
  <si>
    <t>Mr Phong + Chiến + Kuroda</t>
  </si>
  <si>
    <t>LTIA-5.11-LTICT-72040-RFA-MAS-0005</t>
  </si>
  <si>
    <t>DCH</t>
  </si>
  <si>
    <t>9/30/2025 Update</t>
  </si>
  <si>
    <t>Request for approval of list material and equiment for Data Communication Hardware (DCH).</t>
  </si>
  <si>
    <t>Đề nghị phê duyệt danh mục vật tư và thiết bị cho Thiết bị phần cứng truyền thông dữ liệu (DCH)</t>
  </si>
  <si>
    <t>LTIA-5.11-LTICT-72020-RFA-MAS-0006</t>
  </si>
  <si>
    <t>Request for approval of list material and equiment for Data Communication Network (DNE).</t>
  </si>
  <si>
    <t>Đề nghị phê duyệt danh mục vật tư và thiết bị cho Thiết bị mạng truyền thông dữ liệu (DNE)</t>
  </si>
  <si>
    <t>LTIA-5.11-LTICT-72030-RFA-MAS-0007</t>
  </si>
  <si>
    <t>Request for approval of list material and equiment for Wireless Data Network Equipment
(WDNE)</t>
  </si>
  <si>
    <t>Đề nghị phê duyệt danh mục vật tư và thiết bị cho Thiết bị mạng truyền thông dữ liệu không dây (WDNE)</t>
  </si>
  <si>
    <t>Request for approval of list material and equiment for Telephone Over IP (TOIP)</t>
  </si>
  <si>
    <t>Đề nghị phê duyệt danh mục vật tư và thiết bị cho Hệ thống điện thoại IP (TOIP)</t>
  </si>
  <si>
    <t>LTIA-5.11-LTICT-72090-RFA-MAS-0008</t>
  </si>
  <si>
    <t>10/1/2025 Update
11/10/2025 Update</t>
  </si>
  <si>
    <t>LTIA-5.11-LTICT-72120-RFA-MAS-0009</t>
  </si>
  <si>
    <t>Request for approval of list material and equiment for Professional Mobile Radio (PMR)</t>
  </si>
  <si>
    <t>Đề nghị phê duyệt danh mục vật tư và thiết bị cho Hệ thống bộ đàm (PMR)</t>
  </si>
  <si>
    <t>10/14/2025 Update</t>
  </si>
  <si>
    <t>LTIA-5.11-LTICT-71000-RFA-MAS-0010</t>
  </si>
  <si>
    <t>Request for approval of list material and equiment for Passenger Processing System (PPS)</t>
  </si>
  <si>
    <t>Đề nghị phê duyệt danh mục vật tư và thiết bị cho Hệ thống xử lý hành khách (PPS)</t>
  </si>
  <si>
    <t>11/18/2025: Reject
11/18/2025: Send comments to Contractor
 11/25/2025 Upgrade 
12/16/2025: Reject
 1/16/2026 Upgrade 
1/20/2026: Đã comment
2/9/2026: duyệt A (tách phần mềm ra trình riêng)</t>
  </si>
  <si>
    <t>LTIA-5.11-LTICT-71110-RFA-MAS-0011</t>
  </si>
  <si>
    <t>LTIA-5.11-LTICT-72190-RFA-MAS-0012</t>
  </si>
  <si>
    <t>Request for approval of list material and equipment for Toll collection system</t>
  </si>
  <si>
    <t>Đề nghị phê duyệt danh mục vật tư và thiết bị cho Hệ thống thu phí</t>
  </si>
  <si>
    <t>Request for approval of list material and equipment for Smart Parking system</t>
  </si>
  <si>
    <t>Đề nghị phê duyệt danh mục vật tư và thiết bị cho Hệ thống quản lý bãi đậu xe thông minh (Smart parking)</t>
  </si>
  <si>
    <t>LTIA-5.11-LTICT-72010-RFA-MAS-0013</t>
  </si>
  <si>
    <t>Request for approval of list material and equipment for Data Communication Network (DNE).</t>
  </si>
  <si>
    <t>11/25/2025: Đã comment
11/27/2025: Send comments to Contractor
 12/1/2025 Upgrade</t>
  </si>
  <si>
    <t>LTIA-5.11LTICT-RFA-MAS-ACCESSORIES-001</t>
  </si>
  <si>
    <t>Request for Approval of Materials and Accessories Submittal for PPS, IPTV, WDNE, ToIP, CCTV and PMR Systems</t>
  </si>
  <si>
    <t>Withdraw
4/23/2026 Update =&gt; 
MAS-0014</t>
  </si>
  <si>
    <t>LTIA-5.11-LTICT-RFA-MAS-0014</t>
  </si>
  <si>
    <t>Đề nghị phê duyệt danh mục vật tư và phụ kiện cho các hệ thống PPS, IPTV, WDNE, ToIP, CCTV và PMR</t>
  </si>
  <si>
    <t>LTIA-5.11-LTICT-72102-RFA-MAS-0015</t>
  </si>
  <si>
    <t>LTIA-5.11-LTICT-71110-RFA-MAS-0016</t>
  </si>
  <si>
    <t>LTIA-5.11-LTICT-71000-RFA-MAS-0017</t>
  </si>
  <si>
    <t>LTIA-5.11-LTICT-10000-RFA-GEN-0001</t>
  </si>
  <si>
    <t>LTIA-5.11-LTICT-10000-RFA-GEN-0002</t>
  </si>
  <si>
    <t>LTIA-5.11-LTICT-10000-RFA-GEN-0003</t>
  </si>
  <si>
    <t>LTIA-5.11-LTICT-10000-RFA-GEN-0004</t>
  </si>
  <si>
    <t>LTIA-5.11-LTICT-10000-RFA-GEN-0005</t>
  </si>
  <si>
    <t>Request for approval of the Quality Control Plan</t>
  </si>
  <si>
    <t>Yêu cầu phê duyệt Kế hoạch quản lý chất lượng</t>
  </si>
  <si>
    <t>Request for approval of the Communication plan for the project</t>
  </si>
  <si>
    <t>Yêu cầu phê duyệt kế hoạch giao tiếp tại dự án</t>
  </si>
  <si>
    <t>Mr Phong + Tùng + Tiệp</t>
  </si>
  <si>
    <t>Mr Tâm + Bảo</t>
  </si>
  <si>
    <t>Request for approval of the Occupational Health and Safety Plan</t>
  </si>
  <si>
    <t>Yêu cầu phê duyệt Kế hoạch an toàn lao động</t>
  </si>
  <si>
    <t>Request for Approval of Forms Used in Project Quality Management (Software).</t>
  </si>
  <si>
    <t>Yêu cầu phê duyệt Biểu mẫu sử dụng trong quản lý chất lượng dự án (Phần mềm).</t>
  </si>
  <si>
    <t>Request for Approval of Project Organization Structure and Personnel</t>
  </si>
  <si>
    <t>Đề nghị phê duyệt Cơ cấu tổ chức và nhân sự thực hiện dự án</t>
  </si>
  <si>
    <t>Out of scope ICT</t>
  </si>
  <si>
    <t>LTIA-5.11-LTICT-RFA-OTH-0001</t>
  </si>
  <si>
    <t>LTIA-5.11-LTICT-RFA-OTH-0002</t>
  </si>
  <si>
    <t>LTIA-5.11-LTICT-RFA-OTH-0003</t>
  </si>
  <si>
    <t>LTIA-5.11-LTICT-RFA-OTH-0004</t>
  </si>
  <si>
    <t>LTIA-5.11-LTICT-RFA-OTH-0005</t>
  </si>
  <si>
    <t>LTIA-5.11-LTICT-RFA-OTH-0006</t>
  </si>
  <si>
    <t>LTIA-5.11-LTICT-RFA-OTH-0007</t>
  </si>
  <si>
    <t>LTIA-5.11-LTICT-RFA-OTH-0007A</t>
  </si>
  <si>
    <t>AODB</t>
  </si>
  <si>
    <t>Yêu cầu phê duyệt tài liệu kiểm soát giao diện (ICD) của hệ thống cơ sở dữ liệu điều hành sân bay (AODB) thuộc gói 5.11</t>
  </si>
  <si>
    <t>Request for approval of the Airport Operations Database (AODB) Interface Control Document (ICD) Package 5.11</t>
  </si>
  <si>
    <t>Request for Approval of Interface, Functionality, and Design Documents for the SBD-BHS Component under the PPS System (Package 5.11)</t>
  </si>
  <si>
    <t>Yêu cầu phê duyệt các tài liệu giao tiếp, chức năng và thiết kế hạng mục SBD-BHS thuộc hệ thống PPS (Gói thầu 5.11)</t>
  </si>
  <si>
    <t>JAC Reject
Cần phối giữa hãng (daifuku) + wonderland + M8M (phụ trách Mr. Hiệp + Mr. Truyền) Để update lại hồ sơ
3/25/2026: Contractor Submit updated 
4/8/2026: Đã comment và gửi cho CNC phê duyệt B
Đã ký duyệt B</t>
  </si>
  <si>
    <t>Request for approval of the design mix for cement concrete, the cement concrete batching plant, and the construction steel sources serving Package 5.11</t>
  </si>
  <si>
    <t>Đề nghị phê duyệt thiết kế cấp phối bê tông xi măng, trạm trộn bê tông xi măng và nguồn thép xây dựng phục vụ gói thầu 5.11</t>
  </si>
  <si>
    <t>Out of scope ICT
Withdraw</t>
  </si>
  <si>
    <t>2/9/2026 Đã Comments 
Reject</t>
  </si>
  <si>
    <t>Request approval of design models and IP/VLAN address allocation for the BHS system</t>
  </si>
  <si>
    <t>Yêu cầu phê duyệt các mô hình thiết kế, phân bổ địa chỉ IP/Vlan cho hệ thống BHS</t>
  </si>
  <si>
    <t>Request for approval of the Interface Control Document (ICD) for the CCTV (Closed-Circuit Television) scope under the CCTV System (Package 5.11)</t>
  </si>
  <si>
    <t>Yêu cầu phê duyệt tài liệu kiểm soát giao diện (ICD), cho hạng mục CCTV (Closed-Circuit Television) thuộc hệ thống CCTV (Gói thầu 5.11)</t>
  </si>
  <si>
    <t>Request for Approval of the AGAC System Integration Document (ICD) - Package 5.11</t>
  </si>
  <si>
    <t>Yêu cầu phê duyệt tài liệu tích hợp hệ thống (ICD) AGAC (Gói thầu 5.11)</t>
  </si>
  <si>
    <t>Proposal for approval of naming and labeling conventions for the external cable system of the terminal</t>
  </si>
  <si>
    <t xml:space="preserve">Kiến nghị phê duyệt quy tắc đặt tên và dán nhãn cho hệ thống cáp bên ngoài nhà ga </t>
  </si>
  <si>
    <t>5/20/2026 Update =&gt; 0007A</t>
  </si>
  <si>
    <t>LTIA-5.11- LTICT-RFA-MSS-0001</t>
  </si>
  <si>
    <t>Request for approval of construction methods for 05 systems serving the domestic T&amp;C plan</t>
  </si>
  <si>
    <t>Yêu cầu phê duyệt Biện pháp thi công cho 05 hệ thống phục vụ kế hoạch T&amp;C Quốc nội</t>
  </si>
  <si>
    <t>DCH
DNE
CCTV
AGAC
PPS</t>
  </si>
  <si>
    <r>
      <t>SECTION ICT /</t>
    </r>
    <r>
      <rPr>
        <b/>
        <i/>
        <sz val="14"/>
        <color theme="1"/>
        <rFont val="Times New Roman"/>
        <family val="1"/>
      </rPr>
      <t xml:space="preserve"> HẠNG MỤC ICT</t>
    </r>
  </si>
  <si>
    <t>LTIA-5.11-LTICT-72010 -RFI-0034</t>
  </si>
  <si>
    <t>Proposal to Clarify on Structured Cabling System Cable Quantities Due to Tunnel Design Changes</t>
  </si>
  <si>
    <t>Kiến nghị Làm rõ khối lượng cáp hệ thống cáp cấu trúc do thay đổi thiết kế hầm Tunnel. </t>
  </si>
  <si>
    <t>LTIA-5.11-LTICT-72120-RFA-MAS-0015A</t>
  </si>
  <si>
    <t>Request for Re-approval of list material and equiment for CCTV - Canon Printer - Revision of equipment model</t>
  </si>
  <si>
    <t>Đề nghị phê duyệt lại danh mục vật tư và thiết bị cho Hệ thống camera giám sát (CCTV) – Máy in Canon – Thay đổi mã hiệu thiết bị</t>
  </si>
  <si>
    <t>LTIA-5.10-VIETUR-70000-RFA-OTH-0721</t>
  </si>
  <si>
    <t>Request for approval of Pre-completion inspection, testing, commissioning of Master Clock System (MCS)</t>
  </si>
  <si>
    <t>Đề nghị phê duyệt Quy trình kiểm tra trước khi hoàn thành, thử nghiệm, vận hành của Hệ thống Đồng hồ chủ (MCS)</t>
  </si>
  <si>
    <t>LTIA-5.11-LTICT-80000-RFI-0017A</t>
  </si>
  <si>
    <t>Kiến nghị bổ sung số lượng và mã hiệu Media Converter cho các hệ thống thuộc gói thầu 5.11</t>
  </si>
  <si>
    <t>10/24/2025: Đã comment
 11/25/2025 Upgrade
11/27/2025: Send comments to Contractor
 12/4/2025 Upgrade
12/17/2025 Upgrade
1/27/2026: duyệt A (tách phần mềm ra trình riêng)</t>
  </si>
  <si>
    <t>Withdraw</t>
  </si>
  <si>
    <t>6/12/2026 Updated =&gt; 0017A</t>
  </si>
  <si>
    <t>LTIA-5.10-VIETUR-70000-RFA-OTH-0725</t>
  </si>
  <si>
    <t>Request for approval of pre-completion inspection, testing, and commissioning of the ACS system</t>
  </si>
  <si>
    <t>Đề nghị phê duyệt Quy trình kiểm tra trước khi hoàn thành, thử nghiệm, vận hành của hệ thống ACS</t>
  </si>
  <si>
    <t>IMM
SCS</t>
  </si>
  <si>
    <t>LTIA-5.11-LTICT-10000-RFA-GEN-0004A</t>
  </si>
  <si>
    <t xml:space="preserve"> Request for Approval of Forms Used in Project Quality Management (Software)</t>
  </si>
  <si>
    <t>Yêu cầu phê duyệt Biểu mẫu sử dụng trong quản lý chất lượng dự án (Phần mềm)</t>
  </si>
  <si>
    <t>5/22/2026: Đã ký B
6/19/2026 Update =&gt; 0004A</t>
  </si>
  <si>
    <t>LTIA-5.11-LTICT-OTH-RFA-0008</t>
  </si>
  <si>
    <t>Proposal for approval of Extension (DN) Assignment Plan for the IP Phone System (ToIP).</t>
  </si>
  <si>
    <t>Kiến nghị phê duyệt Kế hoạch Phân bổ Số nội bộ (Extension/DN) cho hệ thống Điện thoại IP (ToIP/IPP)</t>
  </si>
  <si>
    <t>LTIA-5.11-LTICT-72190-RFI-0035</t>
  </si>
  <si>
    <t>Proposal for Conduit and Cable Routing for Vacant Space Cameras, Directional Signs, Self-Service Kiosks, and Vacancy Signboards in P1 &amp; P2 Parking Buildings</t>
  </si>
  <si>
    <t>Đề xuất phương án đi ông và kéo dây cho camera ô trống, biển chỉ dẫn, kiosk tự phục vụ và biển báo trống trong nhà xe khối P1 &amp; P2</t>
  </si>
  <si>
    <t>18/6/2026 Đã ký</t>
  </si>
  <si>
    <t>LTIA-5.10-VIETUR-70000-RFA-OTH-0712</t>
  </si>
  <si>
    <t>Request for approval of Pre-completion inspection, testing, commissioning of Structured Cabling System (SCS)</t>
  </si>
  <si>
    <t>Đề nghị phê duyệt Quy trình kiểm tra trước khi hoàn thành, thử nghiệm, vận hành của Hệ thống Cáp cấu trúc (SCS)</t>
  </si>
  <si>
    <t>6/19/2026 Đã ký C</t>
  </si>
  <si>
    <t>6/3//2026 Update
6/19/2026 Đã ký A</t>
  </si>
  <si>
    <t>1/2/2025 Update =&gt; 0318A</t>
  </si>
  <si>
    <t>9/24/2025 Update</t>
  </si>
  <si>
    <t>9/3/2025 Update</t>
  </si>
  <si>
    <t>9/22/2025 Update
11/12/2025 Update</t>
  </si>
  <si>
    <t>1/9/2026 Update</t>
  </si>
  <si>
    <t>12/25/2025 Update</t>
  </si>
  <si>
    <t>4/6/2026 Update</t>
  </si>
  <si>
    <t>1/10/2026 Update</t>
  </si>
  <si>
    <t>3/16/2026 Update</t>
  </si>
  <si>
    <t>LTIA-5.11-LTICT-RFA-OTH-0009</t>
  </si>
  <si>
    <t>Request for Approval of the Network IP Addressing and Allocation Plan for the T&amp;C Stage</t>
  </si>
  <si>
    <t>Yêu cầu phê duyệt tài liệu quy hoạch và phân bổ địa chỉ IP mạng phục vụ giai đoạn T&amp;C</t>
  </si>
  <si>
    <t>11/27/2025 Update</t>
  </si>
  <si>
    <t>9/25/2025 Update</t>
  </si>
  <si>
    <t>5/22/2025 Update</t>
  </si>
  <si>
    <t>6/20/2025 Update</t>
  </si>
  <si>
    <t>7/28/2025 Update</t>
  </si>
  <si>
    <t>9/10/2025 Update</t>
  </si>
  <si>
    <t>11/12/2025 Update</t>
  </si>
  <si>
    <t>LTIA-5.11-LTICT-72190-RFI-0018A</t>
  </si>
  <si>
    <t>Đề xuất số lượng camera ô trống, bảng chỉ dẫn, biển báo trống và kiosk tự phục vụ trong nhà xe</t>
  </si>
  <si>
    <t>6/23/2026 Update</t>
  </si>
  <si>
    <t>Proposed on the quantity of outdoor vacant parking space monitoring cameras, AI-based parking and stopping monitoring cameras, and vacant parking signage for outdoor parking areas</t>
  </si>
  <si>
    <t>Đề xuất số lượng camera giám sát ô trống ngoài trời, camera AI giám sát dừng đỗ và biển báo trống bãi đỗ xe ngoài nhà</t>
  </si>
  <si>
    <t>6/23/2026 Withdraw</t>
  </si>
  <si>
    <t>LTIA-5.11-LTICT-72100-RFI-0011</t>
  </si>
  <si>
    <t>6/24/2026 Withdraw</t>
  </si>
  <si>
    <t>LTIA-5.11-LTICT-OTH-RFA-0010</t>
  </si>
  <si>
    <t>Request for Approval of the Optical Fiber Testing Procedures and Report Templates for the Structured Cabling System (SCS) and SCADA</t>
  </si>
  <si>
    <t>Kiến nghị phê duyệt quy trình và mẫu biểu báo cáo đo kiểm cáp quang của hệ thống cáp cấu trúc (SCS) và SCADA</t>
  </si>
  <si>
    <t>LTIA-5.11-LTICT-72190-RFI-0025A</t>
  </si>
  <si>
    <t>Proposal for Connection Solution of Outdoor Parking Lot Cameras, AI cameras for parking/ stopping monitoring, and grounding system for lightning protection of outdoor parking lot cameras</t>
  </si>
  <si>
    <t>Đề xuất phương án kết nối camera bãi xe ngoài nhà, camera AI giám sát dừng đỗ và bãi tiếp địa chống sét cho camera bãi xe ngoài nhà</t>
  </si>
  <si>
    <t>Proposal for the Addition of Media Converter Quantities and Model Numbers for Systems under Package 5.11</t>
  </si>
  <si>
    <t>Kiến nghị bổ sung số lượng và mã hiệu Media Converter cho các hệ thống thuộc gói thầu 5.11</t>
  </si>
  <si>
    <t>LTIA-5.11-LTICT-72020-RFA-SDS-0001</t>
  </si>
  <si>
    <t>Request for Approval of Step 3 Detailed Design Drawings for the DNE System</t>
  </si>
  <si>
    <t>Kiến nghị phê duyệt bản vẽ Thiết kế bước 3 hệ thống DNE</t>
  </si>
  <si>
    <t>LTIA-5.11-LTICT-71110-RFA-MAS-0018</t>
  </si>
  <si>
    <t>Đề nghị phê duyệt danh mục vật tư và thiết bị cho Hệ thống thu phí.</t>
  </si>
  <si>
    <t>LTIA-5.11-LTICT-PPS-71000-RFA-ICD-0001</t>
  </si>
  <si>
    <t xml:space="preserve">Request for approval of the ICD for the Check-in Island LED Display System </t>
  </si>
  <si>
    <t>Yêu cầu phê duyệt ICD cho hệ thống màn hình LED tại đảo check-in</t>
  </si>
  <si>
    <t xml:space="preserve">2/26/2026 Soft Update
7/2/2026 Họp giao bang và trao đổi bản vẽ =&gt; sẽ withdraw và làm trước bản draft Check-in 1
7/5/2026 Withdraw  </t>
  </si>
  <si>
    <t>Withdraw
29/5/2026 JAC Đã gửi comments qua mail cho nhà thầu điều chỉnh
6/1/2026 Update
6/16/2026 Update
7/3/2026 Họp bên PNCN1 =&gt; bộ này sẽ withdraw =&gt; mockup và biên bản thi công hiện trường
7/7/2026 Withdraw</t>
  </si>
  <si>
    <t>LTIA-5.10-VIETUR-70000-RFA-OTH-0732</t>
  </si>
  <si>
    <t>Request for approval of Hight level building management system (HBMS) Graphic User Interface (GUI)</t>
  </si>
  <si>
    <t>Đề nghị phê duyệt giao diện đồ họa người dùng (GUI) Hệ thống quản lý tòa nhà bậc cao (HBMS)</t>
  </si>
  <si>
    <t>6/25/2026 Đã ký</t>
  </si>
  <si>
    <t>LTIA-5.10-VIETUR-70000-RFA-OTH-0733</t>
  </si>
  <si>
    <t>Đề nghị phê duyệt Kiểm tra trước khi hoàn thành, thử nghiệm và vận hành: + Phần 70000 – Công tác ICT/ Mục 72000 – Hệ thống điện nhẹ (ELV) &amp; Truyền thông/ Tiểu mục 72160 – Hệ thống báo cháy (FAS)</t>
  </si>
  <si>
    <t>LTIA-5.10-VIETUR-70000-RFI-0973</t>
  </si>
  <si>
    <t>Clarification of information on the Automated Border Control Gate (ABCG) of the Automated Gate Access Control (AGAC) for HBMS Integration</t>
  </si>
  <si>
    <t>AGAC
HBMS</t>
  </si>
  <si>
    <t>Làm rõ thông tin về Cổng kiểm soát biên giới tự động (ABCG) của Hệ thống cửa truy cập tự động (AGAC) để tích hợp HBMS</t>
  </si>
  <si>
    <t>x</t>
  </si>
  <si>
    <t>Nhà thầu gưi rmail withdraw 7/9/2026</t>
  </si>
  <si>
    <t>LTIA-5.11-LTICT-80000-RFI-0036</t>
  </si>
  <si>
    <t>Proposal for approval of the naming and labeling conventions for the terminal devices of the Aviation and Non-Aviation systems inside the passenger terminal building of Long Thanh International Airport</t>
  </si>
  <si>
    <t>Kiến nghị phê duyệt quy tắc đặt tên và nhãn dán cho thiết bị đầu cuối của hệ Hàng Không và Phi Hàng Không bên trong nhà ga hành khách thuộc sân bay Quốc tế Long Thành</t>
  </si>
  <si>
    <t>10/23/2025: Đã comment
 11/17/2025 Upgrade
11/27/2025: Send comments to Contractor
 12/15/2025 Upgrade 
2/9/2026: duyệt A (tách phần mềm ra trình riêng)
7/13/2026 Update =&gt; 5 mục vật tư chuyển sang MAS-0018</t>
  </si>
  <si>
    <t xml:space="preserve">5/22/2026: Đã ký A
7/13/2026: PMU mất hồ sơ nhờ ký lại </t>
  </si>
  <si>
    <t>6/25/2026 Update
7/14/2026 Đã ký C</t>
  </si>
  <si>
    <t>6/2/2026 JAC Đã gửi comments qua mail cho nhà thầu điều chỉnh
6/27/2026 Update
7/14/2026 Đã ký</t>
  </si>
  <si>
    <t>7/16/2026 Đã ký B</t>
  </si>
  <si>
    <t>LTIA-5.10-VIETUR-72160-RFI-0974</t>
  </si>
  <si>
    <t>Fire Alarm System – Clarify the information regarding the supply and installation of optical equipment for the FAS rooms and the FCC rooms</t>
  </si>
  <si>
    <t>Hệ thống báo cháy – Làm rõ thông tin cung cấp, lắp đặt thiết bị quang cho các phòng FAS, FCC</t>
  </si>
  <si>
    <t>Proposal for the Quantity of Outdoor Vacant Parking Space Monitoring Cameras, AI-Based Parking and Stopping Monitoring Cameras, and Vacant Parking Signage for Outdoor Parking Areas (Revised Camera Quantity)</t>
  </si>
  <si>
    <t>Đề xuất số lượng camera ô trống, bảng chỉ dẫn, biển báo trống và kiosk tự phục vụ trong nhà xe (cập nhật thay đổi số lượng thiết bị cánh P1&amp;P2)</t>
  </si>
  <si>
    <t>CCTV
Smart Parking</t>
  </si>
  <si>
    <t>7/27/2026: Withdraw (request by PMU) =&gt; MAS-0015</t>
  </si>
  <si>
    <t>LTIA-5.11-LTICT-71000-RFA-MAS-0019</t>
  </si>
  <si>
    <t>Request for approval of the Daifuku Software List for the Passenger Processing System (PPS)</t>
  </si>
  <si>
    <t>Đề nghị phê duyệt danh mục phần mềm Daifuku cho Hệ thống xử lý hành khách (PPS) </t>
  </si>
  <si>
    <t>4/24/2026: Đã duyệt A
5/24/2026: Updated
Đang chờ nhà thầu yêu cầu nhà cung cấp phát hành thư đảm bảo support đến 10 năm
6/12/2026 Updated =&gt; 0015A
7/27/2026: đã ký A</t>
  </si>
  <si>
    <t>Proposed an underground power cable route option for the electronic toll collection system and the signal transmission infrastructure from stations to the data center (Updated and Adjusted Power Supply Arrangements in Accordance with the Agreement Minutes with Packages 4.8 and 11.5)</t>
  </si>
  <si>
    <t>Đề xuất phương án tuyến cáp ngầm cấp nguồn cho hệ thống thu phí không dừng và hạ tầng truyền dẫn tín hiệu từ các trạm về trung tâm dữ liệu (cập nhật và điều chỉnh cấp nguồn theo biên bản thỏa thuận với gói thầu 4.8 và 11.5)</t>
  </si>
  <si>
    <t>LTIA-5.11- 71110 -RFI-0022A</t>
  </si>
  <si>
    <t>8/11/2026 Update</t>
  </si>
  <si>
    <t>LTIA-5.11-LTICT-70000 -RFI-0037</t>
  </si>
  <si>
    <t>Proposed construction drawing naming convention</t>
  </si>
  <si>
    <t>Đề xuất nguyên tắc đặt tên bản vẽ thi công</t>
  </si>
  <si>
    <t>LTIA-5.10-VIETUR-70000-RFA-OTH-0725A</t>
  </si>
  <si>
    <t>LTIA-5.10-VIETUR-70000-RFA-OTH-0712A</t>
  </si>
  <si>
    <t>LTIA-5.11-LTICT-RFA-OTH-0011</t>
  </si>
  <si>
    <t>Request for Approval of Layout (Presentation Arrangement) for Outdoor Parking Availability Signboard, Indoor Parking Availability Signboard, and LED Guidance Display Board.</t>
  </si>
  <si>
    <t>Đề nghị phê duyệt phương án trình bày cho Bảng báo trống ngoài trời, Bảng báo trống trong nhà và Bảng LED chỉ dẫn.</t>
  </si>
  <si>
    <t>LTIA-5.10-VIETUR-70000-RFA-MAS-0814</t>
  </si>
  <si>
    <t>Request for approval to add an additional brand for the equipment support bracket (Beam detector mounting bracket) of the fire alarm system</t>
  </si>
  <si>
    <t>Đề nghị phê duyệt bổ sung thêm nhãn hiệu cho giá đỡ thiết bị (giá đỡ đầu Beam) của hệ thống báo cháy</t>
  </si>
  <si>
    <t>Request for Approval of Proposed Motorcycle Parking Card Printing Options.</t>
  </si>
  <si>
    <t>Đề nghị phê duyệt các phương án in thẻ xe máy.</t>
  </si>
  <si>
    <t>LTIA-5.10-VIETUR-72150-RFA-OTH-0750</t>
  </si>
  <si>
    <t>Request for Approval of the Pre-Completion Inspection, Testing, and Commissioning Procedure for the Public Address System (PAS)</t>
  </si>
  <si>
    <t>Đề nghị phê duyệt Quy trình kiểm tra trước khi hoàn thành, thử nghiệm, vận hành hệ thống Âm Thanh Thông báo</t>
  </si>
  <si>
    <t>LTIA-5.10-VIETUR-72160-RFI-0992</t>
  </si>
  <si>
    <t>Fire Alarm System - Request to change the country of origin of the fire alarm control panel</t>
  </si>
  <si>
    <t>Hệ thống báo cháy - Đề nghị thay đổi xuất xứ tủ điều khiển báo cháy</t>
  </si>
  <si>
    <t>LTIA-5.10-VIETUR-70000-RFA-OTH-0754</t>
  </si>
  <si>
    <t>LTIA-5.10-VIETUR-70000-RFA-OTH-0721A</t>
  </si>
  <si>
    <t>LTIA-5.10-VIETUR-80000-RFA-SDS-0417A</t>
  </si>
  <si>
    <t>Construction design drawing of  ICT system – part.1: ICT systems for PAS Rack Cabinet Layout</t>
  </si>
  <si>
    <t>LTIA-5.10-VIETUR-70000-RFA-OTH-0757</t>
  </si>
  <si>
    <t>Request for approval Pre-completion inspection, testing, and commissioning: + Section 70000 – ICT works/ Subsection 72000 – Extra-low Voltage System (ELV) and Communication/ Division 72160 – Fire Alarm System (FAS)</t>
  </si>
  <si>
    <t>Mr Cường + Hưởng + Kuroda + Ochiai</t>
  </si>
  <si>
    <t>6/25/2026 Đã ký A
8/11/2026 Update
9/9/2026: Đã ký A</t>
  </si>
  <si>
    <t xml:space="preserve">LTIA-5.10-VIETUR-70000-RFA-MAS-0821 </t>
  </si>
  <si>
    <t>Request for approval of additional ICT cable – ELV System</t>
  </si>
  <si>
    <t>Đề nghị phê duyệt bổ sung vật tư cáp điện nhẹ - Hệ thống điện nhẹ</t>
  </si>
  <si>
    <t>Construction design drawing of  ICT system – part.1: ICT systems for IMM Schematic Diagram Drawing</t>
  </si>
  <si>
    <t>Bản vẽ TKTC cho hệ thống ICT – phần 1 – Hệ thống ICT cho SDNL Công An Cửa Khẩu - Hải Quan</t>
  </si>
  <si>
    <t>LTIA-5.10-VIETUR-80000-RFA-SDS-0484</t>
  </si>
  <si>
    <t>Construction design drawing of  ICT system – part.1: ICT systems for 1F, 2F Technical Room Drawing</t>
  </si>
  <si>
    <t>Bản vẽ TKTC cho hệ thống ICT – phần 1 – Hệ thống ICT cho Bản Vẽ Phòng Kỹ Thuật Tầng 1, 2</t>
  </si>
  <si>
    <t>LTIA-5.11-LTICT-72100-RFA-SDS-0001</t>
  </si>
  <si>
    <t>Request for Approval of Construction Drawings for the PMR System</t>
  </si>
  <si>
    <t>Đề nghị phê duyệt bản vẽ thi công cho hệ thống bộ đàm (PMR)</t>
  </si>
  <si>
    <t xml:space="preserve">  LTIA-5.10-VIETUR-80000-RFA-SDS-0394A</t>
  </si>
  <si>
    <t>Construction design drawing of  ICT system – part.1: ICT systems for Schematic Diagram Public Address System (PAS)</t>
  </si>
  <si>
    <t xml:space="preserve">Request for approvalRequest for approval Pre-completion inspection, testing, and commissioning: + Section 70000 – ICT works/ Subsection 72000 – Extra-low Voltage System (ELV) and Communication/ Division 72160 – Fire Alarm System (FAS) </t>
  </si>
  <si>
    <t>7/13/2026 Withdraw</t>
  </si>
  <si>
    <t>Withdraw - Resubmit 
RFA-OTH-0721A</t>
  </si>
  <si>
    <t xml:space="preserve"> LTIA-5.11-LTICT-71110-RFA-MAS-0021</t>
  </si>
  <si>
    <t>Request for approval of list material and equiment for Toll collection system</t>
  </si>
  <si>
    <t>9/24/2026 Withdraw
Resubmit RFA-OTH-0733A</t>
  </si>
  <si>
    <t>LTIA-5.10-VIETUR-70000-RFA-OTH-0733A</t>
  </si>
  <si>
    <t>Out of scope ICT
Đã được chuyển sang bên Kiến trúc</t>
  </si>
  <si>
    <t>Nhà thầu cần trình cho MSI phê duyệt trước khi chuyển qua cho TVGS.
Không tìm thấy hồ sơ đệ trình</t>
  </si>
  <si>
    <t>O</t>
  </si>
  <si>
    <t>11/12/2025 Đã comments
12/23/2025 Update
Withdraw</t>
  </si>
  <si>
    <t>LTIA-5.10-VIETUR-70000-RFA-MAS-0696A</t>
  </si>
  <si>
    <t>Request for approval Materials of Fire Alarm System (FAS) – Workstation</t>
  </si>
  <si>
    <t>Đề nghị phê duyệt vật tư hệ thống báo cháy – Máy Trạm</t>
  </si>
  <si>
    <t>LTIA-5.10-VIETUR-72160-RFI-1014</t>
  </si>
  <si>
    <t>Proposed to enhance the cable tray system to meet the space requirement for cable installation for Fire Alarm System (FAS)</t>
  </si>
  <si>
    <t>Đề xuất tăng cường hệ thống máng cáp để đáp ứng về không gian lắp đặt cáp cho hệ thống báo cháy (FAS)</t>
  </si>
  <si>
    <t>9/30/2026 Đã ký C</t>
  </si>
  <si>
    <t>9/22/2026 Đã ký A</t>
  </si>
  <si>
    <t>9/14/2026 Update
9/24/2026 Đã ký A</t>
  </si>
  <si>
    <t>9/9/2026 Đã ký C</t>
  </si>
  <si>
    <t>8/26/2026 Đã ký RFCS</t>
  </si>
  <si>
    <t>8/25/2026 Đã ký B</t>
  </si>
  <si>
    <t>8/25/2026 Đã ký RFCS</t>
  </si>
  <si>
    <t>7/27/2026 Update
8/11/2026 Update
8/10/2026 Đã ký RFCS</t>
  </si>
  <si>
    <t>8/10/2026 Đã ký A</t>
  </si>
  <si>
    <t>7/28/2026: Đã ký RFCS</t>
  </si>
  <si>
    <t>7/24/2026 Update: The quantities of the outdoor parking vacancy surveillance cameras and the AI parking monitoring cameras have been updated
7/30/2026: Đã ký RFCS</t>
  </si>
  <si>
    <t>8/4/2026: Đã ký RFCS</t>
  </si>
  <si>
    <t>26/1/2026 Withdraw
1/13/2026: Resubmit
7/21/2026 Đã ký RFCS</t>
  </si>
  <si>
    <t>9/30/2026 Đã cmt và gửi cho CNC
10/01/2026 Đã ký A</t>
  </si>
  <si>
    <t>9/28/2026 Đã cmt và gửi cho CNC
9/29/2026 Đã ký C</t>
  </si>
  <si>
    <t>9/8/2026 Update
9/24/2026 Update
9/25/2026 Đã cmt và gửi cho CNC
9/29/2026 Đã ký B</t>
  </si>
  <si>
    <t>LTIA-5.11- LTICT- 72100-RFA-MSS-0002</t>
  </si>
  <si>
    <t>Request for Approval of the Method Statement for the PMR Radio System</t>
  </si>
  <si>
    <t>Yêu cầu phê duyệt Biện pháp thi công cho hệ thống Bộ đàm (PMR)</t>
  </si>
  <si>
    <t>9/29/2026 Đã cmt và gửi cho CNC
10/2/2026 Đã ký A</t>
  </si>
  <si>
    <t>9/15/2026 Update
9/28/2026 Update
10/1/2026 Đã cmt và gửi cho CNC
10/1/2026 Đã ký RFCS</t>
  </si>
  <si>
    <t>10/2/2026 Đã ký C</t>
  </si>
  <si>
    <t>Request for Approval of the Method Statement for the Structured Cable System</t>
  </si>
  <si>
    <t>Yêu cầu phê duyệt Biện pháp thi công cho hệ thống Cáp cấu trúc (SCS)</t>
  </si>
  <si>
    <t>LTIA-5.11-LTICT- 72010 -RFA-MSS-0003</t>
  </si>
  <si>
    <t>LTIA-5.11-LTICT- 72120 -RFA-MSS-0004</t>
  </si>
  <si>
    <t>Request for Approval of the Method Statement for the CCTV System</t>
  </si>
  <si>
    <t>Yêu cầu phê duyệt Biện pháp thi công cho hệ thống Camera giám sát (CCTV)</t>
  </si>
  <si>
    <t>LTIA-5.11-LTICT-70100-RFA-MSS-0007</t>
  </si>
  <si>
    <t>Request for Approval of the Method Statement for the AGAC System</t>
  </si>
  <si>
    <t>Yêu cầu phê duyệt Biện pháp thi công cho hệ thống cửa truy cập tự động (AGAC)</t>
  </si>
  <si>
    <t>LTIA-5.11-LTICT- 72190 -RFA-MSS-0005</t>
  </si>
  <si>
    <t>Request for Approval of the Method Statement for the Smart Parking System</t>
  </si>
  <si>
    <t>Yêu cầu phê duyệt Biện pháp thi công cho hệ thống Bãi đỗ xe thông minh</t>
  </si>
  <si>
    <t>LTIA-5.11-LTICT- 71110 -RFA-MSS-0006</t>
  </si>
  <si>
    <t>Request for Approval of the Method Statement for the Toll Collection System</t>
  </si>
  <si>
    <t>Yêu cầu phê duyệt Biện pháp thi công cho hệ thống Thu phí</t>
  </si>
  <si>
    <t>LTIA-5.11-LTICT- 71110 -RFA-OTH-0012A</t>
  </si>
  <si>
    <t>Request for Approval of the motorcycle card printing proposal</t>
  </si>
  <si>
    <t>Yêu cầu phê duyệt Thiết kê in thẻ xe máy</t>
  </si>
  <si>
    <t>LTIA-5.11-LTICT-71110-RFI-0038</t>
  </si>
  <si>
    <t>Proposal regarding the location and number of toll booths to be installed at Gantry B and the motorbike parking area (Locations XM21-22, XM41-42)</t>
  </si>
  <si>
    <t>Đề xuất vị trí và số lượng cabin thu phí lắp đặt tại vị trí Giá long môn B và nhà để xe máy(Vị trí XM21-22, XM41-42)</t>
  </si>
  <si>
    <t>10/7/2026 Đã cmt và gửi cho CNC
10/8/2026 Đã ký C</t>
  </si>
  <si>
    <t>9/29/2026 Đã ký C
10/8/2026 Update
10/8/2026 Đã ký A</t>
  </si>
  <si>
    <t>10/9/2026 Update</t>
  </si>
  <si>
    <t>LTIA-5.11-LTICT-80000 -RFI-0037A</t>
  </si>
  <si>
    <t>Proposed construction drawing naming convention.</t>
  </si>
  <si>
    <t>Đề xuất nguyên tắc đặt tên bản vẽ thi công.</t>
  </si>
  <si>
    <t>LTIA-5.10-VIETUR-80000-RFA-SDS-0493</t>
  </si>
  <si>
    <t>Construction design drawing of  ICT system – part.1: ICT systems for GF, 3F, FLB Technical Room Drawing</t>
  </si>
  <si>
    <t>Bản vẽ TKTC cho hệ thống ICT – phần 1 – Hệ thống ICT cho Bản Vẽ Phòng Kỹ Thuật Tầng GF, Tầng 3, FLB</t>
  </si>
  <si>
    <t>10/12/2026: Đã comment</t>
  </si>
  <si>
    <t>10/12/2026: Đã comment
10/13/2026: Đã gửi comment qua CNC</t>
  </si>
  <si>
    <t>10/14/2026: Đã ký RFCS</t>
  </si>
  <si>
    <t>10/14/2026: Đã ký A</t>
  </si>
  <si>
    <t>LTIA-5.11-LTICT- 71110 -RFA-OTH-0012</t>
  </si>
  <si>
    <t>LTIA-5.11-LTICT-72190-RFI-0039</t>
  </si>
  <si>
    <t>Recommendations regarding the replacement of the converter model in the Smart Parking system</t>
  </si>
  <si>
    <t>Kiến nghị thay đổi mã hiệu media converter cho hệ thống Smart Parking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</si>
</sst>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8">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b/>
      <sz val="14"/>
      <color theme="1"/>
      <name val="Times New Roman"/>
      <family val="1"/>
    </font>
    <font>
      <sz val="8"/>
      <name val="Calibri"/>
      <family val="2"/>
      <scheme val="minor"/>
    </font>
    <font>
      <sz val="12"/>
      <color rgb="FFFF0000"/>
      <name val="Times New Roman"/>
      <family val="1"/>
    </font>
    <font>
      <sz val="11"/>
      <color theme="1"/>
      <name val="Calibri"/>
      <family val="2"/>
      <scheme val="minor"/>
    </font>
    <font>
      <sz val="11"/>
      <name val="Times New Roman"/>
      <family val="1"/>
    </font>
    <font>
      <sz val="12"/>
      <name val="Times New Roman"/>
      <family val="1"/>
    </font>
    <font>
      <i/>
      <sz val="12"/>
      <name val="Times New Roman"/>
      <family val="1"/>
    </font>
    <font>
      <b/>
      <sz val="12"/>
      <name val="Times New Roman"/>
      <family val="1"/>
    </font>
    <font>
      <sz val="11"/>
      <color theme="9"/>
      <name val="Times New Roman"/>
      <family val="1"/>
    </font>
    <font>
      <sz val="11"/>
      <color theme="4"/>
      <name val="Times New Roman"/>
      <family val="1"/>
    </font>
    <font>
      <sz val="11"/>
      <color rgb="FFFF0000"/>
      <name val="Times New Roman"/>
      <family val="1"/>
    </font>
    <font>
      <u/>
      <sz val="11"/>
      <color theme="10"/>
      <name val="Calibri"/>
      <family val="2"/>
      <scheme val="minor"/>
    </font>
    <font>
      <b/>
      <sz val="11"/>
      <color theme="1"/>
      <name val="Calibri"/>
      <family val="2"/>
      <scheme val="minor"/>
    </font>
    <font>
      <b/>
      <sz val="11"/>
      <name val="Times New Roman"/>
      <family val="1"/>
    </font>
    <font>
      <sz val="12"/>
      <color rgb="FF92D050"/>
      <name val="Times New Roman"/>
      <family val="1"/>
    </font>
    <font>
      <sz val="12"/>
      <color rgb="FF0070C0"/>
      <name val="Times New Roman"/>
      <family val="1"/>
    </font>
    <font>
      <sz val="12"/>
      <color rgb="FFC00000"/>
      <name val="Times New Roman"/>
      <family val="1"/>
    </font>
    <font>
      <b/>
      <sz val="11"/>
      <color theme="1"/>
      <name val="Times New Roman"/>
      <family val="1"/>
    </font>
    <font>
      <u/>
      <sz val="12"/>
      <color theme="10"/>
      <name val="Calibri"/>
      <family val="2"/>
      <scheme val="minor"/>
    </font>
    <font>
      <sz val="12"/>
      <name val="Calibri"/>
      <family val="2"/>
      <scheme val="minor"/>
    </font>
    <font>
      <u/>
      <sz val="12"/>
      <color theme="10"/>
      <name val="Calibri"/>
      <family val="2"/>
      <charset val="163"/>
      <scheme val="minor"/>
    </font>
    <font>
      <u/>
      <sz val="12"/>
      <name val="Calibri"/>
      <family val="2"/>
      <charset val="163"/>
      <scheme val="minor"/>
    </font>
    <font>
      <u/>
      <sz val="12"/>
      <name val="Times New Roman"/>
      <family val="1"/>
      <charset val="163"/>
    </font>
    <font>
      <sz val="11"/>
      <color rgb="FFFF0000"/>
      <name val="Calibri"/>
      <family val="2"/>
      <scheme val="minor"/>
    </font>
    <font>
      <sz val="11"/>
      <color theme="9"/>
      <name val="Calibri"/>
      <family val="2"/>
      <scheme val="minor"/>
    </font>
    <font>
      <sz val="11"/>
      <name val="Calibri"/>
      <family val="2"/>
      <scheme val="minor"/>
    </font>
    <font>
      <sz val="11"/>
      <color rgb="FF0070C0"/>
      <name val="Calibri"/>
      <family val="2"/>
      <scheme val="minor"/>
    </font>
    <font>
      <b/>
      <sz val="11"/>
      <name val="Calibri"/>
      <family val="2"/>
      <scheme val="minor"/>
    </font>
    <font>
      <sz val="12"/>
      <color theme="5"/>
      <name val="Times New Roman"/>
      <family val="1"/>
    </font>
    <font>
      <sz val="11"/>
      <color theme="5"/>
      <name val="Calibri"/>
      <family val="2"/>
      <scheme val="minor"/>
    </font>
    <font>
      <sz val="11"/>
      <name val="Calibri"/>
      <family val="2"/>
      <charset val="163"/>
      <scheme val="minor"/>
    </font>
    <font>
      <sz val="12"/>
      <color rgb="FF92D050"/>
      <name val="Times New Roman"/>
      <family val="1"/>
      <charset val="163"/>
    </font>
    <font>
      <sz val="12"/>
      <color theme="1"/>
      <name val="Times New Roman"/>
      <family val="1"/>
      <charset val="163"/>
    </font>
    <font>
      <sz val="11"/>
      <color rgb="FF92D050"/>
      <name val="Times New Roman"/>
      <family val="1"/>
      <charset val="163"/>
    </font>
    <font>
      <sz val="11"/>
      <color rgb="FF92D050"/>
      <name val="Calibri"/>
      <family val="2"/>
      <charset val="163"/>
      <scheme val="minor"/>
    </font>
    <font>
      <sz val="12"/>
      <color theme="5"/>
      <name val="Times New Roman"/>
      <family val="1"/>
      <charset val="163"/>
    </font>
    <font>
      <sz val="11"/>
      <color theme="5"/>
      <name val="Calibri"/>
      <family val="2"/>
      <charset val="163"/>
      <scheme val="minor"/>
    </font>
    <font>
      <i/>
      <sz val="11"/>
      <name val="Times New Roman"/>
      <family val="1"/>
    </font>
    <font>
      <i/>
      <sz val="12"/>
      <color theme="1"/>
      <name val="Times New Roman"/>
      <family val="1"/>
    </font>
    <font>
      <b/>
      <i/>
      <sz val="12"/>
      <color theme="1"/>
      <name val="Times New Roman"/>
      <family val="1"/>
    </font>
    <font>
      <b/>
      <i/>
      <sz val="12"/>
      <name val="Times New Roman"/>
      <family val="1"/>
    </font>
    <font>
      <b/>
      <i/>
      <sz val="14"/>
      <color theme="1"/>
      <name val="Times New Roman"/>
      <family val="1"/>
    </font>
    <font>
      <b/>
      <sz val="11"/>
      <color theme="4"/>
      <name val="Times New Roman"/>
      <family val="1"/>
    </font>
    <font>
      <i/>
      <sz val="11"/>
      <color theme="4"/>
      <name val="Times New Roman"/>
      <family val="1"/>
    </font>
    <font>
      <b/>
      <sz val="11"/>
      <color rgb="FFFF0000"/>
      <name val="Times New Roman"/>
      <family val="1"/>
    </font>
    <font>
      <i/>
      <sz val="11"/>
      <color rgb="FFFF0000"/>
      <name val="Times New Roman"/>
      <family val="1"/>
    </font>
    <font>
      <b/>
      <sz val="12"/>
      <color theme="5"/>
      <name val="Times New Roman"/>
      <family val="1"/>
    </font>
    <font>
      <i/>
      <sz val="12"/>
      <color theme="5"/>
      <name val="Times New Roman"/>
      <family val="1"/>
    </font>
    <font>
      <sz val="11"/>
      <color rgb="FF92D050"/>
      <name val="Times New Roman"/>
      <family val="1"/>
    </font>
    <font>
      <b/>
      <sz val="11"/>
      <color rgb="FF92D050"/>
      <name val="Times New Roman"/>
      <family val="1"/>
    </font>
    <font>
      <i/>
      <sz val="11"/>
      <color rgb="FF92D050"/>
      <name val="Times New Roman"/>
      <family val="1"/>
    </font>
    <font>
      <b/>
      <sz val="11"/>
      <color theme="1"/>
      <name val="Calibri"/>
      <family val="2"/>
      <charset val="163"/>
      <scheme val="minor"/>
    </font>
    <font>
      <b/>
      <sz val="12"/>
      <color theme="1"/>
      <name val="Times New Roman"/>
      <family val="1"/>
      <charset val="163"/>
    </font>
    <font>
      <b/>
      <sz val="14"/>
      <color theme="1"/>
      <name val="Times New Roman"/>
      <family val="1"/>
      <charset val="163"/>
    </font>
    <font>
      <b/>
      <sz val="12"/>
      <name val="Times New Roman"/>
      <family val="1"/>
      <charset val="163"/>
    </font>
    <font>
      <b/>
      <u/>
      <sz val="12"/>
      <color theme="10"/>
      <name val="Times New Roman"/>
      <family val="1"/>
    </font>
    <font>
      <b/>
      <u/>
      <sz val="12"/>
      <name val="Times New Roman"/>
      <family val="1"/>
    </font>
    <font>
      <b/>
      <sz val="12"/>
      <color theme="10"/>
      <name val="Times New Roman"/>
      <family val="1"/>
    </font>
    <font>
      <b/>
      <sz val="12"/>
      <color theme="10"/>
      <name val="Times New Roman"/>
      <family val="1"/>
      <charset val="163"/>
    </font>
    <font>
      <b/>
      <sz val="11"/>
      <name val="Times New Roman"/>
      <family val="1"/>
      <charset val="163"/>
    </font>
    <font>
      <b/>
      <u/>
      <sz val="11"/>
      <color theme="10"/>
      <name val="Calibri"/>
      <family val="2"/>
      <charset val="163"/>
      <scheme val="minor"/>
    </font>
    <font>
      <b/>
      <sz val="16"/>
      <color theme="1"/>
      <name val="Times New Roman"/>
      <family val="1"/>
      <charset val="163"/>
    </font>
    <font>
      <i/>
      <vertAlign val="superscript"/>
      <sz val="12"/>
      <name val="Times New Roman"/>
      <family val="1"/>
    </font>
    <font>
      <sz val="16"/>
      <color theme="1"/>
      <name val="Times New Roman"/>
      <family val="1"/>
      <charset val="163"/>
    </font>
    <font>
      <sz val="11"/>
      <color theme="1"/>
      <name val="Times New Roman"/>
      <family val="1"/>
      <charset val="163"/>
    </font>
    <font>
      <u/>
      <sz val="11"/>
      <color theme="10"/>
      <name val="Calibri"/>
      <family val="2"/>
      <charset val="163"/>
      <scheme val="minor"/>
    </font>
    <font>
      <sz val="14"/>
      <color theme="1"/>
      <name val="Times New Roman"/>
      <family val="1"/>
      <charset val="163"/>
    </font>
    <font>
      <sz val="6"/>
      <name val="Calibri"/>
      <family val="3"/>
      <charset val="128"/>
      <scheme val="minor"/>
    </font>
    <font>
      <sz val="12"/>
      <color theme="1"/>
      <name val="Calibri"/>
      <family val="2"/>
    </font>
    <font>
      <sz val="6"/>
      <name val="Calibri"/>
      <family val="2"/>
      <charset val="128"/>
      <scheme val="minor"/>
    </font>
    <font>
      <sz val="12"/>
      <color rgb="FF000000"/>
      <name val="Calibri"/>
      <family val="2"/>
    </font>
    <font>
      <sz val="11"/>
      <color rgb="FFFF0000"/>
      <name val="游ゴシック"/>
      <family val="3"/>
      <charset val="128"/>
    </font>
    <font>
      <sz val="11"/>
      <color theme="1"/>
      <name val="游ゴシック"/>
      <family val="3"/>
      <charset val="128"/>
    </font>
    <font>
      <sz val="12"/>
      <name val="Times New Roman"/>
      <family val="1"/>
      <charset val="163"/>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bottom style="thin">
        <color auto="1"/>
      </bottom>
      <diagonal/>
    </border>
    <border>
      <left style="thin">
        <color auto="1"/>
      </left>
      <right style="medium">
        <color indexed="64"/>
      </right>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auto="1"/>
      </right>
      <top/>
      <bottom style="thin">
        <color auto="1"/>
      </bottom>
      <diagonal/>
    </border>
    <border>
      <left/>
      <right style="thin">
        <color auto="1"/>
      </right>
      <top/>
      <bottom style="thin">
        <color auto="1"/>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auto="1"/>
      </right>
      <top/>
      <bottom style="medium">
        <color indexed="64"/>
      </bottom>
      <diagonal/>
    </border>
    <border>
      <left style="thin">
        <color auto="1"/>
      </left>
      <right/>
      <top/>
      <bottom style="medium">
        <color indexed="64"/>
      </bottom>
      <diagonal/>
    </border>
    <border>
      <left/>
      <right style="thin">
        <color auto="1"/>
      </right>
      <top/>
      <bottom style="medium">
        <color indexed="64"/>
      </bottom>
      <diagonal/>
    </border>
    <border>
      <left style="thin">
        <color auto="1"/>
      </left>
      <right style="thin">
        <color auto="1"/>
      </right>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right style="medium">
        <color indexed="64"/>
      </right>
      <top/>
      <bottom style="medium">
        <color indexed="64"/>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thin">
        <color auto="1"/>
      </left>
      <right style="thin">
        <color auto="1"/>
      </right>
      <top style="medium">
        <color indexed="64"/>
      </top>
      <bottom/>
      <diagonal/>
    </border>
    <border>
      <left/>
      <right/>
      <top style="medium">
        <color indexed="64"/>
      </top>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style="thin">
        <color auto="1"/>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top style="thin">
        <color auto="1"/>
      </top>
      <bottom style="medium">
        <color indexed="64"/>
      </bottom>
      <diagonal/>
    </border>
    <border>
      <left/>
      <right/>
      <top style="medium">
        <color indexed="64"/>
      </top>
      <bottom style="thin">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top/>
      <bottom/>
      <diagonal/>
    </border>
    <border>
      <left style="thin">
        <color auto="1"/>
      </left>
      <right/>
      <top style="medium">
        <color indexed="64"/>
      </top>
      <bottom style="thin">
        <color auto="1"/>
      </bottom>
      <diagonal/>
    </border>
    <border>
      <left/>
      <right style="thin">
        <color auto="1"/>
      </right>
      <top style="thin">
        <color auto="1"/>
      </top>
      <bottom style="medium">
        <color indexed="64"/>
      </bottom>
      <diagonal/>
    </border>
  </borders>
  <cellStyleXfs count="4">
    <xf numFmtId="0" fontId="0" fillId="0" borderId="0"/>
    <xf numFmtId="0" fontId="7" fillId="0" borderId="0"/>
    <xf numFmtId="0" fontId="15" fillId="0" borderId="0" applyNumberFormat="0" applyFill="0" applyBorder="0" applyAlignment="0" applyProtection="0"/>
    <xf numFmtId="38" fontId="7" fillId="0" borderId="0" applyFont="0" applyFill="0" applyBorder="0" applyAlignment="0" applyProtection="0">
      <alignment vertical="center"/>
    </xf>
  </cellStyleXfs>
  <cellXfs count="453">
    <xf numFmtId="0" fontId="0" fillId="0" borderId="0" xfId="0"/>
    <xf numFmtId="0" fontId="1" fillId="0" borderId="0" xfId="0" applyFont="1"/>
    <xf numFmtId="0" fontId="1" fillId="0" borderId="0" xfId="0" applyFont="1" applyAlignment="1">
      <alignment horizontal="centerContinuous"/>
    </xf>
    <xf numFmtId="0" fontId="4" fillId="0" borderId="0" xfId="0" applyFont="1" applyAlignment="1">
      <alignment horizontal="centerContinuous"/>
    </xf>
    <xf numFmtId="0" fontId="4" fillId="0" borderId="0" xfId="0" applyFont="1"/>
    <xf numFmtId="0" fontId="1" fillId="0" borderId="0" xfId="0" applyFont="1" applyAlignment="1">
      <alignment horizontal="center"/>
    </xf>
    <xf numFmtId="0" fontId="1"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9" fillId="0" borderId="0" xfId="0" applyFont="1"/>
    <xf numFmtId="0" fontId="0" fillId="0" borderId="0" xfId="0" applyAlignment="1">
      <alignment horizontal="left"/>
    </xf>
    <xf numFmtId="0" fontId="1" fillId="0" borderId="0" xfId="0" applyFont="1" applyAlignment="1">
      <alignment horizontal="left" vertical="center" wrapText="1"/>
    </xf>
    <xf numFmtId="0" fontId="16" fillId="0" borderId="0" xfId="0" applyFont="1" applyAlignment="1">
      <alignment horizontal="center" vertical="center"/>
    </xf>
    <xf numFmtId="0" fontId="0" fillId="0" borderId="0" xfId="0" applyAlignment="1">
      <alignment horizontal="center" vertical="center"/>
    </xf>
    <xf numFmtId="0" fontId="21" fillId="0" borderId="0" xfId="0" applyFont="1" applyAlignment="1">
      <alignment horizontal="center" vertical="center"/>
    </xf>
    <xf numFmtId="0" fontId="4" fillId="0" borderId="0" xfId="0" applyFont="1" applyAlignment="1">
      <alignment horizontal="left" vertical="center"/>
    </xf>
    <xf numFmtId="0" fontId="22" fillId="0" borderId="9" xfId="2" applyFont="1" applyBorder="1" applyAlignment="1">
      <alignment horizontal="center" vertical="center" wrapText="1"/>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14" fontId="9" fillId="0" borderId="10" xfId="0" applyNumberFormat="1" applyFont="1" applyBorder="1" applyAlignment="1">
      <alignment horizontal="center" vertical="center"/>
    </xf>
    <xf numFmtId="14" fontId="9" fillId="0" borderId="12" xfId="0" applyNumberFormat="1" applyFont="1" applyBorder="1" applyAlignment="1">
      <alignment horizontal="center" vertical="center"/>
    </xf>
    <xf numFmtId="0" fontId="10" fillId="0" borderId="14" xfId="0" applyFont="1" applyBorder="1" applyAlignment="1">
      <alignment vertical="center" wrapText="1"/>
    </xf>
    <xf numFmtId="0" fontId="10" fillId="0" borderId="15" xfId="0" applyFont="1" applyBorder="1" applyAlignment="1">
      <alignment vertical="center" wrapText="1"/>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16" xfId="0" applyFont="1" applyBorder="1" applyAlignment="1">
      <alignment vertical="center" wrapText="1"/>
    </xf>
    <xf numFmtId="0" fontId="10" fillId="0" borderId="21" xfId="0" applyFont="1" applyBorder="1" applyAlignment="1">
      <alignment vertical="center" wrapText="1"/>
    </xf>
    <xf numFmtId="14" fontId="9" fillId="0" borderId="25" xfId="0" applyNumberFormat="1" applyFont="1" applyBorder="1" applyAlignment="1">
      <alignment horizontal="center" vertical="center"/>
    </xf>
    <xf numFmtId="14" fontId="9" fillId="0" borderId="17" xfId="0" applyNumberFormat="1" applyFont="1" applyBorder="1" applyAlignment="1">
      <alignment horizontal="center" vertical="center"/>
    </xf>
    <xf numFmtId="14" fontId="9" fillId="0" borderId="24" xfId="0" applyNumberFormat="1" applyFont="1" applyBorder="1" applyAlignment="1">
      <alignment horizontal="center" vertical="center"/>
    </xf>
    <xf numFmtId="0" fontId="9" fillId="0" borderId="21" xfId="0" applyFont="1" applyBorder="1" applyAlignment="1">
      <alignment vertical="center" wrapText="1"/>
    </xf>
    <xf numFmtId="0" fontId="9" fillId="0" borderId="14" xfId="0" applyFont="1" applyBorder="1" applyAlignment="1">
      <alignment vertical="center" wrapText="1"/>
    </xf>
    <xf numFmtId="0" fontId="9" fillId="0" borderId="15" xfId="0" applyFont="1" applyBorder="1" applyAlignment="1">
      <alignment vertical="center" wrapText="1"/>
    </xf>
    <xf numFmtId="0" fontId="9" fillId="0" borderId="16" xfId="0" applyFont="1" applyBorder="1" applyAlignment="1">
      <alignment horizontal="center" vertical="center"/>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3" xfId="0" applyFont="1" applyBorder="1" applyAlignment="1">
      <alignment horizontal="center" vertical="center" wrapText="1"/>
    </xf>
    <xf numFmtId="0" fontId="15" fillId="0" borderId="24" xfId="2" applyBorder="1" applyAlignment="1">
      <alignment horizontal="center" vertical="center" wrapText="1"/>
    </xf>
    <xf numFmtId="0" fontId="15" fillId="0" borderId="9" xfId="2" applyBorder="1" applyAlignment="1">
      <alignment horizontal="center" vertical="center" wrapText="1"/>
    </xf>
    <xf numFmtId="0" fontId="15" fillId="0" borderId="2" xfId="2" applyBorder="1" applyAlignment="1">
      <alignment horizontal="center" vertical="center" wrapText="1"/>
    </xf>
    <xf numFmtId="14" fontId="9" fillId="0" borderId="4" xfId="0" applyNumberFormat="1" applyFont="1" applyBorder="1" applyAlignment="1">
      <alignment horizontal="center" vertical="center"/>
    </xf>
    <xf numFmtId="14" fontId="9" fillId="0" borderId="28" xfId="0" applyNumberFormat="1" applyFont="1" applyBorder="1" applyAlignment="1">
      <alignment horizontal="center" vertical="center"/>
    </xf>
    <xf numFmtId="14" fontId="9" fillId="0" borderId="30" xfId="0" applyNumberFormat="1" applyFont="1" applyBorder="1" applyAlignment="1">
      <alignment horizontal="center" vertical="center"/>
    </xf>
    <xf numFmtId="0" fontId="9" fillId="0" borderId="27" xfId="0" applyFont="1" applyBorder="1" applyAlignment="1">
      <alignment vertical="center" wrapText="1"/>
    </xf>
    <xf numFmtId="0" fontId="2" fillId="0" borderId="0" xfId="0" applyFont="1" applyAlignment="1">
      <alignment horizontal="center" vertical="center"/>
    </xf>
    <xf numFmtId="0" fontId="9" fillId="0" borderId="16"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1" fillId="4" borderId="10" xfId="0" applyFont="1" applyFill="1" applyBorder="1" applyAlignment="1">
      <alignment horizontal="center" vertical="center"/>
    </xf>
    <xf numFmtId="0" fontId="1" fillId="4" borderId="12" xfId="0" applyFont="1" applyFill="1" applyBorder="1" applyAlignment="1">
      <alignment horizontal="center" vertical="center"/>
    </xf>
    <xf numFmtId="0" fontId="22" fillId="0" borderId="16" xfId="2" applyFont="1" applyBorder="1" applyAlignment="1">
      <alignment horizontal="center" vertical="center" wrapText="1"/>
    </xf>
    <xf numFmtId="0" fontId="22" fillId="0" borderId="27" xfId="2" applyFont="1" applyBorder="1" applyAlignment="1">
      <alignment horizontal="center" vertical="center" wrapText="1"/>
    </xf>
    <xf numFmtId="0" fontId="15" fillId="0" borderId="16" xfId="2" applyBorder="1" applyAlignment="1">
      <alignment horizontal="center" vertical="center" wrapText="1"/>
    </xf>
    <xf numFmtId="14" fontId="9" fillId="0" borderId="25" xfId="0" applyNumberFormat="1" applyFont="1" applyBorder="1" applyAlignment="1">
      <alignment horizontal="center" vertical="center" wrapText="1"/>
    </xf>
    <xf numFmtId="14" fontId="9" fillId="0" borderId="24" xfId="0" applyNumberFormat="1" applyFont="1" applyBorder="1" applyAlignment="1">
      <alignment horizontal="center" vertical="center" wrapText="1"/>
    </xf>
    <xf numFmtId="14" fontId="9" fillId="0" borderId="10" xfId="0" applyNumberFormat="1" applyFont="1" applyBorder="1" applyAlignment="1">
      <alignment horizontal="center" vertical="center" wrapText="1"/>
    </xf>
    <xf numFmtId="0" fontId="9" fillId="0" borderId="0" xfId="0" applyFont="1" applyAlignment="1">
      <alignment wrapText="1"/>
    </xf>
    <xf numFmtId="0" fontId="24" fillId="0" borderId="9" xfId="2" applyFont="1" applyBorder="1" applyAlignment="1">
      <alignment horizontal="center" vertical="center" wrapText="1"/>
    </xf>
    <xf numFmtId="0" fontId="24" fillId="0" borderId="2" xfId="2" applyFont="1" applyBorder="1" applyAlignment="1">
      <alignment horizontal="center" vertical="center" wrapText="1"/>
    </xf>
    <xf numFmtId="0" fontId="25" fillId="0" borderId="9" xfId="0" applyFont="1" applyBorder="1" applyAlignment="1">
      <alignment horizontal="center" vertical="center" wrapText="1"/>
    </xf>
    <xf numFmtId="0" fontId="24" fillId="0" borderId="11" xfId="2" applyFont="1" applyBorder="1" applyAlignment="1">
      <alignment horizontal="center" vertical="center" wrapText="1"/>
    </xf>
    <xf numFmtId="0" fontId="24" fillId="0" borderId="13" xfId="2" applyFont="1" applyBorder="1" applyAlignment="1">
      <alignment horizontal="center" vertical="center" wrapText="1"/>
    </xf>
    <xf numFmtId="0" fontId="25" fillId="0" borderId="11" xfId="0" applyFont="1" applyBorder="1" applyAlignment="1">
      <alignment horizontal="center" vertical="center" wrapText="1"/>
    </xf>
    <xf numFmtId="0" fontId="15" fillId="0" borderId="7" xfId="2" applyBorder="1" applyAlignment="1">
      <alignment horizontal="center" vertical="center" wrapText="1"/>
    </xf>
    <xf numFmtId="0" fontId="22" fillId="0" borderId="7" xfId="2" applyFont="1" applyBorder="1" applyAlignment="1">
      <alignment horizontal="center" vertical="center" wrapText="1"/>
    </xf>
    <xf numFmtId="0" fontId="22" fillId="0" borderId="29" xfId="2" applyFont="1" applyBorder="1" applyAlignment="1">
      <alignment horizontal="center" vertical="center" wrapText="1"/>
    </xf>
    <xf numFmtId="0" fontId="2" fillId="0" borderId="0" xfId="0" applyFont="1" applyAlignment="1">
      <alignment vertical="center"/>
    </xf>
    <xf numFmtId="0" fontId="18" fillId="0" borderId="0" xfId="0" applyFont="1" applyAlignment="1">
      <alignment horizontal="center" vertical="center"/>
    </xf>
    <xf numFmtId="0" fontId="19" fillId="0" borderId="0" xfId="0" applyFont="1" applyAlignment="1">
      <alignment horizontal="center" vertical="center"/>
    </xf>
    <xf numFmtId="0" fontId="6" fillId="0" borderId="0" xfId="0" applyFont="1" applyAlignment="1">
      <alignment horizontal="center" vertical="center"/>
    </xf>
    <xf numFmtId="0" fontId="20" fillId="0" borderId="0" xfId="0" applyFont="1" applyAlignment="1">
      <alignment horizontal="center" vertical="center"/>
    </xf>
    <xf numFmtId="14" fontId="9" fillId="0" borderId="16" xfId="0" applyNumberFormat="1" applyFont="1" applyBorder="1" applyAlignment="1">
      <alignment horizontal="center" vertical="center"/>
    </xf>
    <xf numFmtId="0" fontId="2" fillId="0" borderId="34" xfId="0" applyFont="1" applyBorder="1" applyAlignment="1">
      <alignment horizontal="center" vertical="center" wrapText="1"/>
    </xf>
    <xf numFmtId="14" fontId="9" fillId="0" borderId="36" xfId="0" applyNumberFormat="1" applyFont="1" applyBorder="1" applyAlignment="1">
      <alignment horizontal="center" vertical="center"/>
    </xf>
    <xf numFmtId="14" fontId="9" fillId="0" borderId="36" xfId="0" applyNumberFormat="1" applyFont="1" applyBorder="1" applyAlignment="1">
      <alignment horizontal="center" vertical="center" wrapText="1"/>
    </xf>
    <xf numFmtId="0" fontId="2" fillId="0" borderId="26" xfId="0" applyFont="1" applyBorder="1" applyAlignment="1">
      <alignment horizontal="center" vertical="center" wrapText="1"/>
    </xf>
    <xf numFmtId="0" fontId="2" fillId="0" borderId="26" xfId="0" applyFont="1" applyBorder="1" applyAlignment="1">
      <alignment horizontal="center" vertical="center"/>
    </xf>
    <xf numFmtId="0" fontId="2" fillId="0" borderId="22"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46" xfId="0" applyFont="1" applyBorder="1" applyAlignment="1">
      <alignment horizontal="center" vertical="center" wrapText="1"/>
    </xf>
    <xf numFmtId="0" fontId="11" fillId="0" borderId="22" xfId="0" applyFont="1" applyBorder="1" applyAlignment="1">
      <alignment horizontal="center" vertical="center" wrapText="1"/>
    </xf>
    <xf numFmtId="14" fontId="9" fillId="0" borderId="3" xfId="0" applyNumberFormat="1" applyFont="1" applyBorder="1" applyAlignment="1">
      <alignment horizontal="center" vertical="center"/>
    </xf>
    <xf numFmtId="0" fontId="2" fillId="0" borderId="44" xfId="0" applyFont="1" applyBorder="1" applyAlignment="1">
      <alignment horizontal="center" vertical="center" wrapText="1"/>
    </xf>
    <xf numFmtId="0" fontId="11" fillId="0" borderId="27"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7" xfId="0" applyFont="1" applyBorder="1" applyAlignment="1">
      <alignment horizontal="center" vertical="center" wrapText="1"/>
    </xf>
    <xf numFmtId="0" fontId="2" fillId="0" borderId="27" xfId="0" applyFont="1" applyBorder="1" applyAlignment="1">
      <alignment horizontal="center" vertical="center"/>
    </xf>
    <xf numFmtId="0" fontId="2" fillId="0" borderId="28" xfId="0" applyFont="1" applyBorder="1" applyAlignment="1">
      <alignment horizontal="center" vertical="center" wrapText="1"/>
    </xf>
    <xf numFmtId="0" fontId="15" fillId="0" borderId="18" xfId="2" applyBorder="1" applyAlignment="1">
      <alignment horizontal="center" vertical="center" wrapText="1"/>
    </xf>
    <xf numFmtId="0" fontId="1" fillId="0" borderId="12" xfId="0" applyFont="1" applyBorder="1" applyAlignment="1">
      <alignment horizontal="center" vertical="center"/>
    </xf>
    <xf numFmtId="0" fontId="1" fillId="3" borderId="9"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24" xfId="0" applyFont="1" applyFill="1" applyBorder="1" applyAlignment="1">
      <alignment horizontal="center" vertical="center"/>
    </xf>
    <xf numFmtId="0" fontId="1" fillId="4" borderId="17" xfId="0" applyFont="1" applyFill="1" applyBorder="1" applyAlignment="1">
      <alignment horizontal="center" vertical="center"/>
    </xf>
    <xf numFmtId="0" fontId="2" fillId="3" borderId="49" xfId="0" applyFont="1" applyFill="1" applyBorder="1" applyAlignment="1">
      <alignment horizontal="center" vertical="center"/>
    </xf>
    <xf numFmtId="0" fontId="2" fillId="4" borderId="50" xfId="0" applyFont="1" applyFill="1" applyBorder="1" applyAlignment="1">
      <alignment horizontal="center" vertical="center"/>
    </xf>
    <xf numFmtId="0" fontId="2" fillId="0" borderId="42" xfId="0" applyFont="1" applyBorder="1" applyAlignment="1">
      <alignment horizontal="center" vertical="center"/>
    </xf>
    <xf numFmtId="164" fontId="31" fillId="0" borderId="49" xfId="0" applyNumberFormat="1" applyFont="1" applyBorder="1" applyAlignment="1">
      <alignment horizontal="center" vertical="center"/>
    </xf>
    <xf numFmtId="0" fontId="2" fillId="0" borderId="50" xfId="0" applyFont="1" applyBorder="1" applyAlignment="1">
      <alignment horizontal="center" vertical="center"/>
    </xf>
    <xf numFmtId="164" fontId="28" fillId="0" borderId="24" xfId="0" applyNumberFormat="1" applyFont="1" applyBorder="1" applyAlignment="1">
      <alignment horizontal="center" vertical="center"/>
    </xf>
    <xf numFmtId="0" fontId="18" fillId="0" borderId="17" xfId="0" applyFont="1" applyBorder="1" applyAlignment="1">
      <alignment horizontal="center" vertical="center"/>
    </xf>
    <xf numFmtId="164" fontId="30" fillId="0" borderId="9" xfId="0" applyNumberFormat="1" applyFont="1" applyBorder="1" applyAlignment="1">
      <alignment horizontal="center" vertical="center"/>
    </xf>
    <xf numFmtId="0" fontId="19" fillId="0" borderId="10" xfId="0" applyFont="1" applyBorder="1" applyAlignment="1">
      <alignment horizontal="center" vertical="center"/>
    </xf>
    <xf numFmtId="164" fontId="27" fillId="0" borderId="9" xfId="0" applyNumberFormat="1" applyFont="1" applyBorder="1" applyAlignment="1">
      <alignment horizontal="center" vertical="center"/>
    </xf>
    <xf numFmtId="0" fontId="6" fillId="0" borderId="10" xfId="0" applyFont="1" applyBorder="1" applyAlignment="1">
      <alignment horizontal="center" vertical="center"/>
    </xf>
    <xf numFmtId="164" fontId="29" fillId="0" borderId="11" xfId="0" applyNumberFormat="1" applyFont="1" applyBorder="1" applyAlignment="1">
      <alignment horizontal="center" vertical="center"/>
    </xf>
    <xf numFmtId="164" fontId="33" fillId="0" borderId="9" xfId="0" applyNumberFormat="1" applyFont="1" applyBorder="1" applyAlignment="1">
      <alignment horizontal="center" vertical="center"/>
    </xf>
    <xf numFmtId="0" fontId="32" fillId="0" borderId="10" xfId="0" applyFont="1" applyBorder="1" applyAlignment="1">
      <alignment horizontal="center" vertical="center"/>
    </xf>
    <xf numFmtId="0" fontId="36" fillId="0" borderId="12" xfId="0" applyFont="1" applyBorder="1" applyAlignment="1">
      <alignment horizontal="center"/>
    </xf>
    <xf numFmtId="164" fontId="31" fillId="0" borderId="40" xfId="0" applyNumberFormat="1" applyFont="1" applyBorder="1" applyAlignment="1">
      <alignment horizontal="center" vertical="center"/>
    </xf>
    <xf numFmtId="0" fontId="2" fillId="3" borderId="40" xfId="0" applyFont="1" applyFill="1" applyBorder="1" applyAlignment="1">
      <alignment horizontal="center" vertical="center"/>
    </xf>
    <xf numFmtId="0" fontId="2" fillId="4" borderId="42" xfId="0" applyFont="1" applyFill="1" applyBorder="1" applyAlignment="1">
      <alignment horizontal="center" vertical="center"/>
    </xf>
    <xf numFmtId="0" fontId="1" fillId="4" borderId="47" xfId="0" applyFont="1" applyFill="1" applyBorder="1" applyAlignment="1">
      <alignment horizontal="center" vertical="center"/>
    </xf>
    <xf numFmtId="0" fontId="1" fillId="3" borderId="33" xfId="0" applyFont="1" applyFill="1" applyBorder="1" applyAlignment="1">
      <alignment horizontal="center" vertical="center"/>
    </xf>
    <xf numFmtId="164" fontId="38" fillId="0" borderId="33" xfId="0" applyNumberFormat="1" applyFont="1" applyBorder="1" applyAlignment="1">
      <alignment horizontal="center" vertical="center"/>
    </xf>
    <xf numFmtId="0" fontId="35" fillId="0" borderId="47" xfId="0" applyFont="1" applyBorder="1" applyAlignment="1">
      <alignment horizontal="center"/>
    </xf>
    <xf numFmtId="164" fontId="40" fillId="0" borderId="9" xfId="0" applyNumberFormat="1" applyFont="1" applyBorder="1" applyAlignment="1">
      <alignment horizontal="center" vertical="center"/>
    </xf>
    <xf numFmtId="0" fontId="39" fillId="0" borderId="10" xfId="0" applyFont="1" applyBorder="1" applyAlignment="1">
      <alignment horizontal="center"/>
    </xf>
    <xf numFmtId="164" fontId="34" fillId="0" borderId="11" xfId="0" applyNumberFormat="1" applyFont="1" applyBorder="1" applyAlignment="1">
      <alignment horizontal="center" vertical="center"/>
    </xf>
    <xf numFmtId="0" fontId="2" fillId="0" borderId="0" xfId="0" applyFont="1"/>
    <xf numFmtId="0" fontId="11" fillId="0" borderId="0" xfId="0" applyFont="1"/>
    <xf numFmtId="0" fontId="17" fillId="0" borderId="0" xfId="1" applyFont="1"/>
    <xf numFmtId="0" fontId="17" fillId="2" borderId="45" xfId="1" applyFont="1" applyFill="1" applyBorder="1" applyAlignment="1">
      <alignment horizontal="left"/>
    </xf>
    <xf numFmtId="14" fontId="2" fillId="0" borderId="0" xfId="0" applyNumberFormat="1" applyFont="1" applyAlignment="1">
      <alignment horizontal="center" vertical="center" wrapText="1"/>
    </xf>
    <xf numFmtId="0" fontId="9" fillId="0" borderId="27" xfId="0" applyFont="1" applyBorder="1" applyAlignment="1">
      <alignment horizontal="center" vertical="center" wrapText="1"/>
    </xf>
    <xf numFmtId="0" fontId="56" fillId="5" borderId="6" xfId="0" applyFont="1" applyFill="1" applyBorder="1" applyAlignment="1">
      <alignment horizontal="center" vertical="center" wrapText="1"/>
    </xf>
    <xf numFmtId="0" fontId="57" fillId="0" borderId="0" xfId="0" applyFont="1"/>
    <xf numFmtId="0" fontId="56" fillId="0" borderId="0" xfId="0" applyFont="1" applyAlignment="1">
      <alignment horizontal="centerContinuous"/>
    </xf>
    <xf numFmtId="0" fontId="56" fillId="0" borderId="26" xfId="0" applyFont="1" applyBorder="1" applyAlignment="1">
      <alignment horizontal="center" vertical="center" wrapText="1"/>
    </xf>
    <xf numFmtId="0" fontId="58" fillId="0" borderId="16" xfId="0" applyFont="1" applyBorder="1" applyAlignment="1">
      <alignment horizontal="center" vertical="center"/>
    </xf>
    <xf numFmtId="0" fontId="58" fillId="0" borderId="18" xfId="0" applyFont="1" applyBorder="1" applyAlignment="1">
      <alignment horizontal="center" vertical="center"/>
    </xf>
    <xf numFmtId="0" fontId="58" fillId="0" borderId="19" xfId="0" applyFont="1" applyBorder="1" applyAlignment="1">
      <alignment horizontal="center" vertical="center"/>
    </xf>
    <xf numFmtId="0" fontId="56" fillId="0" borderId="0" xfId="0" applyFont="1"/>
    <xf numFmtId="0" fontId="55" fillId="0" borderId="0" xfId="0" applyFont="1" applyAlignment="1">
      <alignment horizontal="center" vertical="center"/>
    </xf>
    <xf numFmtId="0" fontId="2" fillId="0" borderId="0" xfId="0" applyFont="1" applyAlignment="1">
      <alignment horizontal="center" vertical="center" wrapText="1"/>
    </xf>
    <xf numFmtId="0" fontId="15" fillId="0" borderId="4" xfId="2" applyBorder="1" applyAlignment="1">
      <alignment horizontal="center" vertical="center" wrapText="1"/>
    </xf>
    <xf numFmtId="0" fontId="26" fillId="0" borderId="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11" xfId="0" applyFont="1" applyBorder="1" applyAlignment="1">
      <alignment horizontal="center" vertical="center" wrapText="1"/>
    </xf>
    <xf numFmtId="0" fontId="15" fillId="0" borderId="55" xfId="2" applyBorder="1" applyAlignment="1">
      <alignment horizontal="center" vertical="center" wrapText="1"/>
    </xf>
    <xf numFmtId="0" fontId="15" fillId="0" borderId="33" xfId="2" applyBorder="1" applyAlignment="1">
      <alignment horizontal="center" vertical="center" wrapText="1"/>
    </xf>
    <xf numFmtId="0" fontId="2" fillId="0" borderId="0" xfId="0" applyFont="1" applyAlignment="1">
      <alignment horizontal="left"/>
    </xf>
    <xf numFmtId="0" fontId="59" fillId="0" borderId="10" xfId="2" applyFont="1" applyBorder="1" applyAlignment="1">
      <alignment horizontal="center" vertical="center" wrapText="1"/>
    </xf>
    <xf numFmtId="0" fontId="60" fillId="0" borderId="10" xfId="0" applyFont="1" applyBorder="1" applyAlignment="1">
      <alignment horizontal="center" vertical="center" wrapText="1"/>
    </xf>
    <xf numFmtId="0" fontId="60" fillId="0" borderId="12" xfId="0" applyFont="1" applyBorder="1" applyAlignment="1">
      <alignment horizontal="center" vertical="center" wrapText="1"/>
    </xf>
    <xf numFmtId="0" fontId="61" fillId="0" borderId="10" xfId="2" applyFont="1" applyBorder="1" applyAlignment="1">
      <alignment horizontal="center" vertical="center" wrapText="1"/>
    </xf>
    <xf numFmtId="0" fontId="62" fillId="0" borderId="10" xfId="2" applyFont="1" applyBorder="1" applyAlignment="1">
      <alignment horizontal="center" vertical="center" wrapText="1"/>
    </xf>
    <xf numFmtId="14" fontId="15" fillId="0" borderId="9" xfId="2" applyNumberForma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wrapText="1"/>
    </xf>
    <xf numFmtId="0" fontId="1" fillId="0" borderId="0" xfId="0" applyFont="1" applyAlignment="1">
      <alignment horizontal="centerContinuous" wrapText="1"/>
    </xf>
    <xf numFmtId="0" fontId="1" fillId="0" borderId="0" xfId="0" applyFont="1" applyAlignment="1">
      <alignment wrapText="1"/>
    </xf>
    <xf numFmtId="0" fontId="57" fillId="0" borderId="0" xfId="0" applyFont="1" applyAlignment="1">
      <alignment horizontal="left" vertical="center"/>
    </xf>
    <xf numFmtId="0" fontId="57" fillId="0" borderId="0" xfId="0" applyFont="1" applyAlignment="1">
      <alignment horizontal="centerContinuous"/>
    </xf>
    <xf numFmtId="0" fontId="56" fillId="0" borderId="27" xfId="0" applyFont="1" applyBorder="1" applyAlignment="1">
      <alignment horizontal="center" vertical="center"/>
    </xf>
    <xf numFmtId="0" fontId="58" fillId="0" borderId="16" xfId="0" applyFont="1" applyBorder="1" applyAlignment="1">
      <alignment horizontal="center" vertical="center" wrapText="1"/>
    </xf>
    <xf numFmtId="0" fontId="58" fillId="0" borderId="27" xfId="0" applyFont="1" applyBorder="1" applyAlignment="1">
      <alignment horizontal="center" vertical="center"/>
    </xf>
    <xf numFmtId="0" fontId="58" fillId="0" borderId="33" xfId="0" applyFont="1" applyBorder="1"/>
    <xf numFmtId="0" fontId="58" fillId="0" borderId="9" xfId="0" applyFont="1" applyBorder="1"/>
    <xf numFmtId="0" fontId="63" fillId="0" borderId="9" xfId="1" applyFont="1" applyBorder="1"/>
    <xf numFmtId="0" fontId="64" fillId="0" borderId="0" xfId="2" applyFont="1"/>
    <xf numFmtId="0" fontId="65"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58" fillId="0" borderId="32" xfId="0" applyFont="1" applyBorder="1" applyAlignment="1">
      <alignment horizontal="center" vertical="center" wrapText="1"/>
    </xf>
    <xf numFmtId="14" fontId="58" fillId="0" borderId="21" xfId="0" applyNumberFormat="1" applyFont="1" applyBorder="1" applyAlignment="1">
      <alignment horizontal="center" vertical="center"/>
    </xf>
    <xf numFmtId="14" fontId="58" fillId="0" borderId="26" xfId="0" applyNumberFormat="1" applyFont="1" applyBorder="1" applyAlignment="1">
      <alignment horizontal="center" vertical="center"/>
    </xf>
    <xf numFmtId="14" fontId="56" fillId="5" borderId="5" xfId="0" applyNumberFormat="1" applyFont="1" applyFill="1" applyBorder="1" applyAlignment="1">
      <alignment horizontal="center" vertical="center" wrapText="1"/>
    </xf>
    <xf numFmtId="0" fontId="58" fillId="0" borderId="18" xfId="0" applyFont="1" applyBorder="1" applyAlignment="1">
      <alignment horizontal="center" vertical="center" wrapText="1"/>
    </xf>
    <xf numFmtId="0" fontId="58" fillId="0" borderId="19" xfId="0" applyFont="1" applyBorder="1" applyAlignment="1">
      <alignment horizontal="center" vertical="center" wrapText="1"/>
    </xf>
    <xf numFmtId="0" fontId="56" fillId="0" borderId="0" xfId="0" applyFont="1" applyAlignment="1">
      <alignment horizontal="left"/>
    </xf>
    <xf numFmtId="0" fontId="56" fillId="0" borderId="42" xfId="0" applyFont="1" applyBorder="1" applyAlignment="1">
      <alignment horizontal="center" vertical="center" wrapText="1"/>
    </xf>
    <xf numFmtId="0" fontId="56" fillId="0" borderId="34" xfId="0" applyFont="1" applyBorder="1" applyAlignment="1">
      <alignment horizontal="center" vertical="center" wrapText="1"/>
    </xf>
    <xf numFmtId="0" fontId="62" fillId="0" borderId="17" xfId="2" applyFont="1" applyBorder="1" applyAlignment="1">
      <alignment horizontal="center" vertical="center" wrapText="1"/>
    </xf>
    <xf numFmtId="0" fontId="58" fillId="0" borderId="10" xfId="0" applyFont="1" applyBorder="1" applyAlignment="1">
      <alignment horizontal="center" vertical="center" wrapText="1"/>
    </xf>
    <xf numFmtId="0" fontId="58" fillId="0" borderId="12" xfId="0" applyFont="1" applyBorder="1" applyAlignment="1">
      <alignment horizontal="center" vertical="center" wrapText="1"/>
    </xf>
    <xf numFmtId="0" fontId="55" fillId="0" borderId="0" xfId="0" applyFont="1" applyAlignment="1">
      <alignment horizontal="left"/>
    </xf>
    <xf numFmtId="0" fontId="56" fillId="0" borderId="23" xfId="0" applyFont="1" applyBorder="1" applyAlignment="1">
      <alignment horizontal="center" vertical="center" wrapText="1"/>
    </xf>
    <xf numFmtId="14" fontId="58" fillId="0" borderId="4" xfId="0" applyNumberFormat="1" applyFont="1" applyBorder="1" applyAlignment="1">
      <alignment horizontal="center" vertical="center"/>
    </xf>
    <xf numFmtId="14" fontId="58" fillId="0" borderId="25" xfId="0" applyNumberFormat="1" applyFont="1" applyBorder="1" applyAlignment="1">
      <alignment horizontal="center" vertical="center"/>
    </xf>
    <xf numFmtId="14" fontId="58" fillId="0" borderId="32" xfId="0" applyNumberFormat="1" applyFont="1" applyBorder="1" applyAlignment="1">
      <alignment horizontal="center" vertical="center"/>
    </xf>
    <xf numFmtId="0" fontId="58" fillId="0" borderId="44" xfId="0" applyFont="1" applyBorder="1" applyAlignment="1">
      <alignment horizontal="center" vertical="center" wrapText="1"/>
    </xf>
    <xf numFmtId="0" fontId="58" fillId="0" borderId="31" xfId="0" applyFont="1" applyBorder="1" applyAlignment="1">
      <alignment horizontal="center" vertical="center" wrapText="1"/>
    </xf>
    <xf numFmtId="14" fontId="58" fillId="0" borderId="3" xfId="0" applyNumberFormat="1" applyFont="1" applyBorder="1" applyAlignment="1">
      <alignment horizontal="center" vertical="center"/>
    </xf>
    <xf numFmtId="14" fontId="58" fillId="0" borderId="1" xfId="0" applyNumberFormat="1" applyFont="1" applyBorder="1" applyAlignment="1">
      <alignment horizontal="center" vertical="center"/>
    </xf>
    <xf numFmtId="14" fontId="58" fillId="0" borderId="30" xfId="0" applyNumberFormat="1" applyFont="1" applyBorder="1" applyAlignment="1">
      <alignment horizontal="center" vertical="center"/>
    </xf>
    <xf numFmtId="0" fontId="56" fillId="0" borderId="9" xfId="0" applyFont="1" applyBorder="1"/>
    <xf numFmtId="14" fontId="58" fillId="0" borderId="21" xfId="0" applyNumberFormat="1" applyFont="1" applyBorder="1" applyAlignment="1">
      <alignment horizontal="center" vertical="center" wrapText="1"/>
    </xf>
    <xf numFmtId="14" fontId="56" fillId="0" borderId="0" xfId="0" applyNumberFormat="1" applyFont="1" applyAlignment="1">
      <alignment horizontal="center" vertical="center" wrapText="1"/>
    </xf>
    <xf numFmtId="0" fontId="56" fillId="0" borderId="32" xfId="0" applyFont="1" applyBorder="1" applyAlignment="1">
      <alignment horizontal="center" vertical="center" wrapText="1"/>
    </xf>
    <xf numFmtId="0" fontId="58" fillId="0" borderId="27" xfId="0" applyFont="1" applyBorder="1" applyAlignment="1">
      <alignment horizontal="center" vertical="center" wrapText="1"/>
    </xf>
    <xf numFmtId="0" fontId="56" fillId="0" borderId="0" xfId="0" applyFont="1" applyAlignment="1">
      <alignment horizontal="center" vertical="center" wrapText="1"/>
    </xf>
    <xf numFmtId="0" fontId="62" fillId="0" borderId="47" xfId="2" applyFont="1" applyBorder="1" applyAlignment="1">
      <alignment horizontal="center" vertical="center" wrapText="1"/>
    </xf>
    <xf numFmtId="14" fontId="58" fillId="0" borderId="4" xfId="0" applyNumberFormat="1" applyFont="1" applyBorder="1" applyAlignment="1">
      <alignment horizontal="center" vertical="center" wrapText="1"/>
    </xf>
    <xf numFmtId="14" fontId="58" fillId="0" borderId="25" xfId="0" applyNumberFormat="1" applyFont="1" applyBorder="1" applyAlignment="1">
      <alignment horizontal="center" vertical="center" wrapText="1"/>
    </xf>
    <xf numFmtId="0" fontId="56" fillId="0" borderId="27" xfId="0" applyFont="1" applyBorder="1" applyAlignment="1">
      <alignment horizontal="center" vertical="center" wrapText="1"/>
    </xf>
    <xf numFmtId="0" fontId="64" fillId="0" borderId="9" xfId="2" applyFont="1" applyBorder="1" applyAlignment="1">
      <alignment horizontal="center" vertical="center" wrapText="1"/>
    </xf>
    <xf numFmtId="0" fontId="56" fillId="0" borderId="26" xfId="0" applyFont="1" applyBorder="1" applyAlignment="1">
      <alignment horizontal="center" vertical="center"/>
    </xf>
    <xf numFmtId="0" fontId="56" fillId="0" borderId="33" xfId="0" applyFont="1" applyBorder="1"/>
    <xf numFmtId="0" fontId="56" fillId="0" borderId="9" xfId="0" applyFont="1" applyBorder="1" applyAlignment="1">
      <alignment vertical="top"/>
    </xf>
    <xf numFmtId="0" fontId="58" fillId="0" borderId="26" xfId="0" applyFont="1" applyBorder="1" applyAlignment="1">
      <alignment horizontal="center" vertical="center" wrapText="1"/>
    </xf>
    <xf numFmtId="0" fontId="63" fillId="2" borderId="45" xfId="1" applyFont="1" applyFill="1" applyBorder="1" applyAlignment="1">
      <alignment horizontal="left"/>
    </xf>
    <xf numFmtId="14" fontId="11" fillId="0" borderId="25" xfId="0" applyNumberFormat="1" applyFont="1" applyBorder="1" applyAlignment="1">
      <alignment horizontal="center" vertical="center"/>
    </xf>
    <xf numFmtId="0" fontId="58" fillId="0" borderId="33" xfId="0" applyFont="1" applyBorder="1" applyAlignment="1">
      <alignment vertical="center"/>
    </xf>
    <xf numFmtId="0" fontId="58" fillId="0" borderId="9" xfId="0" applyFont="1" applyBorder="1" applyAlignment="1">
      <alignment vertical="center"/>
    </xf>
    <xf numFmtId="0" fontId="63" fillId="0" borderId="9" xfId="1" applyFont="1" applyBorder="1" applyAlignment="1">
      <alignment vertical="center"/>
    </xf>
    <xf numFmtId="0" fontId="56" fillId="0" borderId="9" xfId="0" applyFont="1" applyBorder="1" applyAlignment="1">
      <alignment vertical="center"/>
    </xf>
    <xf numFmtId="0" fontId="56" fillId="0" borderId="11" xfId="0" applyFont="1" applyBorder="1" applyAlignment="1">
      <alignment vertical="center"/>
    </xf>
    <xf numFmtId="0" fontId="61" fillId="0" borderId="9" xfId="2" applyFont="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56" fillId="0" borderId="50" xfId="0" applyFont="1" applyBorder="1" applyAlignment="1">
      <alignment horizontal="center" vertical="center"/>
    </xf>
    <xf numFmtId="0" fontId="1" fillId="0" borderId="11" xfId="0" applyFont="1" applyBorder="1" applyAlignment="1">
      <alignment horizontal="center" vertical="center"/>
    </xf>
    <xf numFmtId="0" fontId="56" fillId="0" borderId="12" xfId="0" applyFont="1" applyBorder="1" applyAlignment="1">
      <alignment horizontal="center" vertical="center"/>
    </xf>
    <xf numFmtId="164" fontId="27" fillId="0" borderId="11" xfId="0" applyNumberFormat="1" applyFont="1" applyBorder="1" applyAlignment="1">
      <alignment horizontal="center" vertical="center"/>
    </xf>
    <xf numFmtId="0" fontId="6" fillId="0" borderId="12" xfId="0" applyFont="1" applyBorder="1" applyAlignment="1">
      <alignment horizontal="center" vertical="center"/>
    </xf>
    <xf numFmtId="0" fontId="2" fillId="0" borderId="45" xfId="0" applyFont="1" applyBorder="1" applyAlignment="1">
      <alignment horizontal="center" vertical="center" wrapText="1"/>
    </xf>
    <xf numFmtId="0" fontId="11" fillId="0" borderId="24" xfId="0" applyFont="1" applyBorder="1" applyAlignment="1">
      <alignment horizontal="center" vertical="center" wrapText="1"/>
    </xf>
    <xf numFmtId="14" fontId="9" fillId="0" borderId="2" xfId="0" applyNumberFormat="1" applyFont="1" applyBorder="1" applyAlignment="1">
      <alignment horizontal="center" vertical="center"/>
    </xf>
    <xf numFmtId="14" fontId="9" fillId="0" borderId="13" xfId="0" applyNumberFormat="1" applyFont="1" applyBorder="1" applyAlignment="1">
      <alignment horizontal="center" vertical="center"/>
    </xf>
    <xf numFmtId="14" fontId="9" fillId="0" borderId="1" xfId="0" applyNumberFormat="1" applyFont="1" applyBorder="1" applyAlignment="1">
      <alignment horizontal="center" vertical="center"/>
    </xf>
    <xf numFmtId="14" fontId="9" fillId="0" borderId="9" xfId="0" applyNumberFormat="1" applyFont="1" applyBorder="1" applyAlignment="1">
      <alignment horizontal="center" vertical="center"/>
    </xf>
    <xf numFmtId="14" fontId="9" fillId="0" borderId="9" xfId="0" applyNumberFormat="1" applyFont="1" applyBorder="1" applyAlignment="1">
      <alignment horizontal="center" vertical="center" wrapText="1"/>
    </xf>
    <xf numFmtId="14" fontId="9" fillId="0" borderId="11" xfId="0" applyNumberFormat="1" applyFont="1" applyBorder="1" applyAlignment="1">
      <alignment horizontal="center" vertical="center"/>
    </xf>
    <xf numFmtId="14" fontId="9" fillId="0" borderId="54" xfId="0" applyNumberFormat="1" applyFont="1" applyBorder="1" applyAlignment="1">
      <alignment horizontal="center" vertical="center"/>
    </xf>
    <xf numFmtId="0" fontId="58" fillId="0" borderId="17" xfId="0" applyFont="1" applyBorder="1" applyAlignment="1">
      <alignment horizontal="center" vertical="center" wrapText="1"/>
    </xf>
    <xf numFmtId="14" fontId="9" fillId="0" borderId="2" xfId="0" applyNumberFormat="1" applyFont="1" applyBorder="1" applyAlignment="1">
      <alignment horizontal="center" vertical="center" wrapText="1"/>
    </xf>
    <xf numFmtId="0" fontId="1" fillId="0" borderId="0" xfId="0" applyFont="1" applyAlignment="1">
      <alignment horizontal="center" wrapText="1"/>
    </xf>
    <xf numFmtId="14" fontId="9" fillId="0" borderId="48" xfId="0" applyNumberFormat="1" applyFont="1" applyBorder="1" applyAlignment="1">
      <alignment horizontal="center" vertical="center" wrapText="1"/>
    </xf>
    <xf numFmtId="14" fontId="9" fillId="0" borderId="18" xfId="0" applyNumberFormat="1" applyFont="1" applyBorder="1" applyAlignment="1">
      <alignment horizontal="center" vertical="center" wrapText="1"/>
    </xf>
    <xf numFmtId="14" fontId="9" fillId="0" borderId="19" xfId="0" applyNumberFormat="1" applyFont="1" applyBorder="1" applyAlignment="1">
      <alignment horizontal="center" vertical="center" wrapText="1"/>
    </xf>
    <xf numFmtId="14" fontId="9" fillId="0" borderId="8" xfId="0" applyNumberFormat="1" applyFont="1" applyBorder="1" applyAlignment="1">
      <alignment horizontal="center" vertical="center"/>
    </xf>
    <xf numFmtId="14" fontId="9" fillId="0" borderId="37" xfId="0" applyNumberFormat="1" applyFont="1" applyBorder="1" applyAlignment="1">
      <alignment horizontal="center" vertical="center"/>
    </xf>
    <xf numFmtId="14" fontId="9" fillId="0" borderId="61" xfId="0" applyNumberFormat="1" applyFont="1" applyBorder="1" applyAlignment="1">
      <alignment horizontal="center" vertical="center"/>
    </xf>
    <xf numFmtId="14" fontId="9" fillId="0" borderId="14" xfId="0" applyNumberFormat="1" applyFont="1" applyBorder="1" applyAlignment="1">
      <alignment horizontal="center" vertical="center"/>
    </xf>
    <xf numFmtId="14" fontId="9" fillId="0" borderId="15" xfId="0" applyNumberFormat="1" applyFont="1" applyBorder="1" applyAlignment="1">
      <alignment horizontal="center" vertical="center"/>
    </xf>
    <xf numFmtId="14" fontId="9" fillId="0" borderId="7" xfId="0" applyNumberFormat="1" applyFont="1" applyBorder="1" applyAlignment="1">
      <alignment horizontal="center" vertical="center"/>
    </xf>
    <xf numFmtId="0" fontId="11" fillId="0" borderId="62" xfId="0" applyFont="1" applyBorder="1" applyAlignment="1">
      <alignment horizontal="center" vertical="center" wrapText="1"/>
    </xf>
    <xf numFmtId="0" fontId="58" fillId="0" borderId="63"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4" xfId="0" applyFont="1" applyBorder="1" applyAlignment="1">
      <alignment horizontal="center" vertical="center" wrapText="1"/>
    </xf>
    <xf numFmtId="1" fontId="58" fillId="0" borderId="42" xfId="0" applyNumberFormat="1" applyFont="1" applyBorder="1" applyAlignment="1">
      <alignment horizontal="center" vertical="center" wrapText="1"/>
    </xf>
    <xf numFmtId="0" fontId="2" fillId="0" borderId="15" xfId="0" applyFont="1" applyBorder="1" applyAlignment="1">
      <alignment horizontal="center" vertical="center" wrapText="1"/>
    </xf>
    <xf numFmtId="14" fontId="9" fillId="0" borderId="33" xfId="0" applyNumberFormat="1" applyFont="1" applyBorder="1" applyAlignment="1">
      <alignment horizontal="center" vertical="center"/>
    </xf>
    <xf numFmtId="14" fontId="9" fillId="0" borderId="53" xfId="0" applyNumberFormat="1" applyFont="1" applyBorder="1" applyAlignment="1">
      <alignment horizontal="center" vertical="center"/>
    </xf>
    <xf numFmtId="0" fontId="58" fillId="0" borderId="47" xfId="0" applyFont="1" applyBorder="1" applyAlignment="1">
      <alignment horizontal="center" vertical="center" wrapText="1"/>
    </xf>
    <xf numFmtId="14" fontId="9" fillId="0" borderId="64" xfId="0" applyNumberFormat="1" applyFont="1" applyBorder="1" applyAlignment="1">
      <alignment horizontal="center" vertical="center"/>
    </xf>
    <xf numFmtId="14" fontId="9" fillId="0" borderId="4" xfId="0" applyNumberFormat="1" applyFont="1" applyBorder="1" applyAlignment="1">
      <alignment horizontal="center" vertical="center" wrapText="1"/>
    </xf>
    <xf numFmtId="14" fontId="9" fillId="0" borderId="55" xfId="0" applyNumberFormat="1" applyFont="1" applyBorder="1" applyAlignment="1">
      <alignment horizontal="center" vertical="center" wrapText="1"/>
    </xf>
    <xf numFmtId="14" fontId="9" fillId="0" borderId="13" xfId="0" applyNumberFormat="1" applyFont="1" applyBorder="1" applyAlignment="1">
      <alignment horizontal="center" vertical="center" wrapText="1"/>
    </xf>
    <xf numFmtId="0" fontId="11" fillId="0" borderId="33" xfId="0" applyFont="1" applyBorder="1" applyAlignment="1">
      <alignment horizontal="center" vertical="center" wrapText="1"/>
    </xf>
    <xf numFmtId="0" fontId="11" fillId="0" borderId="4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7" fillId="0" borderId="0" xfId="0" applyFont="1" applyAlignment="1">
      <alignment horizontal="center" vertical="center" wrapText="1"/>
    </xf>
    <xf numFmtId="14" fontId="55" fillId="0" borderId="0" xfId="0" applyNumberFormat="1" applyFont="1" applyAlignment="1">
      <alignment horizontal="center" vertical="center"/>
    </xf>
    <xf numFmtId="14" fontId="3" fillId="0" borderId="0" xfId="0" applyNumberFormat="1" applyFont="1" applyAlignment="1">
      <alignment horizontal="center" vertical="center"/>
    </xf>
    <xf numFmtId="14" fontId="65" fillId="0" borderId="0" xfId="0" applyNumberFormat="1" applyFont="1" applyAlignment="1">
      <alignment horizontal="center" vertical="center"/>
    </xf>
    <xf numFmtId="14" fontId="16" fillId="0" borderId="0" xfId="0" applyNumberFormat="1" applyFont="1" applyAlignment="1">
      <alignment horizontal="center" vertical="center"/>
    </xf>
    <xf numFmtId="14" fontId="57" fillId="0" borderId="0" xfId="0" applyNumberFormat="1" applyFont="1" applyAlignment="1">
      <alignment horizontal="center" vertical="center"/>
    </xf>
    <xf numFmtId="14" fontId="4" fillId="0" borderId="0" xfId="0" applyNumberFormat="1" applyFont="1" applyAlignment="1">
      <alignment horizontal="center" vertical="center"/>
    </xf>
    <xf numFmtId="14" fontId="0" fillId="0" borderId="0" xfId="0" applyNumberFormat="1" applyAlignment="1">
      <alignment horizontal="center" vertical="center"/>
    </xf>
    <xf numFmtId="14" fontId="56" fillId="0" borderId="0" xfId="0" applyNumberFormat="1" applyFont="1" applyAlignment="1">
      <alignment horizontal="center" vertical="center"/>
    </xf>
    <xf numFmtId="14" fontId="1" fillId="0" borderId="0" xfId="0" applyNumberFormat="1" applyFont="1" applyAlignment="1">
      <alignment horizontal="center" vertical="center"/>
    </xf>
    <xf numFmtId="0" fontId="57" fillId="0" borderId="0" xfId="0" applyFont="1" applyAlignment="1">
      <alignment vertical="center" wrapText="1"/>
    </xf>
    <xf numFmtId="0" fontId="67" fillId="0" borderId="0" xfId="0" applyFont="1" applyAlignment="1">
      <alignment vertical="center" wrapText="1"/>
    </xf>
    <xf numFmtId="0" fontId="68" fillId="0" borderId="0" xfId="0" applyFont="1" applyAlignment="1">
      <alignment vertical="center" wrapText="1"/>
    </xf>
    <xf numFmtId="0" fontId="69" fillId="0" borderId="0" xfId="2" applyFont="1" applyAlignment="1">
      <alignment vertical="center" wrapText="1"/>
    </xf>
    <xf numFmtId="0" fontId="70" fillId="0" borderId="0" xfId="0" applyFont="1" applyAlignment="1">
      <alignment vertical="center" wrapText="1"/>
    </xf>
    <xf numFmtId="0" fontId="36" fillId="0" borderId="0" xfId="0" applyFont="1" applyAlignment="1">
      <alignment vertical="center" wrapText="1"/>
    </xf>
    <xf numFmtId="1" fontId="0" fillId="0" borderId="0" xfId="0" applyNumberFormat="1" applyAlignment="1">
      <alignment horizontal="center" vertical="center"/>
    </xf>
    <xf numFmtId="1" fontId="57" fillId="0" borderId="0" xfId="0" applyNumberFormat="1" applyFont="1" applyAlignment="1">
      <alignment horizontal="center" vertical="center"/>
    </xf>
    <xf numFmtId="1" fontId="56" fillId="0" borderId="0" xfId="0" applyNumberFormat="1" applyFont="1" applyAlignment="1">
      <alignment horizontal="center" vertical="center"/>
    </xf>
    <xf numFmtId="0" fontId="55" fillId="0" borderId="0" xfId="0" applyFont="1" applyAlignment="1">
      <alignment vertical="center" wrapText="1"/>
    </xf>
    <xf numFmtId="14" fontId="2" fillId="0" borderId="40" xfId="0" applyNumberFormat="1" applyFont="1" applyBorder="1" applyAlignment="1">
      <alignment horizontal="center" vertical="center" wrapText="1"/>
    </xf>
    <xf numFmtId="14" fontId="2" fillId="0" borderId="44" xfId="0" applyNumberFormat="1" applyFont="1" applyBorder="1" applyAlignment="1">
      <alignment horizontal="center" vertical="center" wrapText="1"/>
    </xf>
    <xf numFmtId="14" fontId="56" fillId="0" borderId="42" xfId="0" applyNumberFormat="1" applyFont="1" applyBorder="1" applyAlignment="1">
      <alignment horizontal="center" vertical="center" wrapText="1"/>
    </xf>
    <xf numFmtId="14" fontId="11" fillId="0" borderId="44" xfId="0" applyNumberFormat="1" applyFont="1" applyBorder="1" applyAlignment="1">
      <alignment horizontal="center" vertical="center" wrapText="1"/>
    </xf>
    <xf numFmtId="14" fontId="58" fillId="0" borderId="42" xfId="0" applyNumberFormat="1" applyFont="1" applyBorder="1" applyAlignment="1">
      <alignment horizontal="center" vertical="center" wrapText="1"/>
    </xf>
    <xf numFmtId="14" fontId="58" fillId="0" borderId="40" xfId="0" applyNumberFormat="1" applyFont="1" applyBorder="1" applyAlignment="1">
      <alignment horizontal="center" vertical="center" wrapText="1"/>
    </xf>
    <xf numFmtId="14" fontId="58" fillId="0" borderId="44" xfId="0" applyNumberFormat="1" applyFont="1" applyBorder="1" applyAlignment="1">
      <alignment horizontal="center" vertical="center" wrapText="1"/>
    </xf>
    <xf numFmtId="0" fontId="2" fillId="0" borderId="19" xfId="0" applyFont="1" applyBorder="1" applyAlignment="1">
      <alignment horizontal="center" vertical="center"/>
    </xf>
    <xf numFmtId="0" fontId="2" fillId="0" borderId="56" xfId="0" applyFont="1" applyBorder="1" applyAlignment="1">
      <alignment horizontal="center" vertical="center" wrapText="1"/>
    </xf>
    <xf numFmtId="14" fontId="2" fillId="0" borderId="56" xfId="0" applyNumberFormat="1" applyFont="1" applyBorder="1" applyAlignment="1">
      <alignment horizontal="center" vertical="center" wrapText="1"/>
    </xf>
    <xf numFmtId="14" fontId="11" fillId="0" borderId="56" xfId="0" applyNumberFormat="1" applyFont="1" applyBorder="1" applyAlignment="1">
      <alignment horizontal="center" vertical="center" wrapText="1"/>
    </xf>
    <xf numFmtId="14" fontId="58" fillId="0" borderId="56" xfId="0" applyNumberFormat="1" applyFont="1" applyBorder="1" applyAlignment="1">
      <alignment horizontal="center" vertical="center" wrapText="1"/>
    </xf>
    <xf numFmtId="0" fontId="11" fillId="0" borderId="56" xfId="0" applyFont="1" applyBorder="1" applyAlignment="1">
      <alignment horizontal="center" vertical="center" wrapText="1"/>
    </xf>
    <xf numFmtId="1" fontId="58" fillId="0" borderId="37" xfId="0" applyNumberFormat="1" applyFont="1" applyBorder="1" applyAlignment="1">
      <alignment horizontal="center" vertical="center" wrapText="1"/>
    </xf>
    <xf numFmtId="0" fontId="56" fillId="0" borderId="15" xfId="0" applyFont="1" applyBorder="1" applyAlignment="1">
      <alignment horizontal="center" vertical="center" wrapText="1"/>
    </xf>
    <xf numFmtId="14" fontId="2" fillId="0" borderId="19" xfId="0" applyNumberFormat="1" applyFont="1" applyBorder="1" applyAlignment="1">
      <alignment horizontal="center" vertical="center" wrapText="1"/>
    </xf>
    <xf numFmtId="14" fontId="56" fillId="0" borderId="37" xfId="0" applyNumberFormat="1" applyFont="1" applyBorder="1" applyAlignment="1">
      <alignment horizontal="center" vertical="center" wrapText="1"/>
    </xf>
    <xf numFmtId="14" fontId="58" fillId="0" borderId="37" xfId="0" applyNumberFormat="1" applyFont="1" applyBorder="1" applyAlignment="1">
      <alignment horizontal="center" vertical="center" wrapText="1"/>
    </xf>
    <xf numFmtId="14" fontId="58" fillId="0" borderId="19" xfId="0" applyNumberFormat="1"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4" fontId="56" fillId="0" borderId="40" xfId="0" applyNumberFormat="1" applyFont="1" applyBorder="1" applyAlignment="1">
      <alignment horizontal="center" vertical="center" wrapText="1"/>
    </xf>
    <xf numFmtId="14" fontId="56" fillId="0" borderId="19" xfId="0" applyNumberFormat="1" applyFont="1" applyBorder="1" applyAlignment="1">
      <alignment horizontal="center" vertical="center" wrapText="1"/>
    </xf>
    <xf numFmtId="14" fontId="58" fillId="0" borderId="31" xfId="0" applyNumberFormat="1" applyFont="1" applyBorder="1" applyAlignment="1">
      <alignment horizontal="center" vertical="center" wrapText="1"/>
    </xf>
    <xf numFmtId="14" fontId="58" fillId="0" borderId="28" xfId="0" applyNumberFormat="1" applyFont="1" applyBorder="1" applyAlignment="1">
      <alignment horizontal="center" vertical="center" wrapText="1"/>
    </xf>
    <xf numFmtId="0" fontId="11" fillId="0" borderId="31" xfId="0" applyFont="1" applyBorder="1" applyAlignment="1">
      <alignment horizontal="center" vertical="center" wrapText="1"/>
    </xf>
    <xf numFmtId="1" fontId="58" fillId="0" borderId="46" xfId="0" applyNumberFormat="1" applyFont="1" applyBorder="1" applyAlignment="1">
      <alignment horizontal="center" vertical="center" wrapText="1"/>
    </xf>
    <xf numFmtId="14" fontId="58" fillId="0" borderId="29" xfId="0" applyNumberFormat="1" applyFont="1" applyBorder="1" applyAlignment="1">
      <alignment horizontal="center" vertical="center" wrapText="1"/>
    </xf>
    <xf numFmtId="14" fontId="11" fillId="0" borderId="31" xfId="0" applyNumberFormat="1" applyFont="1" applyBorder="1" applyAlignment="1">
      <alignment horizontal="center" vertical="center" wrapText="1"/>
    </xf>
    <xf numFmtId="14" fontId="56" fillId="0" borderId="30" xfId="0" applyNumberFormat="1" applyFont="1" applyBorder="1" applyAlignment="1">
      <alignment horizontal="center" vertical="center" wrapText="1"/>
    </xf>
    <xf numFmtId="14" fontId="58" fillId="0" borderId="46" xfId="0" applyNumberFormat="1" applyFont="1" applyBorder="1" applyAlignment="1">
      <alignment horizontal="center" vertical="center" wrapText="1"/>
    </xf>
    <xf numFmtId="14" fontId="56" fillId="0" borderId="28" xfId="0" applyNumberFormat="1" applyFont="1" applyBorder="1" applyAlignment="1">
      <alignment horizontal="center" vertical="center" wrapText="1"/>
    </xf>
    <xf numFmtId="14" fontId="56" fillId="0" borderId="29" xfId="0" applyNumberFormat="1" applyFont="1" applyBorder="1" applyAlignment="1">
      <alignment horizontal="center" vertical="center" wrapText="1"/>
    </xf>
    <xf numFmtId="14" fontId="2" fillId="0" borderId="31" xfId="0" applyNumberFormat="1" applyFont="1" applyBorder="1" applyAlignment="1">
      <alignment horizontal="center" vertical="center" wrapText="1"/>
    </xf>
    <xf numFmtId="14" fontId="2" fillId="0" borderId="28" xfId="0" applyNumberFormat="1" applyFont="1" applyBorder="1" applyAlignment="1">
      <alignment horizontal="center" vertical="center" wrapText="1"/>
    </xf>
    <xf numFmtId="0" fontId="74" fillId="0" borderId="1" xfId="0" applyFont="1" applyBorder="1" applyAlignment="1">
      <alignment vertical="center" wrapText="1"/>
    </xf>
    <xf numFmtId="38" fontId="72" fillId="0" borderId="1" xfId="3" applyFont="1" applyBorder="1">
      <alignment vertical="center"/>
    </xf>
    <xf numFmtId="0" fontId="64" fillId="0" borderId="18" xfId="2" applyFont="1" applyBorder="1" applyAlignment="1">
      <alignment horizontal="center" vertical="center" wrapText="1"/>
    </xf>
    <xf numFmtId="0" fontId="69" fillId="0" borderId="9" xfId="2" applyFont="1" applyBorder="1" applyAlignment="1">
      <alignment horizontal="center" vertical="center" wrapText="1"/>
    </xf>
    <xf numFmtId="14" fontId="77" fillId="0" borderId="4" xfId="0" applyNumberFormat="1" applyFont="1" applyBorder="1" applyAlignment="1">
      <alignment horizontal="center" vertical="center"/>
    </xf>
    <xf numFmtId="14" fontId="77" fillId="0" borderId="3" xfId="0" applyNumberFormat="1" applyFont="1" applyBorder="1" applyAlignment="1">
      <alignment horizontal="center" vertical="center"/>
    </xf>
    <xf numFmtId="0" fontId="69" fillId="0" borderId="24" xfId="2" applyFont="1" applyBorder="1" applyAlignment="1">
      <alignment horizontal="center" vertical="center" wrapText="1"/>
    </xf>
    <xf numFmtId="0" fontId="69" fillId="0" borderId="16" xfId="2" applyFont="1" applyBorder="1" applyAlignment="1" applyProtection="1">
      <alignment horizontal="center" vertical="center" wrapText="1"/>
    </xf>
    <xf numFmtId="0" fontId="61" fillId="0" borderId="47" xfId="2" applyFont="1" applyBorder="1" applyAlignment="1">
      <alignment horizontal="center" vertical="center" wrapText="1"/>
    </xf>
    <xf numFmtId="14" fontId="77" fillId="0" borderId="21" xfId="0" applyNumberFormat="1" applyFont="1" applyBorder="1" applyAlignment="1">
      <alignment horizontal="center" vertical="center"/>
    </xf>
    <xf numFmtId="0" fontId="77" fillId="0" borderId="16" xfId="0" applyFont="1" applyBorder="1" applyAlignment="1">
      <alignment horizontal="center" vertical="center"/>
    </xf>
    <xf numFmtId="0" fontId="9" fillId="0" borderId="27" xfId="0" applyFont="1" applyBorder="1" applyAlignment="1">
      <alignment horizontal="center" vertical="center"/>
    </xf>
    <xf numFmtId="0" fontId="9" fillId="0" borderId="16" xfId="0" quotePrefix="1" applyFont="1" applyBorder="1" applyAlignment="1">
      <alignment horizontal="center" vertical="center"/>
    </xf>
    <xf numFmtId="14" fontId="9" fillId="0" borderId="7" xfId="0" applyNumberFormat="1" applyFont="1" applyBorder="1" applyAlignment="1">
      <alignment horizontal="center" vertical="center" wrapText="1"/>
    </xf>
    <xf numFmtId="0" fontId="9" fillId="0" borderId="36" xfId="0" quotePrefix="1" applyFont="1" applyBorder="1" applyAlignment="1">
      <alignment horizontal="center" vertical="center" wrapText="1"/>
    </xf>
    <xf numFmtId="0" fontId="9" fillId="0" borderId="1" xfId="0" applyFont="1" applyBorder="1"/>
    <xf numFmtId="0" fontId="58" fillId="0" borderId="53" xfId="0" applyFont="1" applyBorder="1" applyAlignment="1">
      <alignment horizontal="center" vertical="center" wrapText="1"/>
    </xf>
    <xf numFmtId="0" fontId="11" fillId="0" borderId="53" xfId="0" applyFont="1" applyBorder="1" applyAlignment="1">
      <alignment horizontal="center" vertical="center" wrapText="1"/>
    </xf>
    <xf numFmtId="1" fontId="58" fillId="0" borderId="47" xfId="0" applyNumberFormat="1" applyFont="1" applyBorder="1" applyAlignment="1">
      <alignment horizontal="center" vertical="center" wrapText="1"/>
    </xf>
    <xf numFmtId="0" fontId="9" fillId="0" borderId="21" xfId="0" applyFont="1" applyBorder="1" applyAlignment="1">
      <alignment horizontal="center" vertical="center" wrapText="1"/>
    </xf>
    <xf numFmtId="0" fontId="9" fillId="0" borderId="19" xfId="0" quotePrefix="1" applyFont="1" applyBorder="1" applyAlignment="1">
      <alignment horizontal="center" vertical="center"/>
    </xf>
    <xf numFmtId="0" fontId="9" fillId="0" borderId="19" xfId="0" applyFont="1" applyBorder="1" applyAlignment="1">
      <alignment vertical="center" wrapText="1"/>
    </xf>
    <xf numFmtId="14" fontId="58" fillId="0" borderId="15" xfId="0" applyNumberFormat="1" applyFont="1" applyBorder="1" applyAlignment="1">
      <alignment horizontal="center" vertical="center"/>
    </xf>
    <xf numFmtId="0" fontId="15" fillId="0" borderId="11" xfId="2" applyBorder="1" applyAlignment="1">
      <alignment horizontal="center" vertical="center" wrapText="1"/>
    </xf>
    <xf numFmtId="0" fontId="15" fillId="0" borderId="13" xfId="2" applyBorder="1" applyAlignment="1">
      <alignment horizontal="center" vertical="center" wrapText="1"/>
    </xf>
    <xf numFmtId="0" fontId="62" fillId="0" borderId="12" xfId="2" applyFont="1" applyBorder="1" applyAlignment="1">
      <alignment horizontal="center" vertical="center" wrapText="1"/>
    </xf>
    <xf numFmtId="14" fontId="9" fillId="0" borderId="65" xfId="0" applyNumberFormat="1" applyFont="1" applyBorder="1" applyAlignment="1">
      <alignment horizontal="center" vertical="center"/>
    </xf>
    <xf numFmtId="14" fontId="58" fillId="0" borderId="65" xfId="0" applyNumberFormat="1" applyFont="1" applyBorder="1" applyAlignment="1">
      <alignment horizontal="center" vertical="center"/>
    </xf>
    <xf numFmtId="0" fontId="9" fillId="0" borderId="15" xfId="0" applyFont="1" applyBorder="1" applyAlignment="1">
      <alignment horizontal="center" vertical="center" wrapText="1"/>
    </xf>
    <xf numFmtId="0" fontId="9" fillId="0" borderId="15" xfId="0" applyFont="1" applyBorder="1" applyAlignment="1">
      <alignment horizontal="center" vertical="center"/>
    </xf>
    <xf numFmtId="0" fontId="2" fillId="0" borderId="20"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2" xfId="0" applyFont="1" applyBorder="1" applyAlignment="1">
      <alignment horizontal="center" vertical="center"/>
    </xf>
    <xf numFmtId="0" fontId="2" fillId="0" borderId="38" xfId="0" applyFont="1" applyBorder="1" applyAlignment="1">
      <alignment horizontal="center" vertical="center"/>
    </xf>
    <xf numFmtId="0" fontId="56" fillId="0" borderId="20" xfId="0" applyFont="1" applyBorder="1" applyAlignment="1">
      <alignment horizontal="center" vertical="center" wrapText="1"/>
    </xf>
    <xf numFmtId="0" fontId="56"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43" fillId="0" borderId="22" xfId="0" applyFont="1" applyBorder="1" applyAlignment="1">
      <alignment horizontal="center" vertical="center" wrapText="1"/>
    </xf>
    <xf numFmtId="0" fontId="2" fillId="0" borderId="38" xfId="0" applyFont="1" applyBorder="1" applyAlignment="1">
      <alignment horizontal="center" vertical="center" wrapText="1"/>
    </xf>
    <xf numFmtId="0" fontId="58" fillId="0" borderId="23" xfId="0" applyFont="1" applyBorder="1" applyAlignment="1">
      <alignment horizontal="center" vertical="center" wrapText="1"/>
    </xf>
    <xf numFmtId="0" fontId="58" fillId="0" borderId="43" xfId="0" applyFont="1" applyBorder="1" applyAlignment="1">
      <alignment horizontal="center" vertical="center" wrapText="1"/>
    </xf>
    <xf numFmtId="0" fontId="56" fillId="0" borderId="22" xfId="0" applyFont="1" applyBorder="1" applyAlignment="1">
      <alignment horizontal="center" vertical="center" wrapText="1"/>
    </xf>
    <xf numFmtId="0" fontId="56" fillId="0" borderId="38" xfId="0" applyFont="1" applyBorder="1" applyAlignment="1">
      <alignment horizontal="center" vertical="center"/>
    </xf>
    <xf numFmtId="0" fontId="2" fillId="0" borderId="43"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23" xfId="0" applyFont="1" applyBorder="1" applyAlignment="1">
      <alignment horizontal="center" vertical="center" wrapText="1"/>
    </xf>
    <xf numFmtId="0" fontId="9" fillId="0" borderId="1" xfId="0" applyFont="1" applyBorder="1" applyAlignment="1">
      <alignment horizontal="left" vertical="center"/>
    </xf>
    <xf numFmtId="0" fontId="9" fillId="0" borderId="10" xfId="0" applyFont="1" applyBorder="1" applyAlignment="1">
      <alignment horizontal="left" vertical="center"/>
    </xf>
    <xf numFmtId="0" fontId="1" fillId="0" borderId="0" xfId="0" applyFont="1" applyAlignment="1">
      <alignment horizontal="left"/>
    </xf>
    <xf numFmtId="0" fontId="1" fillId="0" borderId="2" xfId="0" applyFont="1" applyBorder="1" applyAlignment="1">
      <alignment horizontal="left" vertical="center" wrapText="1"/>
    </xf>
    <xf numFmtId="0" fontId="2" fillId="0" borderId="55" xfId="0" applyFont="1" applyBorder="1" applyAlignment="1">
      <alignment horizontal="left" vertical="center" wrapText="1"/>
    </xf>
    <xf numFmtId="0" fontId="2" fillId="0" borderId="36" xfId="0" applyFont="1" applyBorder="1" applyAlignment="1">
      <alignment horizontal="left" vertical="center" wrapText="1"/>
    </xf>
    <xf numFmtId="0" fontId="58" fillId="0" borderId="22" xfId="0" applyFont="1" applyBorder="1" applyAlignment="1">
      <alignment horizontal="center" wrapText="1"/>
    </xf>
    <xf numFmtId="0" fontId="58" fillId="0" borderId="45" xfId="0" applyFont="1" applyBorder="1" applyAlignment="1">
      <alignment horizontal="center"/>
    </xf>
    <xf numFmtId="0" fontId="58" fillId="0" borderId="23" xfId="0" applyFont="1" applyBorder="1" applyAlignment="1">
      <alignment horizontal="center"/>
    </xf>
    <xf numFmtId="0" fontId="9" fillId="0" borderId="53" xfId="0" applyFont="1" applyBorder="1" applyAlignment="1">
      <alignment horizontal="left" vertical="center"/>
    </xf>
    <xf numFmtId="0" fontId="9" fillId="0" borderId="47" xfId="0" applyFont="1" applyBorder="1" applyAlignment="1">
      <alignment horizontal="left" vertical="center"/>
    </xf>
    <xf numFmtId="0" fontId="1" fillId="0" borderId="13" xfId="0" applyFont="1" applyBorder="1" applyAlignment="1">
      <alignment horizontal="left" vertical="center" wrapText="1"/>
    </xf>
    <xf numFmtId="0" fontId="2" fillId="0" borderId="56" xfId="0" applyFont="1" applyBorder="1" applyAlignment="1">
      <alignment horizontal="left" vertical="center" wrapText="1"/>
    </xf>
    <xf numFmtId="0" fontId="2" fillId="0" borderId="37" xfId="0" applyFont="1" applyBorder="1" applyAlignment="1">
      <alignment horizontal="left" vertical="center" wrapText="1"/>
    </xf>
    <xf numFmtId="0" fontId="9" fillId="0" borderId="53" xfId="0" applyFont="1" applyBorder="1" applyAlignment="1">
      <alignment horizontal="left"/>
    </xf>
    <xf numFmtId="0" fontId="9" fillId="0" borderId="47" xfId="0" applyFont="1" applyBorder="1" applyAlignment="1">
      <alignment horizontal="left"/>
    </xf>
    <xf numFmtId="0" fontId="1" fillId="0" borderId="0" xfId="0" applyFont="1" applyAlignment="1">
      <alignment horizontal="left" vertical="center"/>
    </xf>
    <xf numFmtId="0" fontId="2" fillId="0" borderId="6" xfId="0" applyFont="1" applyBorder="1" applyAlignment="1">
      <alignment horizontal="center" vertical="center"/>
    </xf>
    <xf numFmtId="0" fontId="2" fillId="0" borderId="52" xfId="0" applyFont="1" applyBorder="1" applyAlignment="1">
      <alignment horizontal="center" vertical="center"/>
    </xf>
    <xf numFmtId="0" fontId="17" fillId="2" borderId="6" xfId="1" applyFont="1" applyFill="1" applyBorder="1" applyAlignment="1">
      <alignment horizontal="left"/>
    </xf>
    <xf numFmtId="0" fontId="17" fillId="2" borderId="51" xfId="1" applyFont="1" applyFill="1" applyBorder="1" applyAlignment="1">
      <alignment horizontal="left"/>
    </xf>
    <xf numFmtId="0" fontId="17" fillId="2" borderId="52" xfId="1" applyFont="1" applyFill="1" applyBorder="1" applyAlignment="1">
      <alignment horizontal="left"/>
    </xf>
    <xf numFmtId="0" fontId="12" fillId="0" borderId="48" xfId="1" applyFont="1" applyBorder="1" applyAlignment="1">
      <alignment horizontal="left"/>
    </xf>
    <xf numFmtId="0" fontId="12" fillId="0" borderId="57" xfId="1" applyFont="1" applyBorder="1" applyAlignment="1">
      <alignment horizontal="left"/>
    </xf>
    <xf numFmtId="0" fontId="12" fillId="0" borderId="8" xfId="1" applyFont="1" applyBorder="1" applyAlignment="1">
      <alignment horizontal="left"/>
    </xf>
    <xf numFmtId="0" fontId="13" fillId="0" borderId="18" xfId="1" applyFont="1" applyBorder="1" applyAlignment="1">
      <alignment horizontal="left"/>
    </xf>
    <xf numFmtId="0" fontId="13" fillId="0" borderId="55" xfId="1" applyFont="1" applyBorder="1" applyAlignment="1">
      <alignment horizontal="left"/>
    </xf>
    <xf numFmtId="0" fontId="13" fillId="0" borderId="36" xfId="1" applyFont="1" applyBorder="1" applyAlignment="1">
      <alignment horizontal="left"/>
    </xf>
    <xf numFmtId="0" fontId="14" fillId="0" borderId="18" xfId="1" applyFont="1" applyBorder="1" applyAlignment="1">
      <alignment horizontal="left"/>
    </xf>
    <xf numFmtId="0" fontId="14" fillId="0" borderId="55" xfId="1" applyFont="1" applyBorder="1" applyAlignment="1">
      <alignment horizontal="left"/>
    </xf>
    <xf numFmtId="0" fontId="14" fillId="0" borderId="36" xfId="1" applyFont="1" applyBorder="1" applyAlignment="1">
      <alignment horizontal="left"/>
    </xf>
    <xf numFmtId="0" fontId="32" fillId="0" borderId="18" xfId="0" applyFont="1" applyBorder="1" applyAlignment="1">
      <alignment horizontal="left"/>
    </xf>
    <xf numFmtId="0" fontId="32" fillId="0" borderId="55" xfId="0" applyFont="1" applyBorder="1" applyAlignment="1">
      <alignment horizontal="left"/>
    </xf>
    <xf numFmtId="0" fontId="32" fillId="0" borderId="36" xfId="0" applyFont="1" applyBorder="1" applyAlignment="1">
      <alignment horizontal="left"/>
    </xf>
    <xf numFmtId="0" fontId="1" fillId="0" borderId="19" xfId="0" applyFont="1" applyBorder="1" applyAlignment="1">
      <alignment horizontal="left"/>
    </xf>
    <xf numFmtId="0" fontId="1" fillId="0" borderId="56" xfId="0" applyFont="1" applyBorder="1" applyAlignment="1">
      <alignment horizontal="left"/>
    </xf>
    <xf numFmtId="0" fontId="1" fillId="0" borderId="37" xfId="0" applyFont="1" applyBorder="1" applyAlignment="1">
      <alignment horizontal="left"/>
    </xf>
    <xf numFmtId="0" fontId="56" fillId="0" borderId="9" xfId="0" applyFont="1" applyBorder="1" applyAlignment="1">
      <alignment horizontal="left" vertical="top"/>
    </xf>
    <xf numFmtId="0" fontId="56" fillId="0" borderId="11" xfId="0" applyFont="1" applyBorder="1" applyAlignment="1">
      <alignment horizontal="left" vertical="top"/>
    </xf>
    <xf numFmtId="0" fontId="9" fillId="0" borderId="1" xfId="0" applyFont="1" applyBorder="1" applyAlignment="1">
      <alignment horizontal="left"/>
    </xf>
    <xf numFmtId="0" fontId="9" fillId="0" borderId="10" xfId="0" applyFont="1" applyBorder="1" applyAlignment="1">
      <alignment horizontal="left"/>
    </xf>
    <xf numFmtId="0" fontId="2" fillId="0" borderId="20" xfId="0" applyFont="1" applyBorder="1" applyAlignment="1">
      <alignment horizontal="center" vertical="center"/>
    </xf>
    <xf numFmtId="0" fontId="2" fillId="0" borderId="39" xfId="0" applyFont="1" applyBorder="1" applyAlignment="1">
      <alignment horizontal="center" vertical="center"/>
    </xf>
    <xf numFmtId="0" fontId="2" fillId="0" borderId="1" xfId="0" applyFont="1" applyBorder="1" applyAlignment="1">
      <alignment horizontal="left" vertical="top" wrapText="1"/>
    </xf>
    <xf numFmtId="0" fontId="2" fillId="0" borderId="10" xfId="0" applyFont="1" applyBorder="1" applyAlignment="1">
      <alignment horizontal="left" vertical="top" wrapText="1"/>
    </xf>
    <xf numFmtId="0" fontId="2" fillId="0" borderId="54" xfId="0" applyFont="1" applyBorder="1" applyAlignment="1">
      <alignment horizontal="left" vertical="top" wrapText="1"/>
    </xf>
    <xf numFmtId="0" fontId="2" fillId="0" borderId="12" xfId="0" applyFont="1" applyBorder="1" applyAlignment="1">
      <alignment horizontal="left" vertical="top" wrapText="1"/>
    </xf>
    <xf numFmtId="0" fontId="2" fillId="0" borderId="60" xfId="0" applyFont="1" applyBorder="1" applyAlignment="1">
      <alignment horizontal="center" vertical="center" wrapText="1"/>
    </xf>
    <xf numFmtId="0" fontId="2" fillId="0" borderId="59" xfId="0" applyFont="1" applyBorder="1" applyAlignment="1">
      <alignment horizontal="center" vertical="center" wrapText="1"/>
    </xf>
    <xf numFmtId="1" fontId="2" fillId="0" borderId="50" xfId="0" applyNumberFormat="1"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7" xfId="0" applyFont="1" applyBorder="1" applyAlignment="1">
      <alignment horizontal="center" vertical="center" wrapText="1"/>
    </xf>
    <xf numFmtId="0" fontId="8" fillId="0" borderId="1" xfId="1" applyFont="1" applyBorder="1" applyAlignment="1">
      <alignment horizontal="left"/>
    </xf>
    <xf numFmtId="0" fontId="8" fillId="0" borderId="10" xfId="1" applyFont="1" applyBorder="1" applyAlignment="1">
      <alignment horizontal="left"/>
    </xf>
    <xf numFmtId="0" fontId="8" fillId="0" borderId="2" xfId="1" applyFont="1" applyBorder="1" applyAlignment="1">
      <alignment horizontal="left"/>
    </xf>
    <xf numFmtId="0" fontId="8" fillId="0" borderId="36" xfId="1" applyFont="1" applyBorder="1" applyAlignment="1">
      <alignment horizontal="left"/>
    </xf>
    <xf numFmtId="0" fontId="2" fillId="0" borderId="58" xfId="0" applyFont="1" applyBorder="1" applyAlignment="1">
      <alignment horizontal="center" vertical="center" wrapText="1"/>
    </xf>
    <xf numFmtId="0" fontId="58" fillId="0" borderId="20" xfId="0" applyFont="1" applyBorder="1" applyAlignment="1">
      <alignment horizontal="center" vertical="center" wrapText="1"/>
    </xf>
    <xf numFmtId="0" fontId="58" fillId="0" borderId="39" xfId="0" applyFont="1" applyBorder="1" applyAlignment="1">
      <alignment horizontal="center" vertical="center" wrapText="1"/>
    </xf>
    <xf numFmtId="0" fontId="43" fillId="0" borderId="45" xfId="0" applyFont="1" applyBorder="1" applyAlignment="1">
      <alignment horizontal="center" vertical="center" wrapText="1"/>
    </xf>
    <xf numFmtId="0" fontId="2" fillId="0" borderId="0" xfId="0" applyFont="1" applyAlignment="1">
      <alignment horizontal="center" vertical="center" wrapText="1"/>
    </xf>
    <xf numFmtId="0" fontId="56" fillId="0" borderId="23" xfId="0" applyFont="1" applyBorder="1" applyAlignment="1">
      <alignment horizontal="center" vertical="center" wrapText="1"/>
    </xf>
    <xf numFmtId="0" fontId="56" fillId="0" borderId="0" xfId="0" applyFont="1" applyAlignment="1">
      <alignment horizontal="center" vertical="center" wrapText="1"/>
    </xf>
    <xf numFmtId="0" fontId="17" fillId="2" borderId="22" xfId="1" applyFont="1" applyFill="1" applyBorder="1" applyAlignment="1">
      <alignment horizontal="left"/>
    </xf>
    <xf numFmtId="0" fontId="17" fillId="2" borderId="45" xfId="1" applyFont="1" applyFill="1" applyBorder="1" applyAlignment="1">
      <alignment horizontal="left"/>
    </xf>
    <xf numFmtId="0" fontId="52" fillId="0" borderId="48" xfId="1" applyFont="1" applyBorder="1" applyAlignment="1">
      <alignment horizontal="left" wrapText="1"/>
    </xf>
    <xf numFmtId="0" fontId="52" fillId="0" borderId="57" xfId="1" applyFont="1" applyBorder="1" applyAlignment="1">
      <alignment horizontal="left" wrapText="1"/>
    </xf>
    <xf numFmtId="0" fontId="52" fillId="0" borderId="8" xfId="1" applyFont="1" applyBorder="1" applyAlignment="1">
      <alignment horizontal="left" wrapText="1"/>
    </xf>
    <xf numFmtId="0" fontId="8" fillId="0" borderId="1" xfId="1" applyFont="1" applyBorder="1" applyAlignment="1">
      <alignment horizontal="left" vertical="center" wrapText="1"/>
    </xf>
    <xf numFmtId="0" fontId="8" fillId="0" borderId="10" xfId="1" applyFont="1" applyBorder="1" applyAlignment="1">
      <alignment horizontal="left" vertical="center" wrapText="1"/>
    </xf>
    <xf numFmtId="0" fontId="8" fillId="0" borderId="53" xfId="1" applyFont="1" applyBorder="1" applyAlignment="1">
      <alignment horizontal="left"/>
    </xf>
    <xf numFmtId="0" fontId="8" fillId="0" borderId="47" xfId="1" applyFont="1" applyBorder="1" applyAlignment="1">
      <alignment horizontal="left"/>
    </xf>
    <xf numFmtId="14" fontId="2" fillId="0" borderId="45" xfId="0" applyNumberFormat="1" applyFont="1" applyBorder="1" applyAlignment="1">
      <alignment horizontal="center" vertical="center" wrapText="1"/>
    </xf>
    <xf numFmtId="14" fontId="2" fillId="0" borderId="23" xfId="0" applyNumberFormat="1" applyFont="1" applyBorder="1" applyAlignment="1">
      <alignment horizontal="center" vertical="center" wrapText="1"/>
    </xf>
    <xf numFmtId="14" fontId="2" fillId="0" borderId="22" xfId="0" applyNumberFormat="1" applyFont="1" applyBorder="1" applyAlignment="1">
      <alignment horizontal="center" vertical="center" wrapText="1"/>
    </xf>
    <xf numFmtId="0" fontId="2" fillId="0" borderId="40"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2" xfId="0" applyFont="1" applyBorder="1" applyAlignment="1">
      <alignment horizontal="center" vertical="center" wrapText="1"/>
    </xf>
    <xf numFmtId="0" fontId="43" fillId="0" borderId="20" xfId="0" applyFont="1" applyBorder="1" applyAlignment="1">
      <alignment horizontal="center" vertical="center" wrapText="1"/>
    </xf>
    <xf numFmtId="0" fontId="72" fillId="0" borderId="1" xfId="0" applyFont="1" applyBorder="1" applyAlignment="1">
      <alignment vertical="center"/>
    </xf>
    <xf numFmtId="0" fontId="0" fillId="0" borderId="1" xfId="0" applyBorder="1" applyAlignment="1">
      <alignment vertical="top" wrapText="1"/>
    </xf>
    <xf numFmtId="0" fontId="27" fillId="0" borderId="1" xfId="0" applyFont="1" applyBorder="1" applyAlignment="1">
      <alignment vertical="top" wrapText="1"/>
    </xf>
  </cellXfs>
  <cellStyles count="4">
    <cellStyle name="Comma [0]" xfId="3" builtinId="6"/>
    <cellStyle name="Hyperlink" xfId="2" builtinId="8"/>
    <cellStyle name="Normal" xfId="0" builtinId="0"/>
    <cellStyle name="Normal 2" xfId="1" xr:uid="{665BD4C8-E32C-4666-8A4C-BE0547F5AD2D}"/>
  </cellStyles>
  <dxfs count="19">
    <dxf>
      <fill>
        <patternFill patternType="solid">
          <bgColor rgb="FFFFFF00"/>
        </patternFill>
      </fill>
    </dxf>
    <dxf>
      <font>
        <b val="0"/>
        <i val="0"/>
        <strike val="0"/>
        <color theme="9"/>
      </font>
      <fill>
        <patternFill patternType="none">
          <bgColor auto="1"/>
        </patternFill>
      </fill>
    </dxf>
    <dxf>
      <fill>
        <patternFill>
          <bgColor rgb="FFFFC000"/>
        </patternFill>
      </fill>
    </dxf>
    <dxf>
      <font>
        <color auto="1"/>
      </font>
      <fill>
        <patternFill patternType="solid">
          <bgColor theme="0" tint="-0.24994659260841701"/>
        </patternFill>
      </fill>
    </dxf>
    <dxf>
      <font>
        <color auto="1"/>
      </font>
      <fill>
        <patternFill patternType="solid">
          <bgColor theme="0" tint="-0.24994659260841701"/>
        </patternFill>
      </fill>
    </dxf>
    <dxf>
      <fill>
        <patternFill patternType="solid">
          <bgColor rgb="FFFFFF00"/>
        </patternFill>
      </fill>
    </dxf>
    <dxf>
      <font>
        <color rgb="FFFF0000"/>
      </font>
      <fill>
        <patternFill patternType="none">
          <bgColor auto="1"/>
        </patternFill>
      </fill>
    </dxf>
    <dxf>
      <font>
        <color theme="4"/>
      </font>
      <fill>
        <patternFill patternType="none">
          <bgColor auto="1"/>
        </patternFill>
      </fill>
    </dxf>
    <dxf>
      <font>
        <b val="0"/>
        <i val="0"/>
        <strike val="0"/>
        <color theme="9"/>
      </font>
      <fill>
        <patternFill patternType="none">
          <bgColor auto="1"/>
        </patternFill>
      </fill>
    </dxf>
    <dxf>
      <fill>
        <patternFill>
          <bgColor rgb="FFFFC000"/>
        </patternFill>
      </fill>
    </dxf>
    <dxf>
      <font>
        <color auto="1"/>
      </font>
      <fill>
        <patternFill patternType="solid">
          <bgColor theme="0" tint="-0.24994659260841701"/>
        </patternFill>
      </fill>
    </dxf>
    <dxf>
      <font>
        <color auto="1"/>
      </font>
      <fill>
        <patternFill patternType="solid">
          <bgColor theme="0" tint="-0.24994659260841701"/>
        </patternFill>
      </fill>
    </dxf>
    <dxf>
      <fill>
        <patternFill patternType="solid">
          <bgColor rgb="FFFFFF00"/>
        </patternFill>
      </fill>
    </dxf>
    <dxf>
      <font>
        <color rgb="FFFF0000"/>
      </font>
      <fill>
        <patternFill patternType="none">
          <bgColor auto="1"/>
        </patternFill>
      </fill>
    </dxf>
    <dxf>
      <font>
        <color theme="4"/>
      </font>
      <fill>
        <patternFill patternType="none">
          <bgColor auto="1"/>
        </patternFill>
      </fill>
    </dxf>
    <dxf>
      <font>
        <b val="0"/>
        <i val="0"/>
        <strike val="0"/>
        <color theme="9"/>
      </font>
      <fill>
        <patternFill patternType="none">
          <bgColor auto="1"/>
        </patternFill>
      </fill>
    </dxf>
    <dxf>
      <fill>
        <patternFill>
          <bgColor rgb="FFFFC000"/>
        </patternFill>
      </fill>
    </dxf>
    <dxf>
      <font>
        <color auto="1"/>
      </font>
      <fill>
        <patternFill patternType="solid">
          <bgColor theme="0" tint="-0.24994659260841701"/>
        </patternFill>
      </fill>
    </dxf>
    <dxf>
      <font>
        <color auto="1"/>
      </font>
      <fill>
        <patternFill patternType="solid">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tiasv.net/index.php/apps/files/files/130446?dir=/LTIA1%20SV/02.%20ICT%20Documents/01.RFA/5.10/20231227_70000-RFA-MAS-0088/Vietur" TargetMode="External"/><Relationship Id="rId299" Type="http://schemas.openxmlformats.org/officeDocument/2006/relationships/hyperlink" Target="https://www.ltiasv.net/index.php/apps/files/files/130625?dir=/LTIA1%20SV/02.%20ICT%20Documents/01.RFA/5.10/20240416_70000-RFA-MAS-0219/JCJV" TargetMode="External"/><Relationship Id="rId21" Type="http://schemas.openxmlformats.org/officeDocument/2006/relationships/hyperlink" Target="https://vietur.sharepoint.com/:f:/r/sites/LTIA/Shared%20Documents/1%20LTIA_VIETUR/03.%20THE%20EMPLOYER%20-%20CDT_TV/3.06%20Material%20Approval%20_%20Trinh%20Duyet%20Vat%20Lieu/3.6.1%20Submitted%20_%20Trinh/0305A_LTIA-5.10-VIETUR-70000-RFA-MAS-0305A?csf=1&amp;web=1&amp;e=zazQN2" TargetMode="External"/><Relationship Id="rId63" Type="http://schemas.openxmlformats.org/officeDocument/2006/relationships/hyperlink" Target="https://vietur.sharepoint.com/:b:/r/sites/LTIA/Shared%20Documents/1%20LTIA_VIETUR/03.%20THE%20EMPLOYER%20-%20CDT_TV/3.07%20Other%20Approval%20_%20Trinh%20Duyet%20Khac/3.7.2%20Approved%20_%20Duyet/Approved%20by%20JCJV%20_%20Duyet%20boi%20JCJV/0328_LTIA-5.10-JCJV-70000-ABC-OTH-0328.pdf?csf=1&amp;web=1&amp;e=ID0siW" TargetMode="External"/><Relationship Id="rId159" Type="http://schemas.openxmlformats.org/officeDocument/2006/relationships/hyperlink" Target="https://www.ltiasv.net/index.php/apps/files/files/130940?dir=/LTIA1%20SV/02.%20ICT%20Documents/01.RFA/5.10/20250818_70000-RFA-MAS-0655/Vietur" TargetMode="External"/><Relationship Id="rId324" Type="http://schemas.openxmlformats.org/officeDocument/2006/relationships/hyperlink" Target="https://www.ltiasv.net/index.php/apps/files/files/134659?dir=/LTIA1%20SV/02.%20ICT%20Documents/01.RFA/5.11/20250909_10000-RFA-GEN-0002/LTICT" TargetMode="External"/><Relationship Id="rId366" Type="http://schemas.openxmlformats.org/officeDocument/2006/relationships/hyperlink" Target="https://www.ltiasv.net/index.php/apps/files/files/134855?dir=/LTIA1%20SV/02.%20ICT%20Documents/01.RFA/5.11/20251114_RFA-OTH-0003/LTICT" TargetMode="External"/><Relationship Id="rId170" Type="http://schemas.openxmlformats.org/officeDocument/2006/relationships/hyperlink" Target="https://www.ltiasv.net/index.php/apps/files/files/130995?dir=/LTIA1%20SV/02.%20ICT%20Documents/01.RFA/5.10/20251113_70000-RFA-OTH-0631/Vietur" TargetMode="External"/><Relationship Id="rId226" Type="http://schemas.openxmlformats.org/officeDocument/2006/relationships/hyperlink" Target="https://www.ltiasv.net/index.php/apps/files/files/130973?dir=/LTIA1%20SV/02.%20ICT%20Documents/01.RFA/5.10/20250919_70000-RFA-OTH-0589/JCJV" TargetMode="External"/><Relationship Id="rId433" Type="http://schemas.openxmlformats.org/officeDocument/2006/relationships/hyperlink" Target="https://etcvn.sharepoint.com/:f:/r/sites/ACV.Prj.LTIA.ICT-ACV.Prj.LTIA.ICT-JCJV-PMU-VIETUR/Shared%20Documents/Prj.Outside/02.PMU-JCJV-ICT/01.Project%20Quality%20Management/02.RFA/4.%20RFA-GEN/RFA-0004/20260508?csf=1&amp;web=1&amp;e=IfJG1P" TargetMode="External"/><Relationship Id="rId268"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18A_LTIA-5.10-PMU-70000-ABE-MAS-0318A.pdf?csf=1&amp;web=1&amp;e=5qmeIO" TargetMode="External"/><Relationship Id="rId475" Type="http://schemas.openxmlformats.org/officeDocument/2006/relationships/hyperlink" Target="https://vietur.sharepoint.com/:f:/r/sites/LTIA/Shared%20Documents/4%20LTIA_LINK/4.1%20LTIA_LINK%20GUI%20CDT%20-%20TV/2026/08_2026/20260828/LTIA-5.10-VIETUR-70000-RFA-OTH-0721A?d=w80dd1850354f45eabdd43e2e2f143527&amp;csf=1&amp;web=1&amp;e=WPeBew" TargetMode="External"/><Relationship Id="rId32" Type="http://schemas.openxmlformats.org/officeDocument/2006/relationships/hyperlink" Target="https://vietur.sharepoint.com/:f:/r/sites/LTIA/Shared%20Documents/1%20LTIA_VIETUR/03.%20THE%20EMPLOYER%20-%20CDT_TV/3.06%20Material%20Approval%20_%20Trinh%20Duyet%20Vat%20Lieu/3.6.1%20Submitted%20_%20Trinh/0519_LITA-5.10-VIETUR-70000-RFA-MAS-0519?csf=1&amp;web=1&amp;e=9Bfne4" TargetMode="External"/><Relationship Id="rId74" Type="http://schemas.openxmlformats.org/officeDocument/2006/relationships/hyperlink" Target="https://vietur.sharepoint.com/:f:/r/sites/LTIA/Shared%20Documents/1%20LTIA_VIETUR/03.%20THE%20EMPLOYER%20-%20CDT_TV/3.06%20Material%20Approval%20_%20Trinh%20Duyet%20Vat%20Lieu/3.6.1%20Submitted%20_%20Trinh/0675_LTIA-5.10-VIETUR-70000-RFA-MAS-0675?csf=1&amp;web=1&amp;e=cfdoA2" TargetMode="External"/><Relationship Id="rId128" Type="http://schemas.openxmlformats.org/officeDocument/2006/relationships/hyperlink" Target="https://www.ltiasv.net/index.php/apps/files/files/36317?dir=/LTIA1%20SV/02.%20ICT%20Documents/01.RFA/5.10/20240611_70000-RFA-MAS-0277/Vietur" TargetMode="External"/><Relationship Id="rId335" Type="http://schemas.openxmlformats.org/officeDocument/2006/relationships/hyperlink" Target="https://www.ltiasv.net/index.php/apps/files/files/132251?dir=/LTIA1%20SV/02.%20ICT%20Documents/01.RFA/5.11/20250915_72040-RFA-MAS-0005/JCJV" TargetMode="External"/><Relationship Id="rId377" Type="http://schemas.openxmlformats.org/officeDocument/2006/relationships/hyperlink" Target="https://www.ltiasv.net/index.php/apps/files/files/134976?dir=/LTIA1%20SV/02.%20ICT%20Documents/01.RFA/5.11/20260326_RFA-MSS-0001/JCJV" TargetMode="External"/><Relationship Id="rId5" Type="http://schemas.openxmlformats.org/officeDocument/2006/relationships/hyperlink" Target="https://vietur.sharepoint.com/:f:/r/sites/LTIA/Shared%20Documents/1%20LTIA_VIETUR/03.%20THE%20EMPLOYER%20-%20CDT_TV/3.06%20Material%20Approval%20_%20Trinh%20Duyet%20Vat%20Lieu/3.6.1%20Submitted%20_%20Trinh/0208_LTIA-5.10-VIETUR-70000-RFA-MAS-0208?csf=1&amp;web=1&amp;e=3R6CnZ" TargetMode="External"/><Relationship Id="rId181" Type="http://schemas.openxmlformats.org/officeDocument/2006/relationships/hyperlink" Target="https://www.ltiasv.net/index.php/apps/files/files/130585?dir=/LTIA1%20SV/02.%20ICT%20Documents/01.RFA/5.10/20240405_72160-RFA-MSS-0082/JCJV" TargetMode="External"/><Relationship Id="rId237" Type="http://schemas.openxmlformats.org/officeDocument/2006/relationships/hyperlink" Target="https://vietur.sharepoint.com/:x:/r/sites/LTIA/_layouts/15/doc2.aspx?sourcedoc=%7B7B340B6F-4F71-447B-B3CE-5B292AE32761%7D&amp;file=LTIA_Register.xlsx&amp;action=default&amp;mobileredirect=true&amp;wdLOR=c16F6FCF8-9071-41B3-B82F-5D5C6DC4A3AF" TargetMode="External"/><Relationship Id="rId402" Type="http://schemas.openxmlformats.org/officeDocument/2006/relationships/hyperlink" Target="https://etcvn.sharepoint.com/:f:/r/sites/ACV.Prj.LTIA.ICT-ACV.Prj.LTIA.ICT-JCJV-PMU-VIETUR/Shared%20Documents/Prj.Outside/02.PMU-JCJV-ICT/01.Project%20Quality%20Management/02.RFA/1.RFA-MAS/RFA-0008-TOIP?csf=1&amp;web=1&amp;e=zFyXA5" TargetMode="External"/><Relationship Id="rId279"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84_LTIA-5.10-PMU-70000-ABE-MAS-0584.pdf?csf=1&amp;web=1&amp;e=eRKL86" TargetMode="External"/><Relationship Id="rId444" Type="http://schemas.openxmlformats.org/officeDocument/2006/relationships/hyperlink" Target="https://etcvn.sharepoint.com/:b:/r/sites/ACV.Prj.LTIA.ICT-ACV.Prj.LTIA.ICT-JCJV-PMU-VIETUR/Shared%20Documents/Prj.Outside/02.PMU-JCJV-ICT/01.Project%20Quality%20Management/02.RFA/5.%20RFA-OTH/RFA-OTH-0005/02.%20Respone/LTIA-5.11-%C2%A0JCJV-RBC-OTH-0005.pdf?csf=1&amp;web=1&amp;e=ghunDp" TargetMode="External"/><Relationship Id="rId486" Type="http://schemas.openxmlformats.org/officeDocument/2006/relationships/hyperlink" Target="https://vietur.sharepoint.com/sites/LTIA/Shared%20Documents/Forms/AllItems.aspx?d=wc53899570da140f19849c16a76dd2524&amp;csf=1&amp;web=1&amp;e=pjkGG0&amp;CID=ed76db0b%2D39c0%2D4739%2Daac7%2Da0f000e43feb&amp;FolderCTID=0x01200028DEC32B5F175D4DA872964C18466526&amp;id=%2Fsites%2FLTIA%2FShared%20Documents%2F4%20LTIA%5FLINK%2F4%2E1%20LTIA%5FLINK%20GUI%20CDT%20%2D%20TV%2F2026%2F09%5F2026%2F20260928%2FLTIA%2D5%2E10%2DVIETUR%2D70000%2DRFA%2DMAS%2D0814" TargetMode="External"/><Relationship Id="rId43"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19A_LTIA-5.10-JCJV-70000-ABC-MAS-0219A.pdf?csf=1&amp;web=1&amp;e=zpsdGr" TargetMode="External"/><Relationship Id="rId139" Type="http://schemas.openxmlformats.org/officeDocument/2006/relationships/hyperlink" Target="https://www.ltiasv.net/index.php/apps/files/files/37726?dir=/LTIA1%20SV/02.%20ICT%20Documents/01.RFA/5.10/20240918_70000-RFA-MAS-0258A/Vietur" TargetMode="External"/><Relationship Id="rId29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706_LTIA-5.10-PMU-70000-ABE-MAS-0706.pdf?csf=1&amp;web=1&amp;e=iI0Zlj" TargetMode="External"/><Relationship Id="rId304" Type="http://schemas.openxmlformats.org/officeDocument/2006/relationships/hyperlink" Target="https://vietur.sharepoint.com/:f:/r/sites/LTIA/Shared%20Documents/1%20LTIA_VIETUR/03.%20THE%20EMPLOYER%20-%20CDT_TV/3.07%20Other%20Approval%20_%20Trinh%20Duyet%20Khac/3.7.1%20Submitted%20_%20Trinh/0712_LTIA-5.10-VIETUR-70000-RFA-OTH-0712?csf=1&amp;web=1&amp;e=76tf8j" TargetMode="External"/><Relationship Id="rId346" Type="http://schemas.openxmlformats.org/officeDocument/2006/relationships/hyperlink" Target="https://www.ltiasv.net/index.php/apps/files/files/133286?dir=/LTIA1%20SV/02.%20ICT%20Documents/01.RFA/5.11/20251010_71110-RFA-MAS-0011/LTICT" TargetMode="External"/><Relationship Id="rId388" Type="http://schemas.openxmlformats.org/officeDocument/2006/relationships/hyperlink" Target="https://etcvn.sharepoint.com/:b:/r/sites/ACV.Prj.LTIA.ICT-ACV.Prj.LTIA.ICT-JCJV-PMU-VIETUR/Shared%20Documents/Prj.Outside/02.PMU-JCJV-ICT/01.Project%20Quality%20Management/02.RFA/1.RFA-MAS/RFA-0003-CCTV/04.Response/LTIA-5.11-PMU-72120-ABE-MAS-0003-initial%20updated.pdf?csf=1&amp;web=1&amp;e=u19YEj" TargetMode="External"/><Relationship Id="rId8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19_LTIA-5.10-JCJV-70000-ABC-MAS-0519.pdf?csf=1&amp;web=1&amp;e=FhmhVx" TargetMode="External"/><Relationship Id="rId150" Type="http://schemas.openxmlformats.org/officeDocument/2006/relationships/hyperlink" Target="https://www.ltiasv.net/index.php/apps/files/files/130851?dir=/LTIA1%20SV/02.%20ICT%20Documents/01.RFA/5.10/20250303_70000-RFA-MAS-0258B/Vietur" TargetMode="External"/><Relationship Id="rId192" Type="http://schemas.openxmlformats.org/officeDocument/2006/relationships/hyperlink" Target="https://www.ltiasv.net/index.php/apps/files/files/36508?dir=/LTIA1%20SV/02.%20ICT%20Documents/01.RFA/5.10/20240719_72160-RFA-MSS-0082A/JCJV" TargetMode="External"/><Relationship Id="rId206" Type="http://schemas.openxmlformats.org/officeDocument/2006/relationships/hyperlink" Target="https://www.ltiasv.net/index.php/apps/files/files/53427?dir=/LTIA1%20SV/02.%20ICT%20Documents/01.RFA/5.10/20241209_70000-RFA-OTH-0328/JCJV" TargetMode="External"/><Relationship Id="rId413" Type="http://schemas.openxmlformats.org/officeDocument/2006/relationships/hyperlink" Target="https://etcvn.sharepoint.com/:f:/r/sites/ACV.Prj.LTIA.ICT-ACV.Prj.LTIA.ICT-JCJV-PMU-VIETUR/Shared%20Documents/Prj.Outside/02.PMU-JCJV-ICT/01.Project%20Quality%20Management/02.RFA/1.RFA-MAS/RFA-0013-DNE?csf=1&amp;web=1&amp;e=idrU7M" TargetMode="External"/><Relationship Id="rId248"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258_LTIA-5.10-PMU-70000-ABE-MAS-0258.pdf?csf=1&amp;web=1&amp;e=u8NjKJ" TargetMode="External"/><Relationship Id="rId455" Type="http://schemas.openxmlformats.org/officeDocument/2006/relationships/hyperlink" Target="https://etcvn.sharepoint.com/:f:/r/sites/ACV.Prj.LTIA.ICT-ACV.Prj.LTIA.ICT-JCJV-PMU-VIETUR/Shared%20Documents/Prj.Outside/02.PMU-JCJV-ICT/01.Project%20Quality%20Management/02.RFA/1.RFA-MAS/RFA-0018-TOLL?csf=1&amp;web=1&amp;e=dkqgHX" TargetMode="External"/><Relationship Id="rId497" Type="http://schemas.openxmlformats.org/officeDocument/2006/relationships/hyperlink" Target="https://etcvn.sharepoint.com/:f:/r/sites/ACV.Prj.LTIA.ICT-ACV.Prj.LTIA.ICT-JCJV-PMU-VIETUR/Shared%20Documents/Prj.Outside/02.PMU-JCJV-ICT/01.Project%20Quality%20Management/02.RFA/6.%20RFA-MSS/RFA-MSS-TOLL-0006?d=wd3295b15eb5746f28952e4697002e533&amp;csf=1&amp;web=1&amp;e=xbqnxA" TargetMode="External"/><Relationship Id="rId12" Type="http://schemas.openxmlformats.org/officeDocument/2006/relationships/hyperlink" Target="https://vietur.sharepoint.com/:f:/r/sites/LTIA/Shared%20Documents/1%20LTIA_VIETUR/03.%20THE%20EMPLOYER%20-%20CDT_TV/3.06%20Material%20Approval%20_%20Trinh%20Duyet%20Vat%20Lieu/3.6.1%20Submitted%20_%20Trinh/0271_LTIA-5.10-VIETUR-70000-RFA-MAS-0271?csf=1&amp;web=1&amp;e=CslXPQ" TargetMode="External"/><Relationship Id="rId108"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96_LTIA-5.10-JCJV-70000-ABC-MAS-0696.pdf?csf=1&amp;web=1&amp;e=tiQWPz" TargetMode="External"/><Relationship Id="rId315" Type="http://schemas.openxmlformats.org/officeDocument/2006/relationships/hyperlink" Target="https://conincojsc-my.sharepoint.com/:b:/g/personal/vanphongjcjv_coninco_com_vn/IQDMGH77IgNWQaYlST1_-UM_AT4owIHOalQd6CvWJXhVEWw" TargetMode="External"/><Relationship Id="rId357" Type="http://schemas.openxmlformats.org/officeDocument/2006/relationships/hyperlink" Target="https://www.ltiasv.net/index.php/apps/files/files/134581?dir=/LTIA1%20SV/02.%20ICT%20Documents/01.RFA/5.11/20260524_71000-RFA-MAS-0017/LTICT" TargetMode="External"/><Relationship Id="rId54"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123_LTIA-5.10-JCJV-70000-CBC-MSS-0123.pdf?csf=1&amp;web=1&amp;e=ZgBKbY" TargetMode="External"/><Relationship Id="rId9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55_LTIA-5.10-JCJV-70000-ABC-MAS-0655.pdf?csf=1&amp;web=1&amp;e=Iyo4Zf" TargetMode="External"/><Relationship Id="rId161" Type="http://schemas.openxmlformats.org/officeDocument/2006/relationships/hyperlink" Target="https://www.ltiasv.net/index.php/apps/files/files/130931?dir=/LTIA1%20SV/02.%20ICT%20Documents/01.RFA/5.10/20250725_70000-RFA-OTH-0523/Vietur" TargetMode="External"/><Relationship Id="rId217" Type="http://schemas.openxmlformats.org/officeDocument/2006/relationships/hyperlink" Target="https://www.ltiasv.net/index.php/apps/files/files/130913?dir=/LTIA1%20SV/02.%20ICT%20Documents/01.RFA/5.10/20250524_70000-RFA-MAS-0584/JCJV" TargetMode="External"/><Relationship Id="rId399" Type="http://schemas.openxmlformats.org/officeDocument/2006/relationships/hyperlink" Target="https://etcvn.sharepoint.com/:f:/r/sites/ACV.Prj.LTIA.ICT-ACV.Prj.LTIA.ICT-JCJV-PMU-VIETUR/Shared%20Documents/Prj.Outside/02.PMU-JCJV-ICT/01.Project%20Quality%20Management/02.RFA/1.RFA-MAS/RFA-0007-WDNE?csf=1&amp;web=1&amp;e=ivOReO" TargetMode="External"/><Relationship Id="rId259"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123_LTIA-5.10-PMU-70000-ABE-MSS-0123.pdf?csf=1&amp;web=1&amp;e=BXN3Ky" TargetMode="External"/><Relationship Id="rId424" Type="http://schemas.openxmlformats.org/officeDocument/2006/relationships/hyperlink" Target="https://etcvn.sharepoint.com/:f:/r/sites/ACV.Prj.LTIA.ICT-ACV.Prj.LTIA.ICT-JCJV-PMU-VIETUR/Shared%20Documents/Prj.Outside/02.PMU-JCJV-ICT/01.Project%20Quality%20Management/02.RFA/4.%20RFA-GEN/RFA-0001?csf=1&amp;web=1&amp;e=EUO0RS" TargetMode="External"/><Relationship Id="rId466" Type="http://schemas.openxmlformats.org/officeDocument/2006/relationships/hyperlink" Target="https://conincojsc-my.sharepoint.com/:b:/g/personal/vanphongjcjv_coninco_com_vn/IQC5C_bY6mCOQoNqAkbgo4AJAbiCLbjhDjEXZUCCOG-TajA" TargetMode="External"/><Relationship Id="rId23" Type="http://schemas.openxmlformats.org/officeDocument/2006/relationships/hyperlink" Target="https://vietur.sharepoint.com/:f:/r/sites/LTIA/Shared%20Documents/1%20LTIA_VIETUR/03.%20THE%20EMPLOYER%20-%20CDT_TV/3.06%20Material%20Approval%20_%20Trinh%20Duyet%20Vat%20Lieu/3.6.1%20Submitted%20_%20Trinh/0158B_LTIA-5.10-VIETUR-70000-RFA-MAS-0158B?csf=1&amp;web=1&amp;e=PTc6AY" TargetMode="External"/><Relationship Id="rId119" Type="http://schemas.openxmlformats.org/officeDocument/2006/relationships/hyperlink" Target="https://www.ltiasv.net/index.php/apps/files/files/130499?dir=/LTIA1%20SV/02.%20ICT%20Documents/01.RFA/5.10/20240108_70000-RFA-MAS-0116/Vietur" TargetMode="External"/><Relationship Id="rId27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158C_LTIA-5.10-PMU-70000-ABE-MAS-0158C.pdf?csf=1&amp;web=1&amp;e=wISOOz" TargetMode="External"/><Relationship Id="rId326" Type="http://schemas.openxmlformats.org/officeDocument/2006/relationships/hyperlink" Target="https://www.ltiasv.net/index.php/apps/files/files/131762?dir=/LTIA1%20SV/02.%20ICT%20Documents/01.RFA/5.11/20250909_72110-RFA-MAS-0001/LTICT" TargetMode="External"/><Relationship Id="rId65" Type="http://schemas.openxmlformats.org/officeDocument/2006/relationships/hyperlink" Target="https://vietur.sharepoint.com/:f:/r/sites/LTIA/Shared%20Documents/1%20LTIA_VIETUR/03.%20THE%20EMPLOYER%20-%20CDT_TV/3.06%20Material%20Approval%20_%20Trinh%20Duyet%20Vat%20Lieu/3.6.1%20Submitted%20_%20Trinh/0277A_LTIA-5.10-VIETUR-70000-RFA-MAS-0277A?csf=1&amp;web=1&amp;e=09nDqO" TargetMode="External"/><Relationship Id="rId130" Type="http://schemas.openxmlformats.org/officeDocument/2006/relationships/hyperlink" Target="https://www.ltiasv.net/index.php/apps/files/files/36457?dir=/LTIA1%20SV/02.%20ICT%20Documents/01.RFA/5.10/20240628_70000-RFA-MAS-0305/Vietur" TargetMode="External"/><Relationship Id="rId368" Type="http://schemas.openxmlformats.org/officeDocument/2006/relationships/hyperlink" Target="https://www.ltiasv.net/index.php/apps/files/files/134854?dir=/LTIA1%20SV/02.%20ICT%20Documents/01.RFA/5.11/20260202_RFA-OTH-0004/JCJV" TargetMode="External"/><Relationship Id="rId172" Type="http://schemas.openxmlformats.org/officeDocument/2006/relationships/hyperlink" Target="https://www.ltiasv.net/index.php/apps/files/files/131018?dir=/LTIA1%20SV/02.%20ICT%20Documents/01.RFA/5.10/20251204_70000-RFA-MAS-0734/Vietur" TargetMode="External"/><Relationship Id="rId228" Type="http://schemas.openxmlformats.org/officeDocument/2006/relationships/hyperlink" Target="https://www.ltiasv.net/index.php/apps/files/files/130989?dir=/LTIA1%20SV/02.%20ICT%20Documents/01.RFA/5.10/20251030_70000-RFA-MAS-0706/JCJV" TargetMode="External"/><Relationship Id="rId435" Type="http://schemas.openxmlformats.org/officeDocument/2006/relationships/hyperlink" Target="https://etcvn.sharepoint.com/:f:/r/sites/ACV.Prj.LTIA.ICT-ACV.Prj.LTIA.ICT-JCJV-PMU-VIETUR/Shared%20Documents/Prj.Outside/02.PMU-JCJV-ICT/01.Project%20Quality%20Management/02.RFA/4.%20RFA-GEN/RFA-0004/20260619?csf=1&amp;web=1&amp;e=CvOnQq" TargetMode="External"/><Relationship Id="rId477" Type="http://schemas.openxmlformats.org/officeDocument/2006/relationships/hyperlink" Target="https://vietur.sharepoint.com/:f:/r/sites/LTIA/Shared%20Documents/4%20LTIA_LINK/4.1%20LTIA_LINK%20GUI%20CDT%20-%20TV/2026/09_2026/20260907/LTIA-5.10-VIETUR-70000-RFA-OTH-0757?d=w1c91af1e57da46f69b1cd7e0c7119d2e&amp;csf=1&amp;web=1&amp;e=bgbCPB" TargetMode="External"/><Relationship Id="rId281" Type="http://schemas.openxmlformats.org/officeDocument/2006/relationships/hyperlink" Target="https://vietur.sharepoint.com/:b:/r/sites/LTIA/Shared%20Documents/1%20LTIA_VIETUR/03.%20THE%20EMPLOYER%20-%20CDT_TV/3.07%20Other%20Approval%20_%20Trinh%20Duyet%20Khac/3.7.2%20Approved%20_%20Duyet/Approved%20by%20ACV%20_%20Duyet%20boi%20ACV/0523_LTIA-5.10-PMU-70000-ABE-OTH-0523.pdf?csf=1&amp;web=1&amp;e=EWflD9" TargetMode="External"/><Relationship Id="rId337" Type="http://schemas.openxmlformats.org/officeDocument/2006/relationships/hyperlink" Target="https://www.ltiasv.net/index.php/apps/files/files/131876?dir=/LTIA1%20SV/02.%20ICT%20Documents/01.RFA/5.11/20251010_72120-RFA-MAS-0003/JCJV" TargetMode="External"/><Relationship Id="rId34"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088_LTIA-5.10-JCJV-70000-RBC-MAS-0088.pdf?csf=1&amp;web=1&amp;e=TUaazC" TargetMode="External"/><Relationship Id="rId7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468_LTIA-5.10-JCJV-70000-ABC-MAS-0468.pdf?csf=1&amp;web=1&amp;e=bGlWp5" TargetMode="External"/><Relationship Id="rId141" Type="http://schemas.openxmlformats.org/officeDocument/2006/relationships/hyperlink" Target="https://www.ltiasv.net/index.php/apps/files/files/39544?dir=/LTIA1%20SV/02.%20ICT%20Documents/01.RFA/5.10/20241016_70000-RFA-MSS-0123A/Vietur" TargetMode="External"/><Relationship Id="rId379" Type="http://schemas.openxmlformats.org/officeDocument/2006/relationships/hyperlink" Target="https://www.ltiasv.net/index.php/apps/files/files/134842?dir=/LTIA1%20SV/02.%20ICT%20Documents/01.RFA/5.11/20260619_RFA-OTH-0008/LTICT" TargetMode="External"/><Relationship Id="rId7" Type="http://schemas.openxmlformats.org/officeDocument/2006/relationships/hyperlink" Target="https://vietur.sharepoint.com/:f:/r/sites/LTIA/Shared%20Documents/1%20LTIA_VIETUR/03.%20THE%20EMPLOYER%20-%20CDT_TV/3.06%20Material%20Approval%20_%20Trinh%20Duyet%20Vat%20Lieu/3.6.1%20Submitted%20_%20Trinh/0248_LTIA-5.10-VIETUR-70000-RFA-MAS-0248?csf=1&amp;web=1&amp;e=mpcRgj" TargetMode="External"/><Relationship Id="rId183" Type="http://schemas.openxmlformats.org/officeDocument/2006/relationships/hyperlink" Target="https://www.ltiasv.net/index.php/apps/files/files/36070?dir=/LTIA1%20SV/02.%20ICT%20Documents/01.RFA/5.10/20240514_70000-RFA-MAS-0088A/JCJV" TargetMode="External"/><Relationship Id="rId239" Type="http://schemas.openxmlformats.org/officeDocument/2006/relationships/hyperlink" Target="https://docs.vietur.vn/ltia-vietur/the-employer/document-register" TargetMode="External"/><Relationship Id="rId390" Type="http://schemas.openxmlformats.org/officeDocument/2006/relationships/hyperlink" Target="https://etcvn.sharepoint.com/:b:/r/sites/ACV.Prj.LTIA.ICT-ACV.Prj.LTIA.ICT-JCJV-PMU-VIETUR/Shared%20Documents/Prj.Outside/02.PMU-JCJV-ICT/01.Project%20Quality%20Management/02.RFA/1.RFA-MAS/RFA-0004-AGAC/04.Response/LTIA-5.11-JCJV-70100-ABC-MAS-0004.pdf?csf=1&amp;web=1&amp;e=nru98b" TargetMode="External"/><Relationship Id="rId404" Type="http://schemas.openxmlformats.org/officeDocument/2006/relationships/hyperlink" Target="https://etcvn.sharepoint.com/:b:/r/sites/ACV.Prj.LTIA.ICT-ACV.Prj.LTIA.ICT-JCJV-PMU-VIETUR/Shared%20Documents/Prj.Outside/02.PMU-JCJV-ICT/01.Project%20Quality%20Management/02.RFA/1.RFA-MAS/RFA-0008-TOIP/04.%20Response/LTIA-5.11-JCJV-72090-ABE-MAS-0008.pdf?csf=1&amp;web=1&amp;e=kClOk6" TargetMode="External"/><Relationship Id="rId446" Type="http://schemas.openxmlformats.org/officeDocument/2006/relationships/hyperlink" Target="https://etcvn.sharepoint.com/:b:/r/sites/ACV.Prj.LTIA.ICT-ACV.Prj.LTIA.ICT-JCJV-PMU-VIETUR/Shared%20Documents/Prj.Outside/02.PMU-JCJV-ICT/01.Project%20Quality%20Management/02.RFA/5.%20RFA-OTH/RFA-OTH-0006/03.%20Respone/LTIA-5.11-JCJV-RFA-OTH-0006.pdf?csf=1&amp;web=1&amp;e=kftjeH" TargetMode="External"/><Relationship Id="rId25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19A_LTIA-5.10-PMU-70000-ABE-MAS-0219A.pdf?csf=1&amp;web=1&amp;e=Dmqd8T" TargetMode="External"/><Relationship Id="rId29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720_LTIA-5.10-PMU-70000-ABE-MAS-0720.pdf?csf=1&amp;web=1&amp;e=3F952k" TargetMode="External"/><Relationship Id="rId30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58A_LTIA-5.10-PMU-70000-ABE-MAS-0258B.pdf?csf=1&amp;web=1&amp;e=ORRkrS" TargetMode="External"/><Relationship Id="rId488" Type="http://schemas.openxmlformats.org/officeDocument/2006/relationships/hyperlink" Target="https://etcvn.sharepoint.com/:f:/s/ACV.Prj.LTIA.ICT-ACV.Prj.LTIA.ICT-JCJV-PMU-VIETUR/IgCEBIWsK6wBT4hl4jHalT6mAbhKkgYwK1vV9cqTSKgbgLc" TargetMode="External"/><Relationship Id="rId4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71_LTIA-5.10-JCJV-70000-ABC-MAS-0271.pdf?csf=1&amp;web=1&amp;e=pn7PDB" TargetMode="External"/><Relationship Id="rId87" Type="http://schemas.openxmlformats.org/officeDocument/2006/relationships/hyperlink" Target="https://vietur.sharepoint.com/:f:/r/sites/LTIA/Shared%20Documents/1%20LTIA_VIETUR/03.%20THE%20EMPLOYER%20-%20CDT_TV/3.06%20Material%20Approval%20_%20Trinh%20Duyet%20Vat%20Lieu/3.6.1%20Submitted%20_%20Trinh/0734_LTIA-5.10-VIETUR-70000-RFA-MAS-0734?csf=1&amp;web=1&amp;e=Tm7RET" TargetMode="External"/><Relationship Id="rId110"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19B_LTIA-5.10-JCJV-70000-ABC-MAS-0219B.pdf?csf=1&amp;web=1&amp;e=94DPZV" TargetMode="External"/><Relationship Id="rId348" Type="http://schemas.openxmlformats.org/officeDocument/2006/relationships/hyperlink" Target="https://www.ltiasv.net/index.php/apps/files/files/133394?dir=/LTIA1%20SV/02.%20ICT%20Documents/01.RFA/5.11/20251010_72190-RFA-MAS-0012/LTICT" TargetMode="External"/><Relationship Id="rId152" Type="http://schemas.openxmlformats.org/officeDocument/2006/relationships/hyperlink" Target="https://www.ltiasv.net/index.php/apps/files/files/130865?dir=/LTIA1%20SV/02.%20ICT%20Documents/01.RFA/5.10/20250410_70000-RFA-MAS-0535/Vietur" TargetMode="External"/><Relationship Id="rId194" Type="http://schemas.openxmlformats.org/officeDocument/2006/relationships/hyperlink" Target="https://www.ltiasv.net/index.php/apps/files/files/36648?dir=/LTIA1%20SV/02.%20ICT%20Documents/01.RFA/5.10/20240808_70000-RFA-MAS-0208A/JCJV" TargetMode="External"/><Relationship Id="rId208" Type="http://schemas.openxmlformats.org/officeDocument/2006/relationships/hyperlink" Target="https://www.ltiasv.net/index.php/apps/files/files/70431?dir=/LTIA1%20SV/02.%20ICT%20Documents/01.RFA/5.10/20250121_70000-RFA-MAS-0468/JCJV" TargetMode="External"/><Relationship Id="rId415" Type="http://schemas.openxmlformats.org/officeDocument/2006/relationships/hyperlink" Target="https://etcvn.sharepoint.com/:b:/r/sites/ACV.Prj.LTIA.ICT-ACV.Prj.LTIA.ICT-JCJV-PMU-VIETUR/Shared%20Documents/Prj.Outside/02.PMU-JCJV-ICT/01.Project%20Quality%20Management/02.RFA/1.RFA-MAS/RFA-0013-DNE/04.%20Response/LTIA-5.11-PMU-72020-ABE-MAS-0013.pdf?csf=1&amp;web=1&amp;e=9WX6Vq" TargetMode="External"/><Relationship Id="rId457" Type="http://schemas.openxmlformats.org/officeDocument/2006/relationships/hyperlink" Target="https://www.ltiasv.net/index.php/apps/files/files/135847?dir=/LTIA1%20SV/02.%20ICT%20Documents/01.RFA/5.11/20260505_RFA-MAS-0014/JCJV" TargetMode="External"/><Relationship Id="rId261"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07A_LTIA-5.10-PMU-70000-ABE-MAS-0307A.pdf?csf=1&amp;web=1&amp;e=W0bPAz" TargetMode="External"/><Relationship Id="rId499" Type="http://schemas.openxmlformats.org/officeDocument/2006/relationships/printerSettings" Target="../printerSettings/printerSettings1.bin"/><Relationship Id="rId14" Type="http://schemas.openxmlformats.org/officeDocument/2006/relationships/hyperlink" Target="https://vietur.sharepoint.com/:f:/r/sites/LTIA/Shared%20Documents/1%20LTIA_VIETUR/03.%20THE%20EMPLOYER%20-%20CDT_TV/3.06%20Material%20Approval%20_%20Trinh%20Duyet%20Vat%20Lieu/3.6.1%20Submitted%20_%20Trinh/0307_LTIA-5.10-VIETUR-70000-RFA-MAS-0307?csf=1&amp;web=1&amp;e=BoBDmR" TargetMode="External"/><Relationship Id="rId5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07A_LTIA-5.10-JCJV-70000-ABC-MAS-0307A.pdf?csf=1&amp;web=1&amp;e=VXwueV" TargetMode="External"/><Relationship Id="rId317" Type="http://schemas.openxmlformats.org/officeDocument/2006/relationships/hyperlink" Target="https://conincojsc-my.sharepoint.com/:b:/g/personal/vanphongjcjv_coninco_com_vn/IQBhpXugZ32hQb6kgQtPiFGhAUSMSJ81CwKjMzxzLlz_31Q" TargetMode="External"/><Relationship Id="rId359" Type="http://schemas.openxmlformats.org/officeDocument/2006/relationships/hyperlink" Target="https://www.ltiasv.net/index.php/apps/files/files/134660?dir=/LTIA1%20SV/02.%20ICT%20Documents/01.RFA/5.11/20251029_10000-RFA-GEN-0003/JCJV" TargetMode="External"/><Relationship Id="rId98" Type="http://schemas.openxmlformats.org/officeDocument/2006/relationships/hyperlink" Target="https://vietur.sharepoint.com/:f:/r/sites/LTIA/Shared%20Documents/1%20LTIA_VIETUR/03.%20THE%20EMPLOYER%20-%20CDT_TV/3.06%20Material%20Approval%20_%20Trinh%20Duyet%20Vat%20Lieu/3.6.1%20Submitted%20_%20Trinh/0774_LTIA-5.10-VIETUR-70000-RFA-MAS-0774?csf=1&amp;web=1&amp;e=hhA29E" TargetMode="External"/><Relationship Id="rId121" Type="http://schemas.openxmlformats.org/officeDocument/2006/relationships/hyperlink" Target="https://www.ltiasv.net/index.php/apps/files/files/130586?dir=/LTIA1%20SV/02.%20ICT%20Documents/01.RFA/5.10/20240405_72160-RFA-MSS-0082/Vietur" TargetMode="External"/><Relationship Id="rId163" Type="http://schemas.openxmlformats.org/officeDocument/2006/relationships/hyperlink" Target="https://www.ltiasv.net/index.php/apps/files/files/130955?dir=/LTIA1%20SV/02.%20ICT%20Documents/01.RFA/5.10/20250906_70000-RFA-OTH-0568/Vietur" TargetMode="External"/><Relationship Id="rId219" Type="http://schemas.openxmlformats.org/officeDocument/2006/relationships/hyperlink" Target="https://www.ltiasv.net/index.php/apps/files/files/130941?dir=/LTIA1%20SV/02.%20ICT%20Documents/01.RFA/5.10/20250818_70000-RFA-MAS-0655/JCJV" TargetMode="External"/><Relationship Id="rId370" Type="http://schemas.openxmlformats.org/officeDocument/2006/relationships/hyperlink" Target="https://www.ltiasv.net/index.php/apps/files/files/134848?dir=/LTIA1%20SV/02.%20ICT%20Documents/01.RFA/5.11/20260304_RFA-OTH-0005/JCJV" TargetMode="External"/><Relationship Id="rId426" Type="http://schemas.openxmlformats.org/officeDocument/2006/relationships/hyperlink" Target="https://etcvn.sharepoint.com/:b:/r/sites/ACV.Prj.LTIA.ICT-ACV.Prj.LTIA.ICT-JCJV-PMU-VIETUR/Shared%20Documents/Prj.Outside/02.PMU-JCJV-ICT/01.Project%20Quality%20Management/02.RFA/4.%20RFA-GEN/RFA-0001/4.%20Response/LTIA-5.11-PMU-10000-ABE-GEN-0001.pdf?csf=1&amp;web=1&amp;e=wpUBap" TargetMode="External"/><Relationship Id="rId230" Type="http://schemas.openxmlformats.org/officeDocument/2006/relationships/hyperlink" Target="https://www.ltiasv.net/index.php/apps/files/files/130996?dir=/LTIA1%20SV/02.%20ICT%20Documents/01.RFA/5.10/20251113_70000-RFA-OTH-0631/JCJV" TargetMode="External"/><Relationship Id="rId468" Type="http://schemas.openxmlformats.org/officeDocument/2006/relationships/hyperlink" Target="https://vietur.sharepoint.com/:f:/r/sites/LTIA/Shared%20Documents/4%20LTIA_LINK/4.1%20LTIA_LINK%20GUI%20CDT%20-%20TV/2026/09_2026/20260908/LTIA-5.10-VIETUR-70000-RFA-OTH-0725A?d=w6bf788dfbee14a13b379da5041c97721&amp;csf=1&amp;web=1&amp;e=HSwNmB" TargetMode="External"/><Relationship Id="rId25" Type="http://schemas.openxmlformats.org/officeDocument/2006/relationships/hyperlink" Target="https://vietur.sharepoint.com/:f:/r/sites/LTIA/Shared%20Documents/1%20LTIA_VIETUR/03.%20THE%20EMPLOYER%20-%20CDT_TV/3.06%20Material%20Approval%20_%20Trinh%20Duyet%20Vat%20Lieu/3.6.1%20Submitted%20_%20Trinh/0305B_LTIA-5.10-VIETUR-70000-RFA-MAS-0305B?csf=1&amp;web=1&amp;e=q5Xn2c" TargetMode="External"/><Relationship Id="rId67" Type="http://schemas.openxmlformats.org/officeDocument/2006/relationships/hyperlink" Target="https://vietur.sharepoint.com/:f:/r/sites/LTIA/Shared%20Documents/1%20LTIA_VIETUR/03.%20THE%20EMPLOYER%20-%20CDT_TV/3.06%20Material%20Approval%20_%20Trinh%20Duyet%20Vat%20Lieu/3.6.1%20Submitted%20_%20Trinh/0556A_LTIA-5.10-VIETUR-70000-RFA-MAS-0556A?csf=1&amp;web=1&amp;e=i9hXI9" TargetMode="External"/><Relationship Id="rId27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468_LTIA-5.10-PMU-70000-ABE-MAS-0468.pdf?csf=1&amp;web=1&amp;e=DGoPJB" TargetMode="External"/><Relationship Id="rId328" Type="http://schemas.openxmlformats.org/officeDocument/2006/relationships/hyperlink" Target="https://www.ltiasv.net/index.php/apps/files/files/131797?dir=/LTIA1%20SV/02.%20ICT%20Documents/01.RFA/5.11/20250910_72110-RFA-MAS-0002/LTICT" TargetMode="External"/><Relationship Id="rId132" Type="http://schemas.openxmlformats.org/officeDocument/2006/relationships/hyperlink" Target="https://www.ltiasv.net/index.php/apps/files/files/36507?dir=/LTIA1%20SV/02.%20ICT%20Documents/01.RFA/5.10/20240719_72160-RFA-MSS-0082A/Vietur" TargetMode="External"/><Relationship Id="rId174" Type="http://schemas.openxmlformats.org/officeDocument/2006/relationships/hyperlink" Target="https://www.ltiasv.net/index.php/apps/files/files/131023?dir=/LTIA1%20SV/02.%20ICT%20Documents/01.RFA/5.10/20251204_70000-RFA-MAS-0556B/Vietur" TargetMode="External"/><Relationship Id="rId381" Type="http://schemas.openxmlformats.org/officeDocument/2006/relationships/hyperlink" Target="https://etcvn.sharepoint.com/:f:/r/sites/ACV.Prj.LTIA.ICT-ACV.Prj.LTIA.ICT-JCJV-PMU-VIETUR/Shared%20Documents/Prj.Outside/02.PMU-JCJV-ICT/01.Project%20Quality%20Management/02.RFA/1.RFA-MAS/RFA-0001-IPTV?csf=1&amp;web=1&amp;e=LCuAl0" TargetMode="External"/><Relationship Id="rId241"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093_LTIA-5.10-PMU-70000-ABE-MAS-0093.pdf?csf=1&amp;web=1&amp;e=4P4fR0" TargetMode="External"/><Relationship Id="rId437" Type="http://schemas.openxmlformats.org/officeDocument/2006/relationships/hyperlink" Target="https://etcvn.sharepoint.com/:f:/r/sites/ACV.Prj.LTIA.ICT-ACV.Prj.LTIA.ICT-JCJV-PMU-VIETUR/Shared%20Documents/Prj.Outside/02.PMU-JCJV-ICT/01.Project%20Quality%20Management/02.RFA/5.%20RFA-OTH/RFA-OTH-0001?csf=1&amp;web=1&amp;e=o3Vnbl" TargetMode="External"/><Relationship Id="rId479" Type="http://schemas.openxmlformats.org/officeDocument/2006/relationships/hyperlink" Target="https://conincojsc-my.sharepoint.com/:b:/g/personal/vanphongjcjv_coninco_com_vn/IQAyWsOqCqJgQpBX21xwnlu4ARMzuMVxtPA9PVC_bQ63IeE" TargetMode="External"/><Relationship Id="rId3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116_LTIA-5.10-JCJV-70000-ABC-MAS-0116.pdf?csf=1&amp;web=1&amp;e=EOsPX5" TargetMode="External"/><Relationship Id="rId283"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660_LTIA-5.10-PMU-70000-ABE-MAS-0660.pdf?csf=1&amp;web=1&amp;e=AZiacN" TargetMode="External"/><Relationship Id="rId339" Type="http://schemas.openxmlformats.org/officeDocument/2006/relationships/hyperlink" Target="https://www.ltiasv.net/index.php/apps/files/files/132010?dir=/LTIA1%20SV/02.%20ICT%20Documents/01.RFA/5.11/20251014_72120-RFA-MAS-0004/JCJV" TargetMode="External"/><Relationship Id="rId490" Type="http://schemas.openxmlformats.org/officeDocument/2006/relationships/hyperlink" Target="https://conincojsc-my.sharepoint.com/:b:/g/personal/vanphongjcjv_coninco_com_vn/IQBCIjFdvlesTIJXJOmAbIlrAc22qcK7q2s_VF2Mq9wo9yE" TargetMode="External"/><Relationship Id="rId78" Type="http://schemas.openxmlformats.org/officeDocument/2006/relationships/hyperlink" Target="https://vietur.sharepoint.com/:b:/r/sites/LTIA/Shared%20Documents/1%20LTIA_VIETUR/03.%20THE%20EMPLOYER%20-%20CDT_TV/3.07%20Other%20Approval%20_%20Trinh%20Duyet%20Khac/3.7.3%20Not%20Approved%20_%20Khong%20duyet/Not%20Approved%20by%20JCJV%20_%20Khong%20duyet%20boi%20JCJV/0432_LTIA-5.10-JCJV-70000-RBC-OTH-0432.pdf?csf=1&amp;web=1&amp;e=WXWwes" TargetMode="External"/><Relationship Id="rId101" Type="http://schemas.openxmlformats.org/officeDocument/2006/relationships/hyperlink" Target="https://vietur.sharepoint.com/:b:/r/sites/LTIA/Shared%20Documents/1%20LTIA_VIETUR/03.%20THE%20EMPLOYER%20-%20CDT_TV/3.07%20Other%20Approval%20_%20Trinh%20Duyet%20Khac/3.7.2%20Approved%20_%20Duyet/Approved%20by%20JCJV%20_%20Duyet%20boi%20JCJV/0565_LTIA-5.10-JCJV-70000-ABC-OTH-0565.pdf?csf=1&amp;web=1&amp;e=ob1xd9" TargetMode="External"/><Relationship Id="rId143" Type="http://schemas.openxmlformats.org/officeDocument/2006/relationships/hyperlink" Target="https://www.ltiasv.net/index.php/apps/files/files/44806?dir=/LTIA1%20SV/02.%20ICT%20Documents/01.RFA/5.10/20241118_70000-RFA-MAS-0409/Vietur" TargetMode="External"/><Relationship Id="rId185" Type="http://schemas.openxmlformats.org/officeDocument/2006/relationships/hyperlink" Target="https://www.ltiasv.net/index.php/apps/files/files/36314?dir=/LTIA1%20SV/02.%20ICT%20Documents/01.RFA/5.10/20240522_70000-RFA-MAS-0258/JCJV" TargetMode="External"/><Relationship Id="rId350" Type="http://schemas.openxmlformats.org/officeDocument/2006/relationships/hyperlink" Target="https://www.ltiasv.net/index.php/apps/files/files/133495?dir=/LTIA1%20SV/02.%20ICT%20Documents/01.RFA/5.11/20251019_72010-RFA-MAS-0013/JCJV" TargetMode="External"/><Relationship Id="rId406" Type="http://schemas.openxmlformats.org/officeDocument/2006/relationships/hyperlink" Target="https://etcvn.sharepoint.com/:b:/r/sites/ACV.Prj.LTIA.ICT-ACV.Prj.LTIA.ICT-JCJV-PMU-VIETUR/Shared%20Documents/Prj.Outside/02.PMU-JCJV-ICT/01.Project%20Quality%20Management/02.RFA/1.RFA-MAS/RFA-0009-PMR/RFA-0009-PMR/04.Response/LTIA-5.11-PMU-72100-MAS-0009.pdf?csf=1&amp;web=1&amp;e=ndN4rC" TargetMode="External"/><Relationship Id="rId9" Type="http://schemas.openxmlformats.org/officeDocument/2006/relationships/hyperlink" Target="https://vietur.sharepoint.com/:f:/r/sites/LTIA/Shared%20Documents/1%20LTIA_VIETUR/03.%20THE%20EMPLOYER%20-%20CDT_TV/3.06%20Material%20Approval%20_%20Trinh%20Duyet%20Vat%20Lieu/3.6.1%20Submitted%20_%20Trinh/0265_LTIA-5.10-VIETUR-70000-RFA-MAS-0265?csf=1&amp;web=1&amp;e=Ko1qiI" TargetMode="External"/><Relationship Id="rId210" Type="http://schemas.openxmlformats.org/officeDocument/2006/relationships/hyperlink" Target="https://www.ltiasv.net/index.php/apps/files/files/130852?dir=/LTIA1%20SV/02.%20ICT%20Documents/01.RFA/5.10/20250303_70000-RFA-MAS-0258B/JCJV" TargetMode="External"/><Relationship Id="rId392" Type="http://schemas.openxmlformats.org/officeDocument/2006/relationships/hyperlink" Target="https://etcvn.sharepoint.com/:f:/r/sites/ACV.Prj.LTIA.ICT-ACV.Prj.LTIA.ICT-JCJV-PMU-VIETUR/Shared%20Documents/Prj.Outside/02.PMU-JCJV-ICT/01.Project%20Quality%20Management/02.RFA/1.RFA-MAS/RFA-0005-DCH?csf=1&amp;web=1&amp;e=fjLulv" TargetMode="External"/><Relationship Id="rId448" Type="http://schemas.openxmlformats.org/officeDocument/2006/relationships/hyperlink" Target="https://etcvn.sharepoint.com/:f:/r/sites/ACV.Prj.LTIA.ICT-ACV.Prj.LTIA.ICT-JCJV-PMU-VIETUR/Shared%20Documents/Prj.Outside/02.PMU-JCJV-ICT/01.Project%20Quality%20Management/02.RFA/5.%20RFA-OTH/RFA-OTH-0007/20260320?csf=1&amp;web=1&amp;e=ZeywTB" TargetMode="External"/><Relationship Id="rId25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71_LTIA-5.10-PMU-70000-ABE-MAS-0271.pdf?csf=1&amp;web=1&amp;e=khgVqp" TargetMode="External"/><Relationship Id="rId294" Type="http://schemas.openxmlformats.org/officeDocument/2006/relationships/hyperlink" Target="https://vietur.sharepoint.com/:b:/r/sites/LTIA/Shared%20Documents/1%20LTIA_VIETUR/03.%20THE%20EMPLOYER%20-%20CDT_TV/3.07%20Other%20Approval%20_%20Trinh%20Duyet%20Khac/3.7.3%20Not%20Approved%20_%20Khong%20duyet/Not%20Approved%20by%20ACV%20_%20Khong%20duyet%20boi%20ACV/0654_LTIA-5.10-PMU-70000-ABE-OTH-0654.pdf?csf=1&amp;web=1&amp;e=c6TeQc" TargetMode="External"/><Relationship Id="rId308"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708_LTIA-5.10-PMU-70000-ABE-MAS-0708.pdf?csf=1&amp;web=1&amp;e=gep3HN" TargetMode="External"/><Relationship Id="rId47"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082A_LTIA-5.10-JCJV-72160-ABC-MSS-0082A.pdf?csf=1&amp;web=1&amp;e=7O8H7f" TargetMode="External"/><Relationship Id="rId89"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08_LTIA-5.10-JCJV-70000-CBC-MAS-0208.pdf?csf=1&amp;web=1&amp;e=EzV2PW" TargetMode="External"/><Relationship Id="rId112" Type="http://schemas.openxmlformats.org/officeDocument/2006/relationships/hyperlink" Target="https://vietur.sharepoint.com/:b:/r/sites/LTIA/Shared%20Documents/1%20LTIA_VIETUR/03.%20THE%20EMPLOYER%20-%20CDT_TV/3.07%20Other%20Approval%20_%20Trinh%20Duyet%20Khac/3.7.3%20Not%20Approved%20_%20Khong%20duyet/Not%20Approved%20by%20JCJV%20_%20Khong%20duyet%20boi%20JCJV/0589_LTIA-5.10-JCJV-70000-RBC-OTH-0589.pdf?csf=1&amp;web=1&amp;e=85NZxV" TargetMode="External"/><Relationship Id="rId154" Type="http://schemas.openxmlformats.org/officeDocument/2006/relationships/hyperlink" Target="https://www.ltiasv.net/index.php/apps/files/files/130896?dir=/LTIA1%20SV/02.%20ICT%20Documents/01.RFA/5.10/20250623_70000-RFA-OTH-0440/Vietur" TargetMode="External"/><Relationship Id="rId361" Type="http://schemas.openxmlformats.org/officeDocument/2006/relationships/hyperlink" Target="https://www.ltiasv.net/index.php/apps/files/files/134651?dir=/LTIA1%20SV/02.%20ICT%20Documents/01.RFA/5.11/20260508_10000-RFA-GEN-0004/JCJV" TargetMode="External"/><Relationship Id="rId196" Type="http://schemas.openxmlformats.org/officeDocument/2006/relationships/hyperlink" Target="https://www.ltiasv.net/index.php/apps/files/files/36734?dir=/LTIA1%20SV/02.%20ICT%20Documents/01.RFA/5.10/20240814_70000-RFA-MSS-0123/JCJV" TargetMode="External"/><Relationship Id="rId417" Type="http://schemas.openxmlformats.org/officeDocument/2006/relationships/hyperlink" Target="https://etcvn.sharepoint.com/:f:/r/sites/ACV.Prj.LTIA.ICT-ACV.Prj.LTIA.ICT-JCJV-PMU-VIETUR/Shared%20Documents/Prj.Outside/02.PMU-JCJV-ICT/01.Project%20Quality%20Management/02.RFA/1.RFA-MAS/RFA-001-MAS-ACCESSORIES?csf=1&amp;web=1&amp;e=dG4SEg" TargetMode="External"/><Relationship Id="rId459" Type="http://schemas.openxmlformats.org/officeDocument/2006/relationships/hyperlink" Target="https://vietur.sharepoint.com/:f:/r/sites/LTIA/Shared%20Documents/4%20LTIA_LINK/4.1%20LTIA_LINK%20GUI%20CDT%20-%20TV/2026/07_2026/20260710/LTIA-5.10-VIETUR-70000-RFA-OTH-0733?csf=1&amp;web=1&amp;e=VhflY5" TargetMode="External"/><Relationship Id="rId16" Type="http://schemas.openxmlformats.org/officeDocument/2006/relationships/hyperlink" Target="https://vietur.sharepoint.com/:f:/r/sites/LTIA/Shared%20Documents/1%20LTIA_VIETUR/03.%20THE%20EMPLOYER%20-%20CDT_TV/3.06%20Material%20Approval%20_%20Trinh%20Duyet%20Vat%20Lieu/3.6.1%20Submitted%20_%20Trinh/0318_LTIA-5.10-VIETUR-70000-RFA-MAS-0318?csf=1&amp;web=1&amp;e=O6KDHk" TargetMode="External"/><Relationship Id="rId221" Type="http://schemas.openxmlformats.org/officeDocument/2006/relationships/hyperlink" Target="https://www.ltiasv.net/index.php/apps/files/files/130932?dir=/LTIA1%20SV/02.%20ICT%20Documents/01.RFA/5.10/20250725_70000-RFA-OTH-0523/JCJV" TargetMode="External"/><Relationship Id="rId263"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05A_LTIA-5.10-PMU-70000-ABE-MAS-0305A.pdf?csf=1&amp;web=1&amp;e=0klFwM" TargetMode="External"/><Relationship Id="rId319" Type="http://schemas.openxmlformats.org/officeDocument/2006/relationships/hyperlink" Target="https://www.ltiasv.net/index.php/apps/files/files/134970?dir=/LTIA1%20SV/02.%20ICT%20Documents/01.RFA/5.10/20260615_70000-RFA-OTH-0725/JCJV" TargetMode="External"/><Relationship Id="rId470" Type="http://schemas.openxmlformats.org/officeDocument/2006/relationships/hyperlink" Target="https://etcvn.sharepoint.com/:f:/r/sites/ACV.Prj.LTIA.ICT-ACV.Prj.LTIA.ICT-JCJV-PMU-VIETUR/Shared%20Documents/Prj.Outside/02.PMU-JCJV-ICT/01.Project%20Quality%20Management/02.RFA/5.%20RFA-OTH/RFA-OTH-0011?d=w6b55511e02f64fedae5041caa3684b90&amp;csf=1&amp;web=1&amp;e=Ke0yU1" TargetMode="External"/><Relationship Id="rId58" Type="http://schemas.openxmlformats.org/officeDocument/2006/relationships/hyperlink" Target="https://vietur.sharepoint.com/:f:/r/sites/LTIA/Shared%20Documents/1%20LTIA_VIETUR/03.%20THE%20EMPLOYER%20-%20CDT_TV/3.07%20Other%20Approval%20_%20Trinh%20Duyet%20Khac/3.7.1%20Submitted%20_%20Trinh/0440_LTIA-5.10-VIETUR-70000-RFA-OTH-0440?csf=1&amp;web=1&amp;e=IqEKlU" TargetMode="External"/><Relationship Id="rId123" Type="http://schemas.openxmlformats.org/officeDocument/2006/relationships/hyperlink" Target="https://www.ltiasv.net/index.php/apps/files/files/36071?dir=/LTIA1%20SV/02.%20ICT%20Documents/01.RFA/5.10/20240514_70000-RFA-MAS-0088A/Vietur" TargetMode="External"/><Relationship Id="rId330" Type="http://schemas.openxmlformats.org/officeDocument/2006/relationships/hyperlink" Target="https://www.ltiasv.net/index.php/apps/files/files/133081?dir=/LTIA1%20SV/02.%20ICT%20Documents/01.RFA/5.11/20250910_72090-RFA-MAS-0008/LTICT" TargetMode="External"/><Relationship Id="rId165" Type="http://schemas.openxmlformats.org/officeDocument/2006/relationships/hyperlink" Target="https://www.ltiasv.net/index.php/apps/files/files/130969?dir=/LTIA1%20SV/02.%20ICT%20Documents/01.RFA/5.10/20250911_70000-RFA-MAS-0675/Vietur" TargetMode="External"/><Relationship Id="rId372" Type="http://schemas.openxmlformats.org/officeDocument/2006/relationships/hyperlink" Target="https://www.ltiasv.net/index.php/apps/files/files/134851?dir=/LTIA1%20SV/02.%20ICT%20Documents/01.RFA/5.11/20260305_RFA-OTH-0006/JCJV" TargetMode="External"/><Relationship Id="rId428" Type="http://schemas.openxmlformats.org/officeDocument/2006/relationships/hyperlink" Target="https://etcvn.sharepoint.com/:b:/r/sites/ACV.Prj.LTIA.ICT-ACV.Prj.LTIA.ICT-JCJV-PMU-VIETUR/Shared%20Documents/Prj.Outside/02.PMU-JCJV-ICT/01.Project%20Quality%20Management/02.RFA/4.%20RFA-GEN/RFA-0002/4.Response/LTIA-5.11-JCJV-10000-ABC-GEN-0002.pdf?csf=1&amp;web=1&amp;e=3K5DzS" TargetMode="External"/><Relationship Id="rId232" Type="http://schemas.openxmlformats.org/officeDocument/2006/relationships/hyperlink" Target="https://www.ltiasv.net/index.php/apps/files/files/131019?dir=/LTIA1%20SV/02.%20ICT%20Documents/01.RFA/5.10/20251204_70000-RFA-MAS-0734/JCJV" TargetMode="External"/><Relationship Id="rId274"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35_LTIA-5.10-PMU-70000-ABE-MAS-0535.pdf?csf=1&amp;web=1&amp;e=NMp4qe" TargetMode="External"/><Relationship Id="rId481" Type="http://schemas.openxmlformats.org/officeDocument/2006/relationships/hyperlink" Target="https://vietur.sharepoint.com/:f:/r/sites/LTIA/Shared%20Documents/4%20LTIA_LINK/4.1%20LTIA_LINK%20GUI%20CDT%20-%20TV/2026/10_2026/20261008/LTIA-5.10-VIETUR-70000-RFA-MAS-0821?d=w84e10a19861b4952a7b2b2efb4a513f7&amp;csf=1&amp;web=1&amp;e=zOfvbS" TargetMode="External"/><Relationship Id="rId27" Type="http://schemas.openxmlformats.org/officeDocument/2006/relationships/hyperlink" Target="https://vietur.sharepoint.com/:f:/r/sites/LTIA/Shared%20Documents/1%20LTIA_VIETUR/03.%20THE%20EMPLOYER%20-%20CDT_TV/3.07%20Other%20Approval%20_%20Trinh%20Duyet%20Khac/3.7.1%20Submitted%20_%20Trinh/0328_LTIA-5.10-VIETUR-70000-RFA-OTH-0328?csf=1&amp;web=1&amp;e=3N1Coz" TargetMode="External"/><Relationship Id="rId69" Type="http://schemas.openxmlformats.org/officeDocument/2006/relationships/hyperlink" Target="https://vietur.sharepoint.com/:f:/r/sites/LTIA/Shared%20Documents/1%20LTIA_VIETUR/03.%20THE%20EMPLOYER%20-%20CDT_TV/3.06%20Material%20Approval%20_%20Trinh%20Duyet%20Vat%20Lieu/3.6.1%20Submitted%20_%20Trinh/0660_LTIA-5.10-VIETUR-70000-RFA-MAS-0660?csf=1&amp;web=1&amp;e=ofO8qr" TargetMode="External"/><Relationship Id="rId134" Type="http://schemas.openxmlformats.org/officeDocument/2006/relationships/hyperlink" Target="https://www.ltiasv.net/index.php/apps/files/files/36649?dir=/LTIA1%20SV/02.%20ICT%20Documents/01.RFA/5.10/20240808_70000-RFA-MAS-0208A/Vietur" TargetMode="External"/><Relationship Id="rId80"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123A_LTIA-5.10-JCJV-70000-ABC-MSS-0123A.pdf?csf=1&amp;web=1&amp;e=11LB1y" TargetMode="External"/><Relationship Id="rId176" Type="http://schemas.openxmlformats.org/officeDocument/2006/relationships/hyperlink" Target="https://www.ltiasv.net/index.php/apps/files/files/131062?dir=/LTIA1%20SV/02.%20ICT%20Documents/01.RFA/5.10/20260428_70000-RFA-MAS-0774/Vietur" TargetMode="External"/><Relationship Id="rId341" Type="http://schemas.openxmlformats.org/officeDocument/2006/relationships/hyperlink" Target="https://www.ltiasv.net/index.php/apps/files/files/133078?dir=/LTIA1%20SV/02.%20ICT%20Documents/01.RFA/5.11/20250915_72030-RFA-MAS-0007/JCJV" TargetMode="External"/><Relationship Id="rId383" Type="http://schemas.openxmlformats.org/officeDocument/2006/relationships/hyperlink" Target="https://etcvn.sharepoint.com/:b:/r/sites/ACV.Prj.LTIA.ICT-ACV.Prj.LTIA.ICT-JCJV-PMU-VIETUR/Shared%20Documents/Prj.Outside/02.PMU-JCJV-ICT/01.Project%20Quality%20Management/02.RFA/1.RFA-MAS/RFA-0001-IPTV/4.%20Response/LTIA-5.11-JCJV-72110-ABC-MAS-0001.pdf?csf=1&amp;web=1&amp;e=scUcH6" TargetMode="External"/><Relationship Id="rId439" Type="http://schemas.openxmlformats.org/officeDocument/2006/relationships/hyperlink" Target="https://etcvn.sharepoint.com/:b:/r/sites/ACV.Prj.LTIA.ICT-ACV.Prj.LTIA.ICT-JCJV-PMU-VIETUR/Shared%20Documents/Prj.Outside/02.PMU-JCJV-ICT/01.Project%20Quality%20Management/02.RFA/5.%20RFA-OTH/RFA-OTH-0002/20260325/04.%20Respone/LTIA-5.11-JCJV-OTH-CBC-0002.pdf?csf=1&amp;web=1&amp;e=IdPGll" TargetMode="External"/><Relationship Id="rId201" Type="http://schemas.openxmlformats.org/officeDocument/2006/relationships/hyperlink" Target="https://www.ltiasv.net/index.php/apps/files/files/39543?dir=/LTIA1%20SV/02.%20ICT%20Documents/01.RFA/5.10/20241016_70000-RFA-MSS-0123A/JCJV" TargetMode="External"/><Relationship Id="rId243"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158_LTIA-5.10-PMU-70000-ABE-MAS-0158.pdf?csf=1&amp;web=1&amp;e=fuyjTP" TargetMode="External"/><Relationship Id="rId285" Type="http://schemas.openxmlformats.org/officeDocument/2006/relationships/hyperlink" Target="https://vietur.sharepoint.com/:b:/r/sites/LTIA/Shared%20Documents/1%20LTIA_VIETUR/03.%20THE%20EMPLOYER%20-%20CDT_TV/3.07%20Other%20Approval%20_%20Trinh%20Duyet%20Khac/3.7.2%20Approved%20_%20Duyet/Approved%20by%20ACV%20_%20Duyet%20boi%20ACV/0568_LTIA-5.10-PMU-70000-ABE-OTH-0568.pdf?csf=1&amp;web=1&amp;e=aUHLab" TargetMode="External"/><Relationship Id="rId450" Type="http://schemas.openxmlformats.org/officeDocument/2006/relationships/hyperlink" Target="https://etcvn.sharepoint.com/:f:/r/sites/ACV.Prj.LTIA.ICT-ACV.Prj.LTIA.ICT-JCJV-PMU-VIETUR/Shared%20Documents/Prj.Outside/02.PMU-JCJV-ICT/01.Project%20Quality%20Management/02.RFA/6.%20RFA-MSS/RFA-MSS-001?csf=1&amp;web=1&amp;e=Fe6FVq" TargetMode="External"/><Relationship Id="rId38"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088A_TIA-5.10-JCJV-70000-RBC-MAS-0088A.pdf?csf=1&amp;web=1&amp;e=zolZEu" TargetMode="External"/><Relationship Id="rId103"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556_LTIA-5.10-JCJV-70000-RBC-MAS-0556.pdf?csf=1&amp;web=1&amp;e=H3Z9qI" TargetMode="External"/><Relationship Id="rId31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56B_LTIA-5.10-PMU-70000-ABE-MAS-0556B.pdf?csf=1&amp;web=1&amp;e=G9H7GW" TargetMode="External"/><Relationship Id="rId492" Type="http://schemas.openxmlformats.org/officeDocument/2006/relationships/hyperlink" Target="https://conincojsc-my.sharepoint.com/:b:/g/personal/vanphongjcjv_coninco_com_vn/IQAFdjKz8ijATqHK3VUnvNtHAW8Vlcw3ZJERNILrF6z0BN8" TargetMode="External"/><Relationship Id="rId9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77A_LTIA-5.10-JCJV-70000-ABC-MAS-0277A.pdf?csf=1&amp;web=1&amp;e=6URUf0" TargetMode="External"/><Relationship Id="rId145" Type="http://schemas.openxmlformats.org/officeDocument/2006/relationships/hyperlink" Target="https://www.ltiasv.net/index.php/apps/files/files/62134?dir=/LTIA1%20SV/02.%20ICT%20Documents/01.RFA/5.10/20250102_70000-RFA-MAS-0318A/Vietur" TargetMode="External"/><Relationship Id="rId187" Type="http://schemas.openxmlformats.org/officeDocument/2006/relationships/hyperlink" Target="https://www.ltiasv.net/index.php/apps/files/files/36318?dir=/LTIA1%20SV/02.%20ICT%20Documents/01.RFA/5.10/20240608_70000-RFA-MAS-0219A/JCJV" TargetMode="External"/><Relationship Id="rId352" Type="http://schemas.openxmlformats.org/officeDocument/2006/relationships/hyperlink" Target="https://www.ltiasv.net/index.php/apps/files/files/133902?dir=/LTIA1%20SV/02.%20ICT%20Documents/01.RFA/5.11/20260505_RFA-MAS-0014/LTICT" TargetMode="External"/><Relationship Id="rId394" Type="http://schemas.openxmlformats.org/officeDocument/2006/relationships/hyperlink" Target="https://etcvn.sharepoint.com/:b:/r/sites/ACV.Prj.LTIA.ICT-ACV.Prj.LTIA.ICT-JCJV-PMU-VIETUR/Shared%20Documents/Prj.Outside/02.PMU-JCJV-ICT/01.Project%20Quality%20Management/02.RFA/1.RFA-MAS/RFA-0003-CCTV/04.Response/LTIA-5.11-PMU-72120-ABE-MAS-0003-initial%20updated.pdf?csf=1&amp;web=1&amp;e=u19YEj" TargetMode="External"/><Relationship Id="rId408" Type="http://schemas.openxmlformats.org/officeDocument/2006/relationships/hyperlink" Target="https://etcvn.sharepoint.com/:f:/r/sites/ACV.Prj.LTIA.ICT-ACV.Prj.LTIA.ICT-JCJV-PMU-VIETUR/Shared%20Documents/Prj.Outside/02.PMU-JCJV-ICT/01.Project%20Quality%20Management/02.RFA/1.RFA-MAS/RFA-0010-PPS?csf=1&amp;web=1&amp;e=Jw9mRj" TargetMode="External"/><Relationship Id="rId212" Type="http://schemas.openxmlformats.org/officeDocument/2006/relationships/hyperlink" Target="https://www.ltiasv.net/index.php/apps/files/files/130864?dir=/LTIA1%20SV/02.%20ICT%20Documents/01.RFA/5.10/20250410_70000-RFA-MAS-0535/JCJV" TargetMode="External"/><Relationship Id="rId254"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307_LTIA-5.10-PMU-70000-ABE-MAS-0307.pdf?csf=1&amp;web=1&amp;e=6zFI6I" TargetMode="External"/><Relationship Id="rId49"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08A_LTIA-5.10-JCJV-70000-ABC-MAS-0208A.pdf?csf=1&amp;web=1&amp;e=aQ7hLE" TargetMode="External"/><Relationship Id="rId114" Type="http://schemas.openxmlformats.org/officeDocument/2006/relationships/hyperlink" Target="https://vietur.sharepoint.com/:b:/r/sites/LTIA/Shared%20Documents/1%20LTIA_VIETUR/03.%20THE%20EMPLOYER%20-%20CDT_TV/3.07%20Other%20Approval%20_%20Trinh%20Duyet%20Khac/3.7.2%20Approved%20_%20Duyet/Approved%20by%20JCJV%20_%20Duyet%20boi%20JCJV/0654_LTIA-5.10-JCJV-70000-CBC-OTH-0654.pdf?csf=1&amp;web=1&amp;e=Zy9DFg" TargetMode="External"/><Relationship Id="rId296" Type="http://schemas.openxmlformats.org/officeDocument/2006/relationships/hyperlink" Target="https://vietur.sharepoint.com/:f:/r/sites/LTIA/Shared%20Documents/1%20LTIA_VIETUR/03.%20THE%20EMPLOYER%20-%20CDT_TV/3.06%20Material%20Approval%20_%20Trinh%20Duyet%20Vat%20Lieu/3.6.1%20Submitted%20_%20Trinh/0129_LTIA-5.10-VIETUR-70000-RFA-MAS-0219?csf=1&amp;web=1&amp;e=sgJ3rW" TargetMode="External"/><Relationship Id="rId461" Type="http://schemas.openxmlformats.org/officeDocument/2006/relationships/hyperlink" Target="https://conincojsc-my.sharepoint.com/personal/vanphongjcjv_coninco_com_vn/_layouts/15/onedrive.aspx?id=%2Fpersonal%2Fvanphongjcjv%5Fconinco%5Fcom%5Fvn%2FDocuments%2FAttachments%2FLTIA%2D5%2E11%2DJCJV%2D10000%2DABC%2DGEN%2D0004A%2Epdf&amp;parent=%2Fpersonal%2Fvanphongjcjv%5Fconinco%5Fcom%5Fvn%2FDocuments%2FAttachments&amp;ga=1" TargetMode="External"/><Relationship Id="rId60"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409_LTIA-5.10-JCJV-70000-ABC-MAS-0409.pdf?csf=1&amp;web=1&amp;e=rqxsbs" TargetMode="External"/><Relationship Id="rId156" Type="http://schemas.openxmlformats.org/officeDocument/2006/relationships/hyperlink" Target="https://www.ltiasv.net/index.php/apps/files/files/130874?dir=/LTIA1%20SV/02.%20ICT%20Documents/01.RFA/5.10/20250428_70000-RFA-MAS-0556/Vietur" TargetMode="External"/><Relationship Id="rId198" Type="http://schemas.openxmlformats.org/officeDocument/2006/relationships/hyperlink" Target="https://www.ltiasv.net/index.php/apps/files/files/36781?dir=/LTIA1%20SV/02.%20ICT%20Documents/01.RFA/5.10/20240830_70000-RFA-MAS-0307A/JCJV" TargetMode="External"/><Relationship Id="rId321" Type="http://schemas.openxmlformats.org/officeDocument/2006/relationships/hyperlink" Target="https://conincojsc-my.sharepoint.com/:b:/g/personal/vanphongjcjv_coninco_com_vn/IQDZZp-5yFJdRrhVtzKyFO2QAXMtZz-rwaod90hpwHF3nDs" TargetMode="External"/><Relationship Id="rId363" Type="http://schemas.openxmlformats.org/officeDocument/2006/relationships/hyperlink" Target="https://www.ltiasv.net/index.php/apps/files/files/134847?dir=/LTIA1%20SV/02.%20ICT%20Documents/01.RFA/5.11/20251113_RFA-OTH-0001/LTICT" TargetMode="External"/><Relationship Id="rId419" Type="http://schemas.openxmlformats.org/officeDocument/2006/relationships/hyperlink" Target="https://etcvn.sharepoint.com/:b:/r/sites/ACV.Prj.LTIA.ICT-ACV.Prj.LTIA.ICT-JCJV-PMU-VIETUR/Shared%20Documents/Prj.Outside/02.PMU-JCJV-ICT/01.Project%20Quality%20Management/02.RFA/1.RFA-MAS/RFA-0015-CCTV-CANON/04.%20Respone/LTIA-5.11-PMU-72102-ABE-MAS-0015.pdf?csf=1&amp;web=1&amp;e=TZtpO0" TargetMode="External"/><Relationship Id="rId223" Type="http://schemas.openxmlformats.org/officeDocument/2006/relationships/hyperlink" Target="https://www.ltiasv.net/index.php/apps/files/files/130956?dir=/LTIA1%20SV/02.%20ICT%20Documents/01.RFA/5.10/20250906_70000-RFA-OTH-0568/JCJV" TargetMode="External"/><Relationship Id="rId430" Type="http://schemas.openxmlformats.org/officeDocument/2006/relationships/hyperlink" Target="https://etcvn.sharepoint.com/:f:/r/sites/ACV.Prj.LTIA.ICT-ACV.Prj.LTIA.ICT-JCJV-PMU-VIETUR/Shared%20Documents/Prj.Outside/02.PMU-JCJV-ICT/01.Project%20Quality%20Management/02.RFA/4.%20RFA-GEN/RFA-0003?csf=1&amp;web=1&amp;e=THlFum" TargetMode="External"/><Relationship Id="rId18" Type="http://schemas.openxmlformats.org/officeDocument/2006/relationships/hyperlink" Target="https://vietur.sharepoint.com/:f:/r/sites/LTIA/Shared%20Documents/1%20LTIA_VIETUR/03.%20THE%20EMPLOYER%20-%20CDT_TV/3.06%20Material%20Approval%20_%20Trinh%20Duyet%20Vat%20Lieu/3.6.1%20Submitted%20_%20Trinh/0307A_LTIA-5.10-VIETUR-70000-RFA-MAS-0307A?csf=1&amp;web=1&amp;e=r1NcdJ" TargetMode="External"/><Relationship Id="rId265"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158B_LTIA-5.10-PMU-70000-ABE-MAS-0158B.pdf?csf=1&amp;web=1&amp;e=LMYg3x" TargetMode="External"/><Relationship Id="rId472" Type="http://schemas.openxmlformats.org/officeDocument/2006/relationships/hyperlink" Target="https://etcvn.sharepoint.com/:f:/r/sites/ACV.Prj.LTIA.ICT-ACV.Prj.LTIA.ICT-JCJV-PMU-VIETUR/Shared%20Documents/Prj.Outside/02.PMU-JCJV-ICT/01.Project%20Quality%20Management/02.RFA/5.%20RFA-OTH/RFA-OTH-0012?d=w6a7696ee572949009fabd8a8a9788bb1&amp;csf=1&amp;web=1&amp;e=r7ois8" TargetMode="External"/><Relationship Id="rId125" Type="http://schemas.openxmlformats.org/officeDocument/2006/relationships/hyperlink" Target="https://www.ltiasv.net/index.php/apps/files/files/36315?dir=/LTIA1%20SV/02.%20ICT%20Documents/01.RFA/5.10/20240522_70000-RFA-MAS-0258/Vietur" TargetMode="External"/><Relationship Id="rId167" Type="http://schemas.openxmlformats.org/officeDocument/2006/relationships/hyperlink" Target="https://www.ltiasv.net/index.php/apps/files/files/130978?dir=/LTIA1%20SV/02.%20ICT%20Documents/01.RFA/5.10/20251024_70000-RFA-MAS-0696/Vietur" TargetMode="External"/><Relationship Id="rId332" Type="http://schemas.openxmlformats.org/officeDocument/2006/relationships/hyperlink" Target="https://www.ltiasv.net/index.php/apps/files/files/132672?dir=/LTIA1%20SV/02.%20ICT%20Documents/01.RFA/5.11/20250915_72020-RFA-MAS-0006/LTICT" TargetMode="External"/><Relationship Id="rId374" Type="http://schemas.openxmlformats.org/officeDocument/2006/relationships/hyperlink" Target="https://www.ltiasv.net/index.php/apps/files/files/134843?dir=/LTIA1%20SV/02.%20ICT%20Documents/01.RFA/5.11/20260320_RFA-OTH-0007/JCJV" TargetMode="External"/><Relationship Id="rId71" Type="http://schemas.openxmlformats.org/officeDocument/2006/relationships/hyperlink" Target="https://vietur.sharepoint.com/:f:/r/sites/LTIA/Shared%20Documents/1%20LTIA_VIETUR/03.%20THE%20EMPLOYER%20-%20CDT_TV/3.07%20Other%20Approval%20_%20Trinh%20Duyet%20Khac/3.7.1%20Submitted%20_%20Trinh/0565_LTIA-5.10-VIETUR-70000-RFA-OTH-0565?csf=1&amp;web=1&amp;e=C3BSLB" TargetMode="External"/><Relationship Id="rId234" Type="http://schemas.openxmlformats.org/officeDocument/2006/relationships/hyperlink" Target="https://www.ltiasv.net/index.php/apps/files/files/131024?dir=/LTIA1%20SV/02.%20ICT%20Documents/01.RFA/5.10/20251204_70000-RFA-MAS-0556B/JCJV" TargetMode="External"/><Relationship Id="rId2" Type="http://schemas.openxmlformats.org/officeDocument/2006/relationships/hyperlink" Target="https://vietur.sharepoint.com/:f:/r/sites/LTIA/Shared%20Documents/1%20LTIA_VIETUR/03.%20THE%20EMPLOYER%20-%20CDT_TV/3.06%20Material%20Approval%20_%20Trinh%20Duyet%20Vat%20Lieu/3.6.1%20Submitted%20_%20Trinh/0116_LTIA-5.10-VIETUR-70000-RFA-MAS-0116?csf=1&amp;web=1&amp;e=ifvAOH" TargetMode="External"/><Relationship Id="rId29" Type="http://schemas.openxmlformats.org/officeDocument/2006/relationships/hyperlink" Target="https://vietur.sharepoint.com/:f:/r/sites/LTIA/Shared%20Documents/1%20LTIA_VIETUR/03.%20THE%20EMPLOYER%20-%20CDT_TV/3.06%20Material%20Approval%20_%20Trinh%20Duyet%20Vat%20Lieu/3.6.1%20Submitted%20_%20Trinh/0468_LTIA-5.10-VIETUR-70000-RFA-MAS-0468?csf=1&amp;web=1&amp;e=l9j3nq" TargetMode="External"/><Relationship Id="rId276"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556_LTIA-5.10-PMU-70000-ABE-MAS-0556.pdf?csf=1&amp;web=1&amp;e=kAPQfN" TargetMode="External"/><Relationship Id="rId441" Type="http://schemas.openxmlformats.org/officeDocument/2006/relationships/hyperlink" Target="https://etcvn.sharepoint.com/:f:/r/sites/ACV.Prj.LTIA.ICT-ACV.Prj.LTIA.ICT-JCJV-PMU-VIETUR/Shared%20Documents/Prj.Outside/02.PMU-JCJV-ICT/01.Project%20Quality%20Management/02.RFA/5.%20RFA-OTH/RFA-OTH-0004?csf=1&amp;web=1&amp;e=cUhKj1" TargetMode="External"/><Relationship Id="rId483" Type="http://schemas.openxmlformats.org/officeDocument/2006/relationships/hyperlink" Target="https://etcvn.sharepoint.com/:f:/r/sites/ACV.Prj.LTIA.ICT-ACV.Prj.LTIA.ICT-JCJV-PMU-VIETUR/Shared%20Documents/Prj.Outside/02.PMU-JCJV-ICT/01.Project%20Quality%20Management/02.RFA/1.RFA-MAS/RFA-0021-TOLL?d=w413f1179b630493ba0d96505e7ac2968&amp;csf=1&amp;web=1&amp;e=2BOdvi" TargetMode="External"/><Relationship Id="rId40"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285_LTIA-5.10-JCJV-70000-RBC-MAS-0258.pdf?csf=1&amp;web=1&amp;e=quMlv3" TargetMode="External"/><Relationship Id="rId136" Type="http://schemas.openxmlformats.org/officeDocument/2006/relationships/hyperlink" Target="https://www.ltiasv.net/index.php/apps/files/files/36735?dir=/LTIA1%20SV/02.%20ICT%20Documents/01.RFA/5.10/20240814_70000-RFA-MSS-0123/Vietur" TargetMode="External"/><Relationship Id="rId178" Type="http://schemas.openxmlformats.org/officeDocument/2006/relationships/hyperlink" Target="https://www.ltiasv.net/index.php/apps/files/files/130474?dir=/LTIA1%20SV/02.%20ICT%20Documents/01.RFA/5.10/20231228_70000-RFA-MAS-0093/JCJV" TargetMode="External"/><Relationship Id="rId301" Type="http://schemas.openxmlformats.org/officeDocument/2006/relationships/hyperlink" Target="https://vietur.sharepoint.com/:f:/r/sites/LTIA/Shared%20Documents/1%20LTIA_VIETUR/03.%20THE%20EMPLOYER%20-%20CDT_TV/3.06%20Material%20Approval%20_%20Trinh%20Duyet%20Vat%20Lieu/3.6.1%20Submitted%20_%20Trinh/0088_LTIA-5.10-VIETUR-70000-RFA-MAS-0088?csf=1&amp;web=1&amp;e=yNcpKe" TargetMode="External"/><Relationship Id="rId343" Type="http://schemas.openxmlformats.org/officeDocument/2006/relationships/hyperlink" Target="https://www.ltiasv.net/index.php/apps/files/files/133143?dir=/LTIA1%20SV/02.%20ICT%20Documents/01.RFA/5.11/20251014_72120-RFA-MAS-0009/JCJV" TargetMode="External"/><Relationship Id="rId82" Type="http://schemas.openxmlformats.org/officeDocument/2006/relationships/hyperlink" Target="https://vietur.sharepoint.com/:f:/r/sites/LTIA/Shared%20Documents/1%20LTIA_VIETUR/03.%20THE%20EMPLOYER%20-%20CDT_TV/3.06%20Material%20Approval%20_%20Trinh%20Duyet%20Vat%20Lieu/3.6.1%20Submitted%20_%20Trinh/0706_LTIA-5.10-VIETUR-70000-RFA-MAS-0706?csf=1&amp;web=1&amp;e=2cfYaw" TargetMode="External"/><Relationship Id="rId203" Type="http://schemas.openxmlformats.org/officeDocument/2006/relationships/hyperlink" Target="https://www.ltiasv.net/index.php/apps/files/files/44805?dir=/LTIA1%20SV/02.%20ICT%20Documents/01.RFA/5.10/20241118_70000-RFA-MAS-0409/JCJV" TargetMode="External"/><Relationship Id="rId385" Type="http://schemas.openxmlformats.org/officeDocument/2006/relationships/hyperlink" Target="https://etcvn.sharepoint.com/:b:/r/sites/ACV.Prj.LTIA.ICT-ACV.Prj.LTIA.ICT-JCJV-PMU-VIETUR/Shared%20Documents/Prj.Outside/02.PMU-JCJV-ICT/01.Project%20Quality%20Management/02.RFA/1.RFA-MAS/RFA-0002-Cable/4.%20Response/LTIA-5.11-JCJV-72110-ABE-MAS-0002.pdf?csf=1&amp;web=1&amp;e=k4lUEK" TargetMode="External"/><Relationship Id="rId245"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08_LTIA-5.10-PMU-70000-ABE-MAS-0208.pdf?csf=1&amp;web=1&amp;e=oxteK9" TargetMode="External"/><Relationship Id="rId28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675_LTIA-5.10-PMU-70000-ABE-MAS-0675.pdf?csf=1&amp;web=1&amp;e=BLE8hb" TargetMode="External"/><Relationship Id="rId410" Type="http://schemas.openxmlformats.org/officeDocument/2006/relationships/hyperlink" Target="https://etcvn.sharepoint.com/:f:/r/sites/ACV.Prj.LTIA.ICT-ACV.Prj.LTIA.ICT-JCJV-PMU-VIETUR/Shared%20Documents/Prj.Outside/02.PMU-JCJV-ICT/01.Project%20Quality%20Management/02.RFA/1.RFA-MAS/RFA-0011-Toll?csf=1&amp;web=1&amp;e=ZkQyVt" TargetMode="External"/><Relationship Id="rId452" Type="http://schemas.openxmlformats.org/officeDocument/2006/relationships/hyperlink" Target="https://etcvn.sharepoint.com/:f:/r/sites/ACV.Prj.LTIA.ICT-ACV.Prj.LTIA.ICT-JCJV-PMU-VIETUR/Shared%20Documents/Prj.Outside/02.PMU-JCJV-ICT/01.Project%20Quality%20Management/02.RFA/5.%20RFA-OTH/RFA-OTH-0009?csf=1&amp;web=1&amp;e=T30fXU" TargetMode="External"/><Relationship Id="rId494" Type="http://schemas.openxmlformats.org/officeDocument/2006/relationships/hyperlink" Target="https://etcvn.sharepoint.com/:f:/r/sites/ACV.Prj.LTIA.ICT-ACV.Prj.LTIA.ICT-JCJV-PMU-VIETUR/Shared%20Documents/Prj.Outside/02.PMU-JCJV-ICT/01.Project%20Quality%20Management/02.RFA/6.%20RFA-MSS/RFA-MSS-CCTV?d=w6eca1aa5fef24994b9b2129f1a1fd766&amp;csf=1&amp;web=1&amp;e=M5qao2" TargetMode="External"/><Relationship Id="rId10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20_LTIA-5.10-JCJV-70000-ABC-MAS-0720.pdf?csf=1&amp;web=1&amp;e=WrgC4k" TargetMode="External"/><Relationship Id="rId147" Type="http://schemas.openxmlformats.org/officeDocument/2006/relationships/hyperlink" Target="https://www.ltiasv.net/index.php/apps/files/files/70429?dir=/LTIA1%20SV/02.%20ICT%20Documents/01.RFA/5.10/20250109_70000-RFA-MAS-0158C/Vietur" TargetMode="External"/><Relationship Id="rId312" Type="http://schemas.openxmlformats.org/officeDocument/2006/relationships/hyperlink" Target="https://www.ltiasv.net/index.php/apps/files/files/131069?dir=/LTIA1%20SV/02.%20ICT%20Documents/01.RFA/5.10/20260615_70000-RFA-OTH-0721/Vietur" TargetMode="External"/><Relationship Id="rId354" Type="http://schemas.openxmlformats.org/officeDocument/2006/relationships/hyperlink" Target="https://www.ltiasv.net/index.php/apps/files/files/134257?dir=/LTIA1%20SV/02.%20ICT%20Documents/01.RFA/5.11/20260422_72102-RFA-MAS-0015/JCJV" TargetMode="External"/><Relationship Id="rId51" Type="http://schemas.openxmlformats.org/officeDocument/2006/relationships/hyperlink" Target="https://vietur.sharepoint.com/:f:/r/sites/LTIA/Shared%20Documents/1%20LTIA_VIETUR/03.%20THE%20EMPLOYER%20-%20CDT_TV/3.06%20Material%20Approval%20_%20Trinh%20Duyet%20Vat%20Lieu/3.6.1%20Submitted%20_%20Trinh/0208A_LTIA-5.10-VIETUR-70000-RFA-MAS-0208A?csf=1&amp;web=1&amp;e=bYIlRh" TargetMode="External"/><Relationship Id="rId93" Type="http://schemas.openxmlformats.org/officeDocument/2006/relationships/hyperlink" Target="https://vietur.sharepoint.com/:f:/r/sites/LTIA/Shared%20Documents/1%20LTIA_VIETUR/03.%20THE%20EMPLOYER%20-%20CDT_TV/3.07%20Other%20Approval%20_%20Trinh%20Duyet%20Khac/3.7.1%20Submitted%20_%20Trinh/0631A_LTIA-5.10-VIETUR-70000-RFA-OTH-0631A?csf=1&amp;web=1&amp;e=e3NKeK" TargetMode="External"/><Relationship Id="rId189" Type="http://schemas.openxmlformats.org/officeDocument/2006/relationships/hyperlink" Target="https://www.ltiasv.net/index.php/apps/files/files/36450?dir=/LTIA1%20SV/02.%20ICT%20Documents/01.RFA/5.10/20240614_70000-RFA-MAS-0271/JCJV" TargetMode="External"/><Relationship Id="rId396" Type="http://schemas.openxmlformats.org/officeDocument/2006/relationships/hyperlink" Target="https://etcvn.sharepoint.com/:f:/r/sites/ACV.Prj.LTIA.ICT-ACV.Prj.LTIA.ICT-JCJV-PMU-VIETUR/Shared%20Documents/Prj.Outside/02.PMU-JCJV-ICT/01.Project%20Quality%20Management/02.RFA/1.RFA-MAS/RFA-0006-DNE?csf=1&amp;web=1&amp;e=4apeOZ" TargetMode="External"/><Relationship Id="rId214" Type="http://schemas.openxmlformats.org/officeDocument/2006/relationships/hyperlink" Target="https://www.ltiasv.net/index.php/apps/files/files/130897?dir=/LTIA1%20SV/02.%20ICT%20Documents/01.RFA/5.10/20250623_70000-RFA-OTH-0440/JCJV" TargetMode="External"/><Relationship Id="rId25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18_LTIA-5.10-PMU-70000-ABE-MAS-0318.pdf?csf=1&amp;web=1&amp;e=LwLzs1" TargetMode="External"/><Relationship Id="rId298" Type="http://schemas.openxmlformats.org/officeDocument/2006/relationships/hyperlink" Target="https://www.ltiasv.net/index.php/apps/files/files/130627?dir=/LTIA1%20SV/02.%20ICT%20Documents/01.RFA/5.10/20240416_70000-RFA-MAS-0219/Vietur" TargetMode="External"/><Relationship Id="rId421" Type="http://schemas.openxmlformats.org/officeDocument/2006/relationships/hyperlink" Target="https://etcvn.sharepoint.com/:f:/r/sites/ACV.Prj.LTIA.ICT-ACV.Prj.LTIA.ICT-JCJV-PMU-VIETUR/Shared%20Documents/Prj.Outside/02.PMU-JCJV-ICT/01.Project%20Quality%20Management/02.RFA/1.RFA-MAS/RFA-0016-TOLL?csf=1&amp;web=1&amp;e=8LdYko" TargetMode="External"/><Relationship Id="rId463" Type="http://schemas.openxmlformats.org/officeDocument/2006/relationships/hyperlink" Target="https://conincojsc-my.sharepoint.com/:b:/g/personal/vanphongjcjv_coninco_com_vn/IQCcJ6gBXiwNTrvD3Jonhj-jAaj6JO-Oj6VwXbWGCzIyLNY" TargetMode="External"/><Relationship Id="rId11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56B_LTIA-5.10-JCJV-70000-ABC-MAS-0556B.pdf?csf=1&amp;web=1&amp;e=U9zaqH" TargetMode="External"/><Relationship Id="rId158" Type="http://schemas.openxmlformats.org/officeDocument/2006/relationships/hyperlink" Target="https://www.ltiasv.net/index.php/apps/files/files/130917?dir=/LTIA1%20SV/02.%20ICT%20Documents/01.RFA/5.10/20250716_70000-RFA-MAS-0556A/Vietur" TargetMode="External"/><Relationship Id="rId323" Type="http://schemas.openxmlformats.org/officeDocument/2006/relationships/hyperlink" Target="https://www.ltiasv.net/index.php/apps/files/files/134657?dir=/LTIA1%20SV/02.%20ICT%20Documents/01.RFA/5.11/20250909_10000-RFA-GEN-0001/JCJV" TargetMode="External"/><Relationship Id="rId20" Type="http://schemas.openxmlformats.org/officeDocument/2006/relationships/hyperlink" Target="https://vietur.sharepoint.com/:f:/r/sites/LTIA/Shared%20Documents/1%20LTIA_VIETUR/03.%20THE%20EMPLOYER%20-%20CDT_TV/3.06%20Material%20Approval%20_%20Trinh%20Duyet%20Vat%20Lieu/3.6.1%20Submitted%20_%20Trinh/0258A_LTIA-5.10-VIETUR-70000-RFA-MAS-0258A?csf=1&amp;web=1&amp;e=kzXIE6" TargetMode="External"/><Relationship Id="rId62"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18A_LTIA-5.10-JCJV-70000-ABC-MAS-0318A.pdf?csf=1&amp;web=1&amp;e=oWOzE4" TargetMode="External"/><Relationship Id="rId365" Type="http://schemas.openxmlformats.org/officeDocument/2006/relationships/hyperlink" Target="https://www.ltiasv.net/index.php/apps/files/files/134846?dir=/LTIA1%20SV/02.%20ICT%20Documents/01.RFA/5.11/20251113_RFA-OTH-0002/JCJV" TargetMode="External"/><Relationship Id="rId225" Type="http://schemas.openxmlformats.org/officeDocument/2006/relationships/hyperlink" Target="https://www.ltiasv.net/index.php/apps/files/files/130968?dir=/LTIA1%20SV/02.%20ICT%20Documents/01.RFA/5.10/20250911_70000-RFA-MAS-0675/JCJV" TargetMode="External"/><Relationship Id="rId26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05B_LTIA-5.10-PMU-70000-ABE-MAS-0305B.pdf?csf=1&amp;web=1&amp;e=oOT0PF" TargetMode="External"/><Relationship Id="rId432" Type="http://schemas.openxmlformats.org/officeDocument/2006/relationships/hyperlink" Target="https://etcvn.sharepoint.com/:b:/r/sites/ACV.Prj.LTIA.ICT-ACV.Prj.LTIA.ICT-JCJV-PMU-VIETUR/Shared%20Documents/Prj.Outside/02.PMU-JCJV-ICT/01.Project%20Quality%20Management/02.RFA/4.%20RFA-GEN/RFA-0003/4.%20Response/LTIA-5.11-PMU-10000-ABE-GEN-0003.pdf?csf=1&amp;web=1&amp;e=hYZefb" TargetMode="External"/><Relationship Id="rId474" Type="http://schemas.openxmlformats.org/officeDocument/2006/relationships/hyperlink" Target="https://vietur.sharepoint.com/:f:/r/sites/LTIA/Shared%20Documents/4%20LTIA_LINK/4.1%20LTIA_LINK%20GUI%20CDT%20-%20TV/2026/08_2026/20260828/LTIA-5.10-VIETUR-70000-RFA-OTH-0754?d=w7a45c3033ecc47de938c1f1cc987db24&amp;csf=1&amp;web=1&amp;e=boqzXD" TargetMode="External"/><Relationship Id="rId106" Type="http://schemas.openxmlformats.org/officeDocument/2006/relationships/hyperlink" Target="https://vietur.sharepoint.com/:b:/r/sites/LTIA/Shared%20Documents/1%20LTIA_VIETUR/03.%20THE%20EMPLOYER%20-%20CDT_TV/3.07%20Other%20Approval%20_%20Trinh%20Duyet%20Khac/3.7.2%20Approved%20_%20Duyet/Approved%20by%20JCJV%20_%20Duyet%20boi%20JCJV/0631_LTIA-5.10-JCJV-70000-CBC-OTH-0631.pdf?csf=1&amp;web=1&amp;e=3eOfKb" TargetMode="External"/><Relationship Id="rId127" Type="http://schemas.openxmlformats.org/officeDocument/2006/relationships/hyperlink" Target="https://www.ltiasv.net/index.php/apps/files/files/36319?dir=/LTIA1%20SV/02.%20ICT%20Documents/01.RFA/5.10/20240608_70000-RFA-MAS-0219A/Vietur" TargetMode="External"/><Relationship Id="rId313" Type="http://schemas.openxmlformats.org/officeDocument/2006/relationships/hyperlink" Target="https://www.ltiasv.net/index.php/apps/files/files/131072?dir=/LTIA1%20SV/02.%20ICT%20Documents/01.RFA/5.10/20260615_70000-RFA-OTH-0725/Vietur" TargetMode="External"/><Relationship Id="rId495" Type="http://schemas.openxmlformats.org/officeDocument/2006/relationships/hyperlink" Target="https://etcvn.sharepoint.com/:f:/s/ACV.Prj.LTIA.ICT-ACV.Prj.LTIA.ICT-JCJV-PMU-VIETUR/IgBLQcE0tUDbTY3NU4x1jBUKAepNFNWLSMK_vbDZiEKNOEw" TargetMode="External"/><Relationship Id="rId10" Type="http://schemas.openxmlformats.org/officeDocument/2006/relationships/hyperlink" Target="https://vietur.sharepoint.com/:f:/r/sites/LTIA/Shared%20Documents/1%20LTIA_VIETUR/03.%20THE%20EMPLOYER%20-%20CDT_TV/3.06%20Material%20Approval%20_%20Trinh%20Duyet%20Vat%20Lieu/3.6.1%20Submitted%20_%20Trinh/0219A_LTIA-5.10-VIETUR-70000-RFA-MAS-0219A?csf=1&amp;web=1&amp;e=luaYns" TargetMode="External"/><Relationship Id="rId31" Type="http://schemas.openxmlformats.org/officeDocument/2006/relationships/hyperlink" Target="https://vietur.sharepoint.com/:f:/r/sites/LTIA/Shared%20Documents/1%20LTIA_VIETUR/03.%20THE%20EMPLOYER%20-%20CDT_TV/3.06%20Material%20Approval%20_%20Trinh%20Duyet%20Vat%20Lieu/3.6.1%20Submitted%20_%20Trinh/0258B_LTIA-5.10-VIETUR-70000-RFA-MAS-0258B?csf=1&amp;web=1&amp;e=EzjMNK" TargetMode="External"/><Relationship Id="rId52" Type="http://schemas.openxmlformats.org/officeDocument/2006/relationships/hyperlink" Target="https://vietur.sharepoint.com/:f:/r/sites/LTIA/Shared%20Documents/1%20LTIA_VIETUR/03.%20THE%20EMPLOYER%20-%20CDT_TV/3.06%20Material%20Approval%20_%20Trinh%20Duyet%20Vat%20Lieu/3.6.1%20Submitted%20_%20Trinh/0320_LTIA-5.10-VIETUR-70000-RFA-MAS-0320?csf=1&amp;web=1&amp;e=2NGAkm" TargetMode="External"/><Relationship Id="rId73" Type="http://schemas.openxmlformats.org/officeDocument/2006/relationships/hyperlink" Target="https://vietur.sharepoint.com/:f:/r/sites/LTIA/Shared%20Documents/1%20LTIA_VIETUR/03.%20THE%20EMPLOYER%20-%20CDT_TV/3.06%20Material%20Approval%20_%20Trinh%20Duyet%20Vat%20Lieu/3.6.1%20Submitted%20_%20Trinh/0219B_LTIA-5.10-VIETUR-70000-RFA-MAS-0219B?csf=1&amp;web=1&amp;e=I4I5d2" TargetMode="External"/><Relationship Id="rId9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06_LTIA-5.10-JCJV-70000-ABC-MAS-0706.pdf?csf=1&amp;web=1&amp;e=f2PFWm" TargetMode="External"/><Relationship Id="rId148" Type="http://schemas.openxmlformats.org/officeDocument/2006/relationships/hyperlink" Target="https://www.ltiasv.net/index.php/apps/files/files/70440?dir=/LTIA1%20SV/02.%20ICT%20Documents/01.RFA/5.10/20250121_70000-RFA-MAS-0468/Vietur" TargetMode="External"/><Relationship Id="rId169" Type="http://schemas.openxmlformats.org/officeDocument/2006/relationships/hyperlink" Target="https://www.ltiasv.net/index.php/apps/files/files/131001?dir=/LTIA1%20SV/02.%20ICT%20Documents/01.RFA/5.10/20251118_70000-RFA-MAS-0720/Vietur" TargetMode="External"/><Relationship Id="rId334" Type="http://schemas.openxmlformats.org/officeDocument/2006/relationships/hyperlink" Target="https://www.ltiasv.net/index.php/apps/files/files/132250?dir=/LTIA1%20SV/02.%20ICT%20Documents/01.RFA/5.11/20250915_72040-RFA-MAS-0005/LTICT" TargetMode="External"/><Relationship Id="rId355" Type="http://schemas.openxmlformats.org/officeDocument/2006/relationships/hyperlink" Target="https://www.ltiasv.net/index.php/apps/files/files/134390?dir=/LTIA1%20SV/02.%20ICT%20Documents/01.RFA/5.11/20260520_71110-RFA-MAS-0016/LTICT" TargetMode="External"/><Relationship Id="rId376" Type="http://schemas.openxmlformats.org/officeDocument/2006/relationships/hyperlink" Target="https://www.ltiasv.net/index.php/apps/files/files/134975?dir=/LTIA1%20SV/02.%20ICT%20Documents/01.RFA/5.11/20260326_RFA-MSS-0001/LTICT" TargetMode="External"/><Relationship Id="rId397" Type="http://schemas.openxmlformats.org/officeDocument/2006/relationships/hyperlink" Target="https://etcvn.sharepoint.com/:b:/r/sites/ACV.Prj.LTIA.ICT-ACV.Prj.LTIA.ICT-JCJV-PMU-VIETUR/Shared%20Documents/Prj.Outside/02.PMU-JCJV-ICT/01.Project%20Quality%20Management/02.RFA/1.RFA-MAS/RFA-0006-DNE/4.%20Response/LTIA-5.11-PMU-72020-ABE-MAS-0006.pdf?csf=1&amp;web=1&amp;e=X2a4Uy" TargetMode="External"/><Relationship Id="rId4" Type="http://schemas.openxmlformats.org/officeDocument/2006/relationships/hyperlink" Target="https://vietur.sharepoint.com/:f:/r/sites/LTIA/Shared%20Documents/1%20LTIA_VIETUR/03.%20THE%20EMPLOYER%20-%20CDT_TV/3.05%20Construction%20Method%20Approval%20_%20Trinh%20Duyet%20Bien%20Phap%20Thi%20Cong/3.5.1%20Submitted%20_%20Trinh/0082_LTIA-5.10-VIETUR-72160-RFA-MSS-0082?csf=1&amp;web=1&amp;e=sB1MCN" TargetMode="External"/><Relationship Id="rId180" Type="http://schemas.openxmlformats.org/officeDocument/2006/relationships/hyperlink" Target="https://www.ltiasv.net/index.php/apps/files/files/130521?dir=/LTIA1%20SV/02.%20ICT%20Documents/01.RFA/5.10/20240124_70000-RFA-MAS-0158/JCJV" TargetMode="External"/><Relationship Id="rId215" Type="http://schemas.openxmlformats.org/officeDocument/2006/relationships/hyperlink" Target="https://www.ltiasv.net/index.php/apps/files/files/130882?dir=/LTIA1%20SV/02.%20ICT%20Documents/01.RFA/5.10/20250814_70000-RFA-MAS-0277A/JCJV" TargetMode="External"/><Relationship Id="rId236" Type="http://schemas.openxmlformats.org/officeDocument/2006/relationships/hyperlink" Target="https://www.ltiasv.net/index.php/apps/files/files/131061?dir=/LTIA1%20SV/02.%20ICT%20Documents/01.RFA/5.10/20260428_70000-RFA-MAS-0774/JCJV" TargetMode="External"/><Relationship Id="rId25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20_LTIA-5.10-PMU-70000-ABE-MAS-0320.pdf?csf=1&amp;web=1&amp;e=3eN3Ix" TargetMode="External"/><Relationship Id="rId278" Type="http://schemas.openxmlformats.org/officeDocument/2006/relationships/hyperlink" Target="https://vietur.sharepoint.com/:b:/r/sites/LTIA/Shared%20Documents/1%20LTIA_VIETUR/03.%20THE%20EMPLOYER%20-%20CDT_TV/3.07%20Other%20Approval%20_%20Trinh%20Duyet%20Khac/3.7.2%20Approved%20_%20Duyet/Approved%20by%20ACV%20_%20Duyet%20boi%20ACV/0440_LTIA-5.10-PMU-70000-ABE-OTH-0440.pdf?csf=1&amp;web=1&amp;e=Eb2rPl" TargetMode="External"/><Relationship Id="rId401" Type="http://schemas.openxmlformats.org/officeDocument/2006/relationships/hyperlink" Target="https://etcvn.sharepoint.com/:b:/r/sites/ACV.Prj.LTIA.ICT-ACV.Prj.LTIA.ICT-JCJV-PMU-VIETUR/Shared%20Documents/Prj.Outside/02.PMU-JCJV-ICT/01.Project%20Quality%20Management/02.RFA/1.RFA-MAS/RFA-0007-WDNE/4.%20Response/LTIA-5.11-PMU-72030-ABE-MAS-0007.pdf?csf=1&amp;web=1&amp;e=dFuOlX" TargetMode="External"/><Relationship Id="rId422" Type="http://schemas.openxmlformats.org/officeDocument/2006/relationships/hyperlink" Target="https://etcvn.sharepoint.com/:b:/r/sites/ACV.Prj.LTIA.ICT-ACV.Prj.LTIA.ICT-JCJV-PMU-VIETUR/Shared%20Documents/Prj.Outside/02.PMU-JCJV-ICT/01.Project%20Quality%20Management/02.RFA/1.RFA-MAS/RFA-0016-TOLL/04.%20Response/LTIA-5.11-JCJV-71110-ABC-MAS-0016.pdf?csf=1&amp;web=1&amp;e=bL1NJq" TargetMode="External"/><Relationship Id="rId443" Type="http://schemas.openxmlformats.org/officeDocument/2006/relationships/hyperlink" Target="https://etcvn.sharepoint.com/:f:/r/sites/ACV.Prj.LTIA.ICT-ACV.Prj.LTIA.ICT-JCJV-PMU-VIETUR/Shared%20Documents/Prj.Outside/02.PMU-JCJV-ICT/01.Project%20Quality%20Management/02.RFA/5.%20RFA-OTH/RFA-OTH-0005?csf=1&amp;web=1&amp;e=MDTyu1" TargetMode="External"/><Relationship Id="rId464" Type="http://schemas.openxmlformats.org/officeDocument/2006/relationships/hyperlink" Target="https://conincojsc-my.sharepoint.com/:b:/g/personal/vanphongjcjv_coninco_com_vn/IQCUH9FBzK-FRIMB_9oAwOYmAT_RS63lhHu0EWSDmG0KEKw" TargetMode="External"/><Relationship Id="rId303" Type="http://schemas.openxmlformats.org/officeDocument/2006/relationships/hyperlink" Target="https://vietur.sharepoint.com/:f:/r/sites/LTIA/Shared%20Documents/1%20LTIA_VIETUR/03.%20THE%20EMPLOYER%20-%20CDT_TV/3.07%20Other%20Approval%20_%20Trinh%20Duyet%20Khac/3.7.1%20Submitted%20_%20Trinh/0725_LTIA-5.10-VIETUR-70000-RFA-OTH-0725?csf=1&amp;web=1&amp;e=OqDlG6" TargetMode="External"/><Relationship Id="rId485" Type="http://schemas.openxmlformats.org/officeDocument/2006/relationships/hyperlink" Target="https://conincojsc-my.sharepoint.com/:b:/g/personal/vanphongjcjv_coninco_com_vn/IQBcUuoebE2uTJVnHOBv2mN7AcFShqfHtEoIarALAOd-Kug" TargetMode="External"/><Relationship Id="rId42"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305_LTIA-5.10-JCJV-70000-RBC-MAS-0305.pdf?csf=1&amp;web=1&amp;e=suVEOu" TargetMode="External"/><Relationship Id="rId84" Type="http://schemas.openxmlformats.org/officeDocument/2006/relationships/hyperlink" Target="https://vietur.sharepoint.com/:f:/r/sites/LTIA/Shared%20Documents/1%20LTIA_VIETUR/03.%20THE%20EMPLOYER%20-%20CDT_TV/3.07%20Other%20Approval%20_%20Trinh%20Duyet%20Khac/3.7.1%20Submitted%20_%20Trinh/0631_LTIA-5.10-VIETUR-70000-RFA-OTH-0631?csf=1&amp;web=1&amp;e=Y9rcED" TargetMode="External"/><Relationship Id="rId138" Type="http://schemas.openxmlformats.org/officeDocument/2006/relationships/hyperlink" Target="https://www.ltiasv.net/index.php/apps/files/files/36782?dir=/LTIA1%20SV/02.%20ICT%20Documents/01.RFA/5.10/20240830_70000-RFA-MAS-0307A/Vietur" TargetMode="External"/><Relationship Id="rId345" Type="http://schemas.openxmlformats.org/officeDocument/2006/relationships/hyperlink" Target="https://www.ltiasv.net/index.php/apps/files/files/133183?dir=/LTIA1%20SV/02.%20ICT%20Documents/01.RFA/5.11/20251017_71000-RFA-MAS-0010/JCJV" TargetMode="External"/><Relationship Id="rId387" Type="http://schemas.openxmlformats.org/officeDocument/2006/relationships/hyperlink" Target="https://etcvn.sharepoint.com/:f:/r/sites/ACV.Prj.LTIA.ICT-ACV.Prj.LTIA.ICT-JCJV-PMU-VIETUR/Shared%20Documents/Prj.Outside/02.PMU-JCJV-ICT/01.Project%20Quality%20Management/02.RFA/1.RFA-MAS/RFA-0003-CCTV?csf=1&amp;web=1&amp;e=VWeeEF" TargetMode="External"/><Relationship Id="rId191" Type="http://schemas.openxmlformats.org/officeDocument/2006/relationships/hyperlink" Target="https://www.ltiasv.net/index.php/apps/files/files/36471?dir=/LTIA1%20SV/02.%20ICT%20Documents/01.RFA/5.10/20240703_70000-RFA-MAS-0307/JCJV" TargetMode="External"/><Relationship Id="rId205" Type="http://schemas.openxmlformats.org/officeDocument/2006/relationships/hyperlink" Target="https://www.ltiasv.net/index.php/apps/files/files/62133?dir=/LTIA1%20SV/02.%20ICT%20Documents/01.RFA/5.10/20250102_70000-RFA-MAS-0318A/JCJV" TargetMode="External"/><Relationship Id="rId247"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248_LTIA-5.10-PMU-70000-ABE-MAS-0248.pdf?csf=1&amp;web=1&amp;e=nIE7lx" TargetMode="External"/><Relationship Id="rId412" Type="http://schemas.openxmlformats.org/officeDocument/2006/relationships/hyperlink" Target="https://etcvn.sharepoint.com/:f:/r/sites/ACV.Prj.LTIA.ICT-ACV.Prj.LTIA.ICT-JCJV-PMU-VIETUR/Shared%20Documents/Prj.Outside/02.PMU-JCJV-ICT/01.Project%20Quality%20Management/02.RFA/1.RFA-MAS/RFA-0012-Smart%20Parking?csf=1&amp;web=1&amp;e=a7oI22" TargetMode="External"/><Relationship Id="rId10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74_LTIA-5.10-JCJV-70000-ABC-MAS-0774.pdf?csf=1&amp;web=1&amp;e=c4pIKL" TargetMode="External"/><Relationship Id="rId289"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696_LTIA-5.10-PMU-70000-ABE-MAS-0696.pdf?csf=1&amp;web=1&amp;e=k2IwcF" TargetMode="External"/><Relationship Id="rId454" Type="http://schemas.openxmlformats.org/officeDocument/2006/relationships/hyperlink" Target="https://www.ltiasv.net/index.php/apps/files/files/135678?dir=/LTIA1%20SV/02.%20ICT%20Documents/01.RFA/5.11/20260624_RFA-OTH-0010/LTICT" TargetMode="External"/><Relationship Id="rId496" Type="http://schemas.openxmlformats.org/officeDocument/2006/relationships/hyperlink" Target="https://etcvn.sharepoint.com/:f:/r/sites/ACV.Prj.LTIA.ICT-ACV.Prj.LTIA.ICT-JCJV-PMU-VIETUR/Shared%20Documents/Prj.Outside/02.PMU-JCJV-ICT/01.Project%20Quality%20Management/02.RFA/6.%20RFA-MSS/RFA-MSS-SMPK-0005?d=we40c7b9635af49c98de51d254f7df0ba&amp;csf=1&amp;web=1&amp;e=CnbLYi" TargetMode="External"/><Relationship Id="rId11" Type="http://schemas.openxmlformats.org/officeDocument/2006/relationships/hyperlink" Target="https://vietur.sharepoint.com/:f:/r/sites/LTIA/Shared%20Documents/1%20LTIA_VIETUR/03.%20THE%20EMPLOYER%20-%20CDT_TV/3.06%20Material%20Approval%20_%20Trinh%20Duyet%20Vat%20Lieu/3.6.1%20Submitted%20_%20Trinh/0277_LTIA-5.10-VIETUR-70000-RFA-MAS-0277?csf=1&amp;web=1&amp;e=43CK0r" TargetMode="External"/><Relationship Id="rId53"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20_LTIA-5.10-JCJV-70000-ABC-MAS-0320.pdf?csf=1&amp;web=1&amp;e=zWzjxl" TargetMode="External"/><Relationship Id="rId149" Type="http://schemas.openxmlformats.org/officeDocument/2006/relationships/hyperlink" Target="https://www.ltiasv.net/index.php/apps/files/files/70230?dir=/LTIA1%20SV/02.%20ICT%20Documents/01.RFA/5.10/20250120_70000-RFA-MSS-0153/Vietur" TargetMode="External"/><Relationship Id="rId314" Type="http://schemas.openxmlformats.org/officeDocument/2006/relationships/hyperlink" Target="https://www.ltiasv.net/index.php/apps/files/files/134966?dir=/LTIA1%20SV/02.%20ICT%20Documents/01.RFA/5.10/20260601_70000-RFA-OTH-0712/JCJV" TargetMode="External"/><Relationship Id="rId356" Type="http://schemas.openxmlformats.org/officeDocument/2006/relationships/hyperlink" Target="https://www.ltiasv.net/index.php/apps/files/files/134389?dir=/LTIA1%20SV/02.%20ICT%20Documents/01.RFA/5.11/20260520_71110-RFA-MAS-0016/JCJV" TargetMode="External"/><Relationship Id="rId398" Type="http://schemas.openxmlformats.org/officeDocument/2006/relationships/hyperlink" Target="https://etcvn.sharepoint.com/:b:/r/sites/ACV.Prj.LTIA.ICT-ACV.Prj.LTIA.ICT-JCJV-PMU-VIETUR/Shared%20Documents/Prj.Outside/02.PMU-JCJV-ICT/01.Project%20Quality%20Management/02.RFA/1.RFA-MAS/RFA-0006-DNE/4.%20Response/LTIA-5.11-PMU-72020-ABE-MAS-0006.pdf?csf=1&amp;web=1&amp;e=X2a4Uy" TargetMode="External"/><Relationship Id="rId9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60_LTIA-5.10-JCJV-70000-ABC-MAS-0660.pdf?csf=1&amp;web=1&amp;e=gjeqqr" TargetMode="External"/><Relationship Id="rId160" Type="http://schemas.openxmlformats.org/officeDocument/2006/relationships/hyperlink" Target="https://www.ltiasv.net/index.php/apps/files/files/130945?dir=/LTIA1%20SV/02.%20ICT%20Documents/01.RFA/5.10/20250801_70000-RFA-MAS-0660/Vietur" TargetMode="External"/><Relationship Id="rId216" Type="http://schemas.openxmlformats.org/officeDocument/2006/relationships/hyperlink" Target="https://www.ltiasv.net/index.php/apps/files/files/130875?dir=/LTIA1%20SV/02.%20ICT%20Documents/01.RFA/5.10/20250428_70000-RFA-MAS-0556/JCJV" TargetMode="External"/><Relationship Id="rId423" Type="http://schemas.openxmlformats.org/officeDocument/2006/relationships/hyperlink" Target="https://etcvn.sharepoint.com/:f:/r/sites/ACV.Prj.LTIA.ICT-ACV.Prj.LTIA.ICT-JCJV-PMU-VIETUR/Shared%20Documents/Prj.Outside/02.PMU-JCJV-ICT/01.Project%20Quality%20Management/02.RFA/1.RFA-MAS/RFA-0017-PPS-CANON?csf=1&amp;web=1&amp;e=xebSbz" TargetMode="External"/><Relationship Id="rId258"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08A_LTIA-5.10-PMU-70000-ABE-MAS-0208A.pdf?csf=1&amp;web=1&amp;e=d8mfC1" TargetMode="External"/><Relationship Id="rId465" Type="http://schemas.openxmlformats.org/officeDocument/2006/relationships/hyperlink" Target="https://etcvn.sharepoint.com/:f:/s/ACV.Prj.LTIA.ICT-ACV.Prj.LTIA.ICT-JCJV-PMU-VIETUR/IgBVb377ty-VSLwOys49aqq6Ad1z-YUoD9rwGyVzMDURGMA" TargetMode="External"/><Relationship Id="rId22" Type="http://schemas.openxmlformats.org/officeDocument/2006/relationships/hyperlink" Target="https://vietur.sharepoint.com/:f:/r/sites/LTIA/Shared%20Documents/1%20LTIA_VIETUR/03.%20THE%20EMPLOYER%20-%20CDT_TV/3.05%20Construction%20Method%20Approval%20_%20Trinh%20Duyet%20Bien%20Phap%20Thi%20Cong/3.5.1%20Submitted%20_%20Trinh/0123A_LTIA-5.10-VIETUR-70000-RFA-MSS-0123A?csf=1&amp;web=1&amp;e=QbsTbG" TargetMode="External"/><Relationship Id="rId6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158C_LTIA-5.10-JCJV-70000-ABC-MAS-0158C.pdf?csf=1&amp;web=1&amp;e=ch63lR" TargetMode="External"/><Relationship Id="rId118" Type="http://schemas.openxmlformats.org/officeDocument/2006/relationships/hyperlink" Target="https://www.ltiasv.net/index.php/apps/files/files/130475?dir=/LTIA1%20SV/02.%20ICT%20Documents/01.RFA/5.10/20231228_70000-RFA-MAS-0093/Vietur" TargetMode="External"/><Relationship Id="rId325" Type="http://schemas.openxmlformats.org/officeDocument/2006/relationships/hyperlink" Target="https://www.ltiasv.net/index.php/apps/files/files/134655?dir=/LTIA1%20SV/02.%20ICT%20Documents/01.RFA/5.11/20250909_10000-RFA-GEN-0002/JCJV" TargetMode="External"/><Relationship Id="rId367" Type="http://schemas.openxmlformats.org/officeDocument/2006/relationships/hyperlink" Target="https://www.ltiasv.net/index.php/apps/files/files/134853?dir=/LTIA1%20SV/02.%20ICT%20Documents/01.RFA/5.11/20260202_RFA-OTH-0004/LTICT" TargetMode="External"/><Relationship Id="rId171" Type="http://schemas.openxmlformats.org/officeDocument/2006/relationships/hyperlink" Target="https://www.ltiasv.net/index.php/apps/files/files/131013?dir=/LTIA1%20SV/02.%20ICT%20Documents/01.RFA/5.10/20251121_70000-RFA-MAS-0708/Vietur" TargetMode="External"/><Relationship Id="rId227" Type="http://schemas.openxmlformats.org/officeDocument/2006/relationships/hyperlink" Target="https://www.ltiasv.net/index.php/apps/files/files/130979?dir=/LTIA1%20SV/02.%20ICT%20Documents/01.RFA/5.10/20251024_70000-RFA-MAS-0696/JCJV" TargetMode="External"/><Relationship Id="rId269" Type="http://schemas.openxmlformats.org/officeDocument/2006/relationships/hyperlink" Target="https://vietur.sharepoint.com/:b:/r/sites/LTIA/Shared%20Documents/1%20LTIA_VIETUR/03.%20THE%20EMPLOYER%20-%20CDT_TV/3.07%20Other%20Approval%20_%20Trinh%20Duyet%20Khac/3.7.2%20Approved%20_%20Duyet/Approved%20by%20ACV%20_%20Duyet%20boi%20ACV/0328_LTIA-5.10-PMU-70000-ABE-OTH-0328.pdf?csf=1&amp;web=1&amp;e=k3aaED" TargetMode="External"/><Relationship Id="rId434" Type="http://schemas.openxmlformats.org/officeDocument/2006/relationships/hyperlink" Target="https://etcvn.sharepoint.com/:b:/r/sites/ACV.Prj.LTIA.ICT-ACV.Prj.LTIA.ICT-JCJV-PMU-VIETUR/Shared%20Documents/Prj.Outside/02.PMU-JCJV-ICT/01.Project%20Quality%20Management/02.RFA/4.%20RFA-GEN/RFA-0004/20260508/4.%20Response/LTIA-5.11-JCJV-10000-CBC-GEN-0004.pdf?csf=1&amp;web=1&amp;e=MC9Vie" TargetMode="External"/><Relationship Id="rId476" Type="http://schemas.openxmlformats.org/officeDocument/2006/relationships/hyperlink" Target="https://conincojsc-my.sharepoint.com/:b:/g/personal/vanphongjcjv_coninco_com_vn/IQBmWnoYFi_GRYIOL7JBaT4yAcIkRlq3V0PgKYF-ZH0JipI" TargetMode="External"/><Relationship Id="rId33" Type="http://schemas.openxmlformats.org/officeDocument/2006/relationships/hyperlink" Target="https://vietur.sharepoint.com/:f:/r/sites/LTIA/Shared%20Documents/1%20LTIA_VIETUR/03.%20THE%20EMPLOYER%20-%20CDT_TV/3.06%20Material%20Approval%20_%20Trinh%20Duyet%20Vat%20Lieu/3.6.1%20Submitted%20_%20Trinh/0535_LTIA-5.10-VIETUR-70000-RFA-MAS-0535?csf=1&amp;web=1&amp;e=vAAmoS" TargetMode="External"/><Relationship Id="rId129" Type="http://schemas.openxmlformats.org/officeDocument/2006/relationships/hyperlink" Target="https://www.ltiasv.net/index.php/apps/files/files/36451?dir=/LTIA1%20SV/02.%20ICT%20Documents/01.RFA/5.10/20240614_70000-RFA-MAS-0271/Vietur" TargetMode="External"/><Relationship Id="rId28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556A_LTIA-5.10-PMU-70000-ABE-MAS-0556A.pdf?csf=1&amp;web=1&amp;e=9I4B2G" TargetMode="External"/><Relationship Id="rId336" Type="http://schemas.openxmlformats.org/officeDocument/2006/relationships/hyperlink" Target="https://www.ltiasv.net/index.php/apps/files/files/131877?dir=/LTIA1%20SV/02.%20ICT%20Documents/01.RFA/5.11/20251010_72120-RFA-MAS-0003/LTICT" TargetMode="External"/><Relationship Id="rId75" Type="http://schemas.openxmlformats.org/officeDocument/2006/relationships/hyperlink" Target="https://vietur.sharepoint.com/:f:/r/sites/LTIA/Shared%20Documents/1%20LTIA_VIETUR/03.%20THE%20EMPLOYER%20-%20CDT_TV/3.07%20Other%20Approval%20_%20Trinh%20Duyet%20Khac/3.7.1%20Submitted%20_%20Trinh/0589_LTIA-5.10-VIETUR-70000-RFA-OTH-0589?csf=1&amp;web=1&amp;e=Er9miR" TargetMode="External"/><Relationship Id="rId140" Type="http://schemas.openxmlformats.org/officeDocument/2006/relationships/hyperlink" Target="https://www.ltiasv.net/index.php/apps/files/files/36807?dir=/LTIA1%20SV/02.%20ICT%20Documents/01.RFA/5.10/20240927_70000-RFA-MAS-0305A/JCJV" TargetMode="External"/><Relationship Id="rId182" Type="http://schemas.openxmlformats.org/officeDocument/2006/relationships/hyperlink" Target="https://www.ltiasv.net/index.php/apps/files/files/130596?dir=/LTIA1%20SV/02.%20ICT%20Documents/01.RFA/5.10/20240410_70000-RFA-MAS-0208/JCJV" TargetMode="External"/><Relationship Id="rId378" Type="http://schemas.openxmlformats.org/officeDocument/2006/relationships/hyperlink" Target="https://www.ltiasv.net/index.php/apps/files/files/134654?dir=/LTIA1%20SV/02.%20ICT%20Documents/01.RFA/5.11/20260619_10000-RFA-GEN-0004A/LTICT" TargetMode="External"/><Relationship Id="rId403" Type="http://schemas.openxmlformats.org/officeDocument/2006/relationships/hyperlink" Target="https://etcvn.sharepoint.com/:b:/r/sites/ACV.Prj.LTIA.ICT-ACV.Prj.LTIA.ICT-JCJV-PMU-VIETUR/Shared%20Documents/Prj.Outside/02.PMU-JCJV-ICT/01.Project%20Quality%20Management/02.RFA/1.RFA-MAS/RFA-0008-TOIP/04.%20Response/LTIA-5.11-JCJV-72090-ABC-MAS-0008_UPDATED.pdf?csf=1&amp;web=1&amp;e=P2GEMX" TargetMode="External"/><Relationship Id="rId6" Type="http://schemas.openxmlformats.org/officeDocument/2006/relationships/hyperlink" Target="https://vietur.sharepoint.com/:f:/r/sites/LTIA/Shared%20Documents/1%20LTIA_VIETUR/03.%20THE%20EMPLOYER%20-%20CDT_TV/3.06%20Material%20Approval%20_%20Trinh%20Duyet%20Vat%20Lieu/3.6.1%20Submitted%20_%20Trinh/0088A_LTIA-5.10-VIETUR-70000-RFA-MAS-0088A?csf=1&amp;web=1&amp;e=6Y2D2P" TargetMode="External"/><Relationship Id="rId238" Type="http://schemas.openxmlformats.org/officeDocument/2006/relationships/hyperlink" Target="https://vietur.sharepoint.com/sites/LTIA/Shared%20Documents/Forms/AllItems.aspx?id=%2Fsites%2FLTIA%2FShared%20Documents%2F1%20LTIA%5FVIETUR%2F03%2E%20THE%20EMPLOYER%20%2D%20CDT%5FTV&amp;viewid=a6a11ba4%2D2d43%2D4e4e%2Daea7%2D413480b0448e&amp;noAuthRedirect=1" TargetMode="External"/><Relationship Id="rId445" Type="http://schemas.openxmlformats.org/officeDocument/2006/relationships/hyperlink" Target="https://etcvn.sharepoint.com/:f:/r/sites/ACV.Prj.LTIA.ICT-ACV.Prj.LTIA.ICT-JCJV-PMU-VIETUR/Shared%20Documents/Prj.Outside/02.PMU-JCJV-ICT/01.Project%20Quality%20Management/02.RFA/5.%20RFA-OTH/RFA-OTH-0006?csf=1&amp;web=1&amp;e=2MyT1k" TargetMode="External"/><Relationship Id="rId487" Type="http://schemas.openxmlformats.org/officeDocument/2006/relationships/hyperlink" Target="https://vietur.sharepoint.com/:f:/r/sites/LTIA/Shared%20Documents/4%20LTIA_LINK/4.1%20LTIA_LINK%20GUI%20CDT%20-%20TV/2026/09_2026/20260930/LTIA-5.10-VIETUR-70000-RFA-MAS-0696A?d=w801e307f64df4962a266f3e4f7120c2d&amp;csf=1&amp;web=1&amp;e=I2M4pF" TargetMode="External"/><Relationship Id="rId291" Type="http://schemas.openxmlformats.org/officeDocument/2006/relationships/hyperlink" Target="https://vietur.sharepoint.com/:b:/r/sites/LTIA/Shared%20Documents/1%20LTIA_VIETUR/03.%20THE%20EMPLOYER%20-%20CDT_TV/3.07%20Other%20Approval%20_%20Trinh%20Duyet%20Khac/3.7.2%20Approved%20_%20Duyet/Approved%20by%20ACV%20_%20Duyet%20boi%20ACV/0631_LTIA-5.10-PMU-70000-ABE-OTH-0631.pdf?csf=1&amp;web=1&amp;e=xM4gWe" TargetMode="External"/><Relationship Id="rId30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58B_LTIA-5.10-JCJV-70000-ABC-MAS-0258B.pdf?csf=1&amp;web=1&amp;e=j3kodB" TargetMode="External"/><Relationship Id="rId347" Type="http://schemas.openxmlformats.org/officeDocument/2006/relationships/hyperlink" Target="https://www.ltiasv.net/index.php/apps/files/files/133285?dir=/LTIA1%20SV/02.%20ICT%20Documents/01.RFA/5.11/20251010_71110-RFA-MAS-0011/JCJV" TargetMode="External"/><Relationship Id="rId4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77_LTIA-5.10-JCJV-70000-CBC-MAS-0277.pdf?csf=1&amp;web=1&amp;e=kMQ713" TargetMode="External"/><Relationship Id="rId86" Type="http://schemas.openxmlformats.org/officeDocument/2006/relationships/hyperlink" Target="https://vietur.sharepoint.com/:b:/r/sites/LTIA/Shared%20Documents/1%20LTIA_VIETUR/03.%20THE%20EMPLOYER%20-%20CDT_TV/3.07%20Other%20Approval%20_%20Trinh%20Duyet%20Khac/3.7.2%20Approved%20_%20Duyet/Approved%20by%20JCJV%20_%20Duyet%20boi%20JCJV/0440_LTIA-5.10-JCJV-70000-ABC-OTH-0440.pdf?csf=1&amp;web=1&amp;e=6UnUx0" TargetMode="External"/><Relationship Id="rId151" Type="http://schemas.openxmlformats.org/officeDocument/2006/relationships/hyperlink" Target="https://www.ltiasv.net/index.php/apps/files/files/130859?dir=/LTIA1%20SV/02.%20ICT%20Documents/01.RFA/5.10/20250401_70000-RFA-MAS-0519/Vietur" TargetMode="External"/><Relationship Id="rId389" Type="http://schemas.openxmlformats.org/officeDocument/2006/relationships/hyperlink" Target="https://etcvn.sharepoint.com/:f:/r/sites/ACV.Prj.LTIA.ICT-ACV.Prj.LTIA.ICT-JCJV-PMU-VIETUR/Shared%20Documents/Prj.Outside/02.PMU-JCJV-ICT/01.Project%20Quality%20Management/02.RFA/1.RFA-MAS/RFA-0004-AGAC?csf=1&amp;web=1&amp;e=HUP102" TargetMode="External"/><Relationship Id="rId193" Type="http://schemas.openxmlformats.org/officeDocument/2006/relationships/hyperlink" Target="https://www.ltiasv.net/index.php/apps/files/files/36545?dir=/LTIA1%20SV/02.%20ICT%20Documents/01.RFA/5.10/20240723_70000-RFA-MAS-0318/JCJV" TargetMode="External"/><Relationship Id="rId207" Type="http://schemas.openxmlformats.org/officeDocument/2006/relationships/hyperlink" Target="https://www.ltiasv.net/index.php/apps/files/files/70430?dir=/LTIA1%20SV/02.%20ICT%20Documents/01.RFA/5.10/20250109_70000-RFA-MAS-0158C/JCJV" TargetMode="External"/><Relationship Id="rId249"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65_LTIA-5.10-PMU-70000-ABE-MAS-0265.pdf?csf=1&amp;web=1&amp;e=Kc4NCG" TargetMode="External"/><Relationship Id="rId414" Type="http://schemas.openxmlformats.org/officeDocument/2006/relationships/hyperlink" Target="https://etcvn.sharepoint.com/:b:/r/sites/ACV.Prj.LTIA.ICT-ACV.Prj.LTIA.ICT-JCJV-PMU-VIETUR/Shared%20Documents/Prj.Outside/02.PMU-JCJV-ICT/01.Project%20Quality%20Management/02.RFA/1.RFA-MAS/RFA-0013-DNE/04.%20Response/LTIA-5.11-PMU-72020-ABE-MAS-0013.pdf?csf=1&amp;web=1&amp;e=9WX6Vq" TargetMode="External"/><Relationship Id="rId456" Type="http://schemas.openxmlformats.org/officeDocument/2006/relationships/hyperlink" Target="https://etcvn.sharepoint.com/:f:/r/sites/ACV.Prj.LTIA.ICT-ACV.Prj.LTIA.ICT-JCJV-PMU-VIETUR/Shared%20Documents/Prj.Outside/02.PMU-JCJV-ICT/01.Project%20Quality%20Management/02.RFA/7.%20RFA-ICD/RFA_ICD_LED?csf=1&amp;web=1&amp;e=yo111O" TargetMode="External"/><Relationship Id="rId498" Type="http://schemas.openxmlformats.org/officeDocument/2006/relationships/hyperlink" Target="https://etcvn.sharepoint.com/:f:/r/sites/ACV.Prj.LTIA.ICT-ACV.Prj.LTIA.ICT-JCJV-PMU-VIETUR/Shared%20Documents/Prj.Outside/02.PMU-JCJV-ICT/01.Project%20Quality%20Management/02.RFA/5.%20RFA-OTH/RFA-OTH-0012A?d=w38fd4c3c867049339205593ff6e1cfe9&amp;csf=1&amp;web=1&amp;e=r99LIo" TargetMode="External"/><Relationship Id="rId13" Type="http://schemas.openxmlformats.org/officeDocument/2006/relationships/hyperlink" Target="https://vietur.sharepoint.com/:f:/r/sites/LTIA/Shared%20Documents/1%20LTIA_VIETUR/03.%20THE%20EMPLOYER%20-%20CDT_TV/3.06%20Material%20Approval%20_%20Trinh%20Duyet%20Vat%20Lieu/3.6.1%20Submitted%20_%20Trinh/0305_LTIA-5.10-VIETUR-70000-RFA-MAS-0305?csf=1&amp;web=1&amp;e=XROLfR" TargetMode="External"/><Relationship Id="rId109" Type="http://schemas.openxmlformats.org/officeDocument/2006/relationships/hyperlink" Target="https://vietur.sharepoint.com/:b:/r/sites/LTIA/Shared%20Documents/1%20LTIA_VIETUR/03.%20THE%20EMPLOYER%20-%20CDT_TV/3.07%20Other%20Approval%20_%20Trinh%20Duyet%20Khac/3.7.2%20Approved%20_%20Duyet/Approved%20by%20JCJV%20_%20Duyet%20boi%20JCJV/0568_LTIA-5.10-JCJV-70000-ABC-OTH-0568.pdf?csf=1&amp;web=1&amp;e=pdtXbC" TargetMode="External"/><Relationship Id="rId26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158A_LTIA-5.10-PMU-70000-ABE-MAS-0158A.pdf?csf=1&amp;web=1&amp;e=Oypcml" TargetMode="External"/><Relationship Id="rId316" Type="http://schemas.openxmlformats.org/officeDocument/2006/relationships/hyperlink" Target="https://www.ltiasv.net/index.php/apps/files/files/134968?dir=/LTIA1%20SV/02.%20ICT%20Documents/01.RFA/5.10/20260615_70000-RFA-OTH-0721/JCJV" TargetMode="External"/><Relationship Id="rId55"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158A_LTIA-5.10-JCJV-70000-RBC-MAS-0158A.pdf?csf=1&amp;web=1&amp;e=xWEgfG" TargetMode="External"/><Relationship Id="rId97" Type="http://schemas.openxmlformats.org/officeDocument/2006/relationships/hyperlink" Target="https://vietur.sharepoint.com/:f:/r/sites/LTIA/Shared%20Documents/1%20LTIA_VIETUR/03.%20THE%20EMPLOYER%20-%20CDT_TV/3.07%20Other%20Approval%20_%20Trinh%20Duyet%20Khac/3.7.1%20Submitted%20_%20Trinh/0654_LTIA-5.10-VIETUR-70000-RFA-OTH-0654?csf=1&amp;web=1&amp;e=R36CqZ" TargetMode="External"/><Relationship Id="rId120" Type="http://schemas.openxmlformats.org/officeDocument/2006/relationships/hyperlink" Target="https://www.ltiasv.net/index.php/apps/files/files/130522?dir=/LTIA1%20SV/02.%20ICT%20Documents/01.RFA/5.10/20240124_70000-RFA-MAS-0158/Vietur" TargetMode="External"/><Relationship Id="rId358" Type="http://schemas.openxmlformats.org/officeDocument/2006/relationships/hyperlink" Target="https://www.ltiasv.net/index.php/apps/files/files/134656?dir=/LTIA1%20SV/02.%20ICT%20Documents/01.RFA/5.11/20251029_10000-RFA-GEN-0003/LTICT" TargetMode="External"/><Relationship Id="rId162" Type="http://schemas.openxmlformats.org/officeDocument/2006/relationships/hyperlink" Target="https://www.ltiasv.net/index.php/apps/files/files/130950?dir=/LTIA1%20SV/02.%20ICT%20Documents/01.RFA/5.10/20250822_70000-RFA-OTH-0565/Vietur" TargetMode="External"/><Relationship Id="rId218" Type="http://schemas.openxmlformats.org/officeDocument/2006/relationships/hyperlink" Target="https://www.ltiasv.net/index.php/apps/files/files/130918?dir=/LTIA1%20SV/02.%20ICT%20Documents/01.RFA/5.10/20250716_70000-RFA-MAS-0556A/JCJV" TargetMode="External"/><Relationship Id="rId425" Type="http://schemas.openxmlformats.org/officeDocument/2006/relationships/hyperlink" Target="https://etcvn.sharepoint.com/:b:/r/sites/ACV.Prj.LTIA.ICT-ACV.Prj.LTIA.ICT-JCJV-PMU-VIETUR/Shared%20Documents/Prj.Outside/02.PMU-JCJV-ICT/01.Project%20Quality%20Management/02.RFA/4.%20RFA-GEN/RFA-0001/4.%20Response/LTIA-5.11-JCJV-10000-ABC-GEN-0001.pdf?csf=1&amp;web=1&amp;e=hw8ONz" TargetMode="External"/><Relationship Id="rId467" Type="http://schemas.openxmlformats.org/officeDocument/2006/relationships/hyperlink" Target="https://conincojsc-my.sharepoint.com/:b:/g/personal/vanphongjcjv_coninco_com_vn/IQBPt_z2m1h9R4xKBbnmlldAAbEDkd34sJ_z65FsKEng1AY" TargetMode="External"/><Relationship Id="rId271"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153_LTIA-5.10-PMU-70000-ABE-MSS-0153.pdf?csf=1&amp;web=1&amp;e=CwGEHe" TargetMode="External"/><Relationship Id="rId24" Type="http://schemas.openxmlformats.org/officeDocument/2006/relationships/hyperlink" Target="https://vietur.sharepoint.com/:f:/r/sites/LTIA/Shared%20Documents/1%20LTIA_VIETUR/03.%20THE%20EMPLOYER%20-%20CDT_TV/3.06%20Material%20Approval%20_%20Trinh%20Duyet%20Vat%20Lieu/3.6.1%20Submitted%20_%20Trinh/0409_LTIA-5.10-VIETUR-70000-RFA-MAS-0409?csf=1&amp;web=1&amp;e=WHkgYl" TargetMode="External"/><Relationship Id="rId66" Type="http://schemas.openxmlformats.org/officeDocument/2006/relationships/hyperlink" Target="https://vietur.sharepoint.com/:f:/r/sites/LTIA/Shared%20Documents/1%20LTIA_VIETUR/03.%20THE%20EMPLOYER%20-%20CDT_TV/3.06%20Material%20Approval%20_%20Trinh%20Duyet%20Vat%20Lieu/3.6.1%20Submitted%20_%20Trinh/0584_LTIA-5.10-VIETUR-70000-RFA-MAS-0584?csf=1&amp;web=1&amp;e=I6JDV9" TargetMode="External"/><Relationship Id="rId131" Type="http://schemas.openxmlformats.org/officeDocument/2006/relationships/hyperlink" Target="https://www.ltiasv.net/index.php/apps/files/files/36472?dir=/LTIA1%20SV/02.%20ICT%20Documents/01.RFA/5.10/20240703_70000-RFA-MAS-0307/Vietur" TargetMode="External"/><Relationship Id="rId327" Type="http://schemas.openxmlformats.org/officeDocument/2006/relationships/hyperlink" Target="https://www.ltiasv.net/index.php/apps/files/files/131761?dir=/LTIA1%20SV/02.%20ICT%20Documents/01.RFA/5.11/20250909_72110-RFA-MAS-0001/JCJV" TargetMode="External"/><Relationship Id="rId369" Type="http://schemas.openxmlformats.org/officeDocument/2006/relationships/hyperlink" Target="https://www.ltiasv.net/index.php/apps/files/files/134849?dir=/LTIA1%20SV/02.%20ICT%20Documents/01.RFA/5.11/20260304_RFA-OTH-0005/LTICT" TargetMode="External"/><Relationship Id="rId173" Type="http://schemas.openxmlformats.org/officeDocument/2006/relationships/hyperlink" Target="https://www.ltiasv.net/index.php/apps/files/files/131050?dir=/LTIA1%20SV/02.%20ICT%20Documents/01.RFA/5.10/20251215_70000-RFA-OTH-0631A/Vietur" TargetMode="External"/><Relationship Id="rId229" Type="http://schemas.openxmlformats.org/officeDocument/2006/relationships/hyperlink" Target="https://www.ltiasv.net/index.php/apps/files/files/131000?dir=/LTIA1%20SV/02.%20ICT%20Documents/01.RFA/5.10/20251118_70000-RFA-MAS-0720/JCJV" TargetMode="External"/><Relationship Id="rId380" Type="http://schemas.openxmlformats.org/officeDocument/2006/relationships/hyperlink" Target="https://www.ltiasv.net/index.php/apps/files/files/134839?dir=/LTIA1%20SV/02.%20ICT%20Documents/01.RFA/5.11/20260622_RFA-OTH-0009/LTICT" TargetMode="External"/><Relationship Id="rId436" Type="http://schemas.openxmlformats.org/officeDocument/2006/relationships/hyperlink" Target="https://etcvn.sharepoint.com/:f:/r/sites/ACV.Prj.LTIA.ICT-ACV.Prj.LTIA.ICT-JCJV-PMU-VIETUR/Shared%20Documents/Prj.Outside/02.PMU-JCJV-ICT/01.Project%20Quality%20Management/02.RFA/4.%20RFA-GEN/RFA-0005?csf=1&amp;web=1&amp;e=vyNO86" TargetMode="External"/><Relationship Id="rId24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088_LTIA-5.10-PMU-70000-ABE-MAS-0088.pdf?csf=1&amp;web=1&amp;e=CVa0mw" TargetMode="External"/><Relationship Id="rId478" Type="http://schemas.openxmlformats.org/officeDocument/2006/relationships/hyperlink" Target="https://conincojsc-my.sharepoint.com/:b:/g/personal/vanphongjcjv_coninco_com_vn/IQAwWziOO4EVQZGKyknWOneRAQ_L620MOeDaln5HOiR91a8" TargetMode="External"/><Relationship Id="rId3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093_LTIA-5.10-JCJV-70000-ABC-MAS-0093.pdf?csf=1&amp;web=1&amp;e=a39E5d" TargetMode="External"/><Relationship Id="rId7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35_LTIA-5.10-JCJV-70000-ABC-MAS-0535.pdf?csf=1&amp;web=1&amp;e=uT6DqU" TargetMode="External"/><Relationship Id="rId100" Type="http://schemas.openxmlformats.org/officeDocument/2006/relationships/hyperlink" Target="https://vietur.sharepoint.com/:b:/r/sites/LTIA/Shared%20Documents/1%20LTIA_VIETUR/03.%20THE%20EMPLOYER%20-%20CDT_TV/3.07%20Other%20Approval%20_%20Trinh%20Duyet%20Khac/3.7.2%20Approved%20_%20Duyet/Approved%20by%20JCJV%20_%20Duyet%20boi%20JCJV/0523_LTIA-5.10-JCJV-70000-ABC-OTH-0523.pdf?csf=1&amp;web=1&amp;e=y9whtg" TargetMode="External"/><Relationship Id="rId28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655_LTIA-5.10-PMU-70000-ABE-MAS-0655.pdf?csf=1&amp;web=1&amp;e=QdJWnq" TargetMode="External"/><Relationship Id="rId338" Type="http://schemas.openxmlformats.org/officeDocument/2006/relationships/hyperlink" Target="https://www.ltiasv.net/index.php/apps/files/files/132011?dir=/LTIA1%20SV/02.%20ICT%20Documents/01.RFA/5.11/20251014_72120-RFA-MAS-0004/LTICT" TargetMode="External"/><Relationship Id="rId8" Type="http://schemas.openxmlformats.org/officeDocument/2006/relationships/hyperlink" Target="https://vietur.sharepoint.com/:f:/r/sites/LTIA/Shared%20Documents/1%20LTIA_VIETUR/03.%20THE%20EMPLOYER%20-%20CDT_TV/3.06%20Material%20Approval%20_%20Trinh%20Duyet%20Vat%20Lieu/3.6.1%20Submitted%20_%20Trinh/0258_LTIA-5.10-VIETUR-70000-RFA-MAS-0258?csf=1&amp;web=1&amp;e=oMrHL5" TargetMode="External"/><Relationship Id="rId142" Type="http://schemas.openxmlformats.org/officeDocument/2006/relationships/hyperlink" Target="https://www.ltiasv.net/index.php/apps/files/files/43283?dir=/LTIA1%20SV/02.%20ICT%20Documents/01.RFA/5.10/20241107_70000-RFA-MAS-0158B/Vietur" TargetMode="External"/><Relationship Id="rId184" Type="http://schemas.openxmlformats.org/officeDocument/2006/relationships/hyperlink" Target="https://www.ltiasv.net/index.php/apps/files/files/36310?dir=/LTIA1%20SV/02.%20ICT%20Documents/01.RFA/5.10/20240516_70000-RFA-MAS-0248/JCJV" TargetMode="External"/><Relationship Id="rId391" Type="http://schemas.openxmlformats.org/officeDocument/2006/relationships/hyperlink" Target="https://etcvn.sharepoint.com/:b:/r/sites/ACV.Prj.LTIA.ICT-ACV.Prj.LTIA.ICT-JCJV-PMU-VIETUR/Shared%20Documents/Prj.Outside/02.PMU-JCJV-ICT/01.Project%20Quality%20Management/02.RFA/1.RFA-MAS/RFA-0004-AGAC/04.Response/LTIA-5.11-PMU-70100-ABE-MAS-0004.pdf?csf=1&amp;web=1&amp;e=rlC3oQ" TargetMode="External"/><Relationship Id="rId405" Type="http://schemas.openxmlformats.org/officeDocument/2006/relationships/hyperlink" Target="https://etcvn.sharepoint.com/:f:/r/sites/ACV.Prj.LTIA.ICT-ACV.Prj.LTIA.ICT-JCJV-PMU-VIETUR/Shared%20Documents/Prj.Outside/02.PMU-JCJV-ICT/01.Project%20Quality%20Management/02.RFA/1.RFA-MAS/RFA-0009-PMR?csf=1&amp;web=1&amp;e=Hnrfcu" TargetMode="External"/><Relationship Id="rId447" Type="http://schemas.openxmlformats.org/officeDocument/2006/relationships/hyperlink" Target="https://etcvn.sharepoint.com/:b:/r/sites/ACV.Prj.LTIA.ICT-ACV.Prj.LTIA.ICT-JCJV-PMU-VIETUR/Shared%20Documents/Prj.Outside/02.PMU-JCJV-ICT/01.Project%20Quality%20Management/02.RFA/5.%20RFA-OTH/RFA-OTH-0007/20260320/03.%20Respone/LTIA-5.11-%C2%A0JCJV-RBC-OTH-0007.pdf?csf=1&amp;web=1&amp;e=h3pEDC" TargetMode="External"/><Relationship Id="rId251"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77_LTIA-5.10-PMU-70000-ABE-MAS-0277.pdf?csf=1&amp;web=1&amp;e=3vDqkH" TargetMode="External"/><Relationship Id="rId489" Type="http://schemas.openxmlformats.org/officeDocument/2006/relationships/hyperlink" Target="https://conincojsc-my.sharepoint.com/:b:/g/personal/vanphongjcjv_coninco_com_vn/IQDvJ073xIBYTaiUbEAy4XofAfmA8T1Bsp6Int3QL-ndfAg" TargetMode="External"/><Relationship Id="rId46"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307_LTIA-5.10-JCJV-70000-RBC-MAS-0307.pdf?csf=1&amp;web=1&amp;e=7ytsaY" TargetMode="External"/><Relationship Id="rId293" Type="http://schemas.openxmlformats.org/officeDocument/2006/relationships/hyperlink" Target="https://vietur.sharepoint.com/:b:/r/sites/LTIA/Shared%20Documents/1%20LTIA_VIETUR/03.%20THE%20EMPLOYER%20-%20CDT_TV/3.07%20Other%20Approval%20_%20Trinh%20Duyet%20Khac/3.7.2%20Approved%20_%20Duyet/Approved%20by%20ACV%20_%20Duyet%20boi%20ACV/0631A_LTIA-5.10-PMU-70000-ABE-OTH-0631A.pdf?csf=1&amp;web=1&amp;e=RfRnYe" TargetMode="External"/><Relationship Id="rId30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08_LTIA-5.10-JCJV-70000-ABC-MAS-0708.pdf?csf=1&amp;web=1&amp;e=bMwuHa" TargetMode="External"/><Relationship Id="rId349" Type="http://schemas.openxmlformats.org/officeDocument/2006/relationships/hyperlink" Target="https://www.ltiasv.net/index.php/apps/files/files/133494?dir=/LTIA1%20SV/02.%20ICT%20Documents/01.RFA/5.11/20251019_72010-RFA-MAS-0013/LTICT" TargetMode="External"/><Relationship Id="rId88"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153_LTIA-5.10-JCJV-70000-ABC-MSS-0153.pdf?csf=1&amp;web=1&amp;e=RQfm4r" TargetMode="External"/><Relationship Id="rId11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75_LTIA-5.10-JCJV-70000-ABC-MAS-0675.pdf?csf=1&amp;web=1&amp;e=eBnaGs" TargetMode="External"/><Relationship Id="rId153" Type="http://schemas.openxmlformats.org/officeDocument/2006/relationships/hyperlink" Target="https://www.ltiasv.net/index.php/apps/files/files/130869?dir=/LTIA1%20SV/02.%20ICT%20Documents/01.RFA/5.10/20250416_70000-RFA-OTH-0432/Vietur" TargetMode="External"/><Relationship Id="rId195" Type="http://schemas.openxmlformats.org/officeDocument/2006/relationships/hyperlink" Target="https://www.ltiasv.net/index.php/apps/files/files/36651?dir=/LTIA1%20SV/02.%20ICT%20Documents/01.RFA/5.10/20240723_70000-RFA-MAS-0320/JCJV" TargetMode="External"/><Relationship Id="rId209" Type="http://schemas.openxmlformats.org/officeDocument/2006/relationships/hyperlink" Target="https://www.ltiasv.net/index.php/apps/files/files/70229?dir=/LTIA1%20SV/02.%20ICT%20Documents/01.RFA/5.10/20250120_70000-RFA-MSS-0153/JCJV" TargetMode="External"/><Relationship Id="rId360" Type="http://schemas.openxmlformats.org/officeDocument/2006/relationships/hyperlink" Target="https://www.ltiasv.net/index.php/apps/files/files/134653?dir=/LTIA1%20SV/02.%20ICT%20Documents/01.RFA/5.11/20260508_10000-RFA-GEN-0004/LTICT" TargetMode="External"/><Relationship Id="rId416" Type="http://schemas.openxmlformats.org/officeDocument/2006/relationships/hyperlink" Target="https://etcvn.sharepoint.com/:f:/r/sites/ACV.Prj.LTIA.ICT-ACV.Prj.LTIA.ICT-JCJV-PMU-VIETUR/Shared%20Documents/Prj.Outside/02.PMU-JCJV-ICT/01.Project%20Quality%20Management/02.RFA/1.RFA-MAS/RFA-0014-ACCESSORIES?csf=1&amp;web=1&amp;e=w1XlSB" TargetMode="External"/><Relationship Id="rId220" Type="http://schemas.openxmlformats.org/officeDocument/2006/relationships/hyperlink" Target="https://www.ltiasv.net/index.php/apps/files/files/130946?dir=/LTIA1%20SV/02.%20ICT%20Documents/01.RFA/5.10/20250801_70000-RFA-MAS-0660/JCJV" TargetMode="External"/><Relationship Id="rId458" Type="http://schemas.openxmlformats.org/officeDocument/2006/relationships/hyperlink" Target="https://vietur.sharepoint.com/:f:/r/sites/LTIA/Shared%20Documents/4%20LTIA_LINK/4.1%20LTIA_LINK%20GUI%20CDT%20-%20TV/2026/07_2026/20260707/LTIA-5.10-VIETUR-70000-RFA-OTH-0732?csf=1&amp;web=1&amp;e=OujSpx" TargetMode="External"/><Relationship Id="rId15" Type="http://schemas.openxmlformats.org/officeDocument/2006/relationships/hyperlink" Target="https://vietur.sharepoint.com/:f:/r/sites/LTIA/Shared%20Documents/1%20LTIA_VIETUR/03.%20THE%20EMPLOYER%20-%20CDT_TV/3.05%20Construction%20Method%20Approval%20_%20Trinh%20Duyet%20Bien%20Phap%20Thi%20Cong/3.5.1%20Submitted%20_%20Trinh/0082A_LTIA-5.10-VIETUR-72160-RFA-MSS-0082A?csf=1&amp;web=1&amp;e=ze5yEh" TargetMode="External"/><Relationship Id="rId57" Type="http://schemas.openxmlformats.org/officeDocument/2006/relationships/hyperlink" Target="https://vietur.sharepoint.com/:f:/r/sites/LTIA/Shared%20Documents/1%20LTIA_VIETUR/03.%20THE%20EMPLOYER%20-%20CDT_TV/3.07%20Other%20Approval%20_%20Trinh%20Duyet%20Khac/3.7.1%20Submitted%20_%20Trinh/0432_LTIA-5.10-VIETUR-70000-RFA-OTH-0432?csf=1&amp;web=1&amp;e=NkaxTf" TargetMode="External"/><Relationship Id="rId262"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258A_LTIA-5.10-PMU-70000-ABE-MAS-0258A.pdf?csf=1&amp;web=1&amp;e=BjP9Py" TargetMode="External"/><Relationship Id="rId318" Type="http://schemas.openxmlformats.org/officeDocument/2006/relationships/hyperlink" Target="https://conincojsc-my.sharepoint.com/:b:/g/personal/vanphongjcjv_coninco_com_vn/IQBpmHdR0jm8TZye1ulJ65WQAVnwCXDcBqioUJ4J6_ztbdI" TargetMode="External"/><Relationship Id="rId99"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556A_LTIA-5.10-JCJV-70000-RBC-MAS-0556A.pdf?csf=1&amp;web=1&amp;e=Q0egD0" TargetMode="External"/><Relationship Id="rId122" Type="http://schemas.openxmlformats.org/officeDocument/2006/relationships/hyperlink" Target="https://www.ltiasv.net/index.php/apps/files/files/130597?dir=/LTIA1%20SV/02.%20ICT%20Documents/01.RFA/5.10/20240410_70000-RFA-MAS-0208/Vietur" TargetMode="External"/><Relationship Id="rId164" Type="http://schemas.openxmlformats.org/officeDocument/2006/relationships/hyperlink" Target="https://www.ltiasv.net/index.php/apps/files/files/130961?dir=/LTIA1%20SV/02.%20ICT%20Documents/01.RFA/5.10/20250908_70000-RFA-MAS-0219B/Vietur" TargetMode="External"/><Relationship Id="rId371" Type="http://schemas.openxmlformats.org/officeDocument/2006/relationships/hyperlink" Target="https://www.ltiasv.net/index.php/apps/files/files/134852?dir=/LTIA1%20SV/02.%20ICT%20Documents/01.RFA/5.11/20260305_RFA-OTH-0006/LTICT" TargetMode="External"/><Relationship Id="rId427" Type="http://schemas.openxmlformats.org/officeDocument/2006/relationships/hyperlink" Target="https://etcvn.sharepoint.com/:f:/r/sites/ACV.Prj.LTIA.ICT-ACV.Prj.LTIA.ICT-JCJV-PMU-VIETUR/Shared%20Documents/Prj.Outside/02.PMU-JCJV-ICT/01.Project%20Quality%20Management/02.RFA/4.%20RFA-GEN/RFA-0002?csf=1&amp;web=1&amp;e=p0GNdR" TargetMode="External"/><Relationship Id="rId469" Type="http://schemas.openxmlformats.org/officeDocument/2006/relationships/hyperlink" Target="https://vietur.sharepoint.com/:f:/r/sites/LTIA/Shared%20Documents/4%20LTIA_LINK/4.1%20LTIA_LINK%20GUI%20CDT%20-%20TV/2026/08_2026/20260813/LTIA-5.10-VIETUR-70000-RFA-OTH-0712A?d=w9533c0f6ff064c90b5c7b6b8311b0d60&amp;csf=1&amp;web=1&amp;e=nERhGb" TargetMode="External"/><Relationship Id="rId26" Type="http://schemas.openxmlformats.org/officeDocument/2006/relationships/hyperlink" Target="https://vietur.sharepoint.com/:f:/r/sites/LTIA/Shared%20Documents/1%20LTIA_VIETUR/03.%20THE%20EMPLOYER%20-%20CDT_TV/3.06%20Material%20Approval%20_%20Trinh%20Duyet%20Vat%20Lieu/3.6.1%20Submitted%20_%20Trinh/0318A_LTIA-5.10-VIETUR-70000-RFA-MAS-0318A?csf=1&amp;web=1&amp;e=DptdZN" TargetMode="External"/><Relationship Id="rId231" Type="http://schemas.openxmlformats.org/officeDocument/2006/relationships/hyperlink" Target="https://www.ltiasv.net/index.php/apps/files/files/131014?dir=/LTIA1%20SV/02.%20ICT%20Documents/01.RFA/5.10/20251121_70000-RFA-MAS-0708/JCJV" TargetMode="External"/><Relationship Id="rId273"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19_LTIA-5.10-PMU-70000-ABE-MAS-0519.pdf?csf=1&amp;web=1&amp;e=h8AySs" TargetMode="External"/><Relationship Id="rId329" Type="http://schemas.openxmlformats.org/officeDocument/2006/relationships/hyperlink" Target="https://www.ltiasv.net/index.php/apps/files/files/131796?dir=/LTIA1%20SV/02.%20ICT%20Documents/01.RFA/5.11/20250910_72110-RFA-MAS-0002/JCJV" TargetMode="External"/><Relationship Id="rId480" Type="http://schemas.openxmlformats.org/officeDocument/2006/relationships/hyperlink" Target="https://conincojsc-my.sharepoint.com/:b:/g/personal/vanphongjcjv_coninco_com_vn/IQDCuueKNoIsSKjLblXEc4KWATIYSpUxSpPUsJGwbU9cpyw" TargetMode="External"/><Relationship Id="rId68" Type="http://schemas.openxmlformats.org/officeDocument/2006/relationships/hyperlink" Target="https://vietur.sharepoint.com/:f:/r/sites/LTIA/Shared%20Documents/1%20LTIA_VIETUR/03.%20THE%20EMPLOYER%20-%20CDT_TV/3.06%20Material%20Approval%20_%20Trinh%20Duyet%20Vat%20Lieu/3.6.1%20Submitted%20_%20Trinh/0655_LTIA-5.10-VIETUR-70000-RFA-MAS-0655?csf=1&amp;web=1&amp;e=bOuB5N" TargetMode="External"/><Relationship Id="rId133" Type="http://schemas.openxmlformats.org/officeDocument/2006/relationships/hyperlink" Target="https://www.ltiasv.net/index.php/apps/files/files/36546?dir=/LTIA1%20SV/02.%20ICT%20Documents/01.RFA/5.10/20240723_70000-RFA-MAS-0318/Vietur" TargetMode="External"/><Relationship Id="rId175" Type="http://schemas.openxmlformats.org/officeDocument/2006/relationships/hyperlink" Target="https://www.ltiasv.net/index.php/apps/files/files/131056?dir=/LTIA1%20SV/02.%20ICT%20Documents/01.RFA/5.10/20251218_70000-RFA-OTH-0654/Vietur" TargetMode="External"/><Relationship Id="rId340" Type="http://schemas.openxmlformats.org/officeDocument/2006/relationships/hyperlink" Target="https://www.ltiasv.net/index.php/apps/files/files/133077?dir=/LTIA1%20SV/02.%20ICT%20Documents/01.RFA/5.11/20250915_72030-RFA-MAS-0007/LTICT" TargetMode="External"/><Relationship Id="rId200" Type="http://schemas.openxmlformats.org/officeDocument/2006/relationships/hyperlink" Target="https://www.ltiasv.net/index.php/apps/files/files/36806?dir=/LTIA1%20SV/02.%20ICT%20Documents/01.RFA/5.10/20240927_70000-RFA-MAS-0305A/Vietur" TargetMode="External"/><Relationship Id="rId382" Type="http://schemas.openxmlformats.org/officeDocument/2006/relationships/hyperlink" Target="https://etcvn.sharepoint.com/:b:/r/sites/ACV.Prj.LTIA.ICT-ACV.Prj.LTIA.ICT-JCJV-PMU-VIETUR/Shared%20Documents/Prj.Outside/02.PMU-JCJV-ICT/01.Project%20Quality%20Management/02.RFA/1.RFA-MAS/RFA-0001-IPTV/4.%20Response/LTIA-5.11-PMU-72110-ABE-MAS-0001.pdf?csf=1&amp;web=1&amp;e=c3Cdh1" TargetMode="External"/><Relationship Id="rId438" Type="http://schemas.openxmlformats.org/officeDocument/2006/relationships/hyperlink" Target="https://etcvn.sharepoint.com/:f:/r/sites/ACV.Prj.LTIA.ICT-ACV.Prj.LTIA.ICT-JCJV-PMU-VIETUR/Shared%20Documents/Prj.Outside/02.PMU-JCJV-ICT/01.Project%20Quality%20Management/02.RFA/5.%20RFA-OTH/RFA-OTH-0002?csf=1&amp;web=1&amp;e=qJbqQq" TargetMode="External"/><Relationship Id="rId24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116_LTIA-5.10-PMU-70000-ABE-MAS-0116.pdf?csf=1&amp;web=1&amp;e=D4a1HV" TargetMode="External"/><Relationship Id="rId284" Type="http://schemas.openxmlformats.org/officeDocument/2006/relationships/hyperlink" Target="https://vietur.sharepoint.com/:b:/r/sites/LTIA/Shared%20Documents/1%20LTIA_VIETUR/03.%20THE%20EMPLOYER%20-%20CDT_TV/3.07%20Other%20Approval%20_%20Trinh%20Duyet%20Khac/3.7.2%20Approved%20_%20Duyet/Approved%20by%20ACV%20_%20Duyet%20boi%20ACV/0565_LTIA-5.10-PMU-70000-ABE-OTH-0565.pdf?csf=1&amp;web=1&amp;e=CaXaIG" TargetMode="External"/><Relationship Id="rId491" Type="http://schemas.openxmlformats.org/officeDocument/2006/relationships/hyperlink" Target="https://conincojsc-my.sharepoint.com/:b:/g/personal/vanphongjcjv_coninco_com_vn/IQC-6NNa-MSbRLoVY9UjNdp_AXN2UfjrJFosxVky2LpiL9I" TargetMode="External"/><Relationship Id="rId37"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158_LTIA-5.10-VIETUR-70000-RBC-RFA-MAS-0158%201.pdf?csf=1&amp;web=1&amp;e=Y27Zuv" TargetMode="External"/><Relationship Id="rId79"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05A_LTIA-5.10-JCJV-70000-CBC-MAS-0305A.pdf?csf=1&amp;web=1&amp;e=7L4LVX" TargetMode="External"/><Relationship Id="rId102" Type="http://schemas.openxmlformats.org/officeDocument/2006/relationships/hyperlink" Target="https://vietur.sharepoint.com/:f:/r/sites/LTIA/Shared%20Documents/1%20LTIA_VIETUR/03.%20THE%20EMPLOYER%20-%20CDT_TV/3.06%20Material%20Approval%20_%20Trinh%20Duyet%20Vat%20Lieu/3.6.1%20Submitted%20_%20Trinh/0556_LTIA-5.10-VIETUR-70000-RFA-MAS-0556?csf=1&amp;web=1&amp;e=OLg5Rg" TargetMode="External"/><Relationship Id="rId144" Type="http://schemas.openxmlformats.org/officeDocument/2006/relationships/hyperlink" Target="https://www.ltiasv.net/index.php/apps/files/files/52178?dir=/LTIA1%20SV/02.%20ICT%20Documents/01.RFA/5.10/20241204_70000-RFA-MAS-0305B/Vietur" TargetMode="External"/><Relationship Id="rId90"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082_LTIA-5.10-VIETUR-72160-RFA-MSS-0082.pdf?csf=1&amp;web=1&amp;e=fYWRwA" TargetMode="External"/><Relationship Id="rId186" Type="http://schemas.openxmlformats.org/officeDocument/2006/relationships/hyperlink" Target="https://www.ltiasv.net/index.php/apps/files/files/36312?dir=/LTIA1%20SV/02.%20ICT%20Documents/01.RFA/5.10/20240603_70000-RFA-MAS-0265/JCJV" TargetMode="External"/><Relationship Id="rId351" Type="http://schemas.openxmlformats.org/officeDocument/2006/relationships/hyperlink" Target="https://www.ltiasv.net/index.php/apps/files/files/133755?dir=/LTIA1%20SV/02.%20ICT%20Documents/01.RFA/5.11/20260310_RFA-MAS-ACCESSORIES-001/LTICT" TargetMode="External"/><Relationship Id="rId393" Type="http://schemas.openxmlformats.org/officeDocument/2006/relationships/hyperlink" Target="https://etcvn.sharepoint.com/:b:/r/sites/ACV.Prj.LTIA.ICT-ACV.Prj.LTIA.ICT-JCJV-PMU-VIETUR/Shared%20Documents/Prj.Outside/02.PMU-JCJV-ICT/01.Project%20Quality%20Management/02.RFA/1.RFA-MAS/RFA-0005-DCH/4.%20Response/LTIA-5.11-PMU-72040-ABE-MAS-0005.pdf?csf=1&amp;web=1&amp;e=FF1io9" TargetMode="External"/><Relationship Id="rId407" Type="http://schemas.openxmlformats.org/officeDocument/2006/relationships/hyperlink" Target="https://etcvn.sharepoint.com/:b:/r/sites/ACV.Prj.LTIA.ICT-ACV.Prj.LTIA.ICT-JCJV-PMU-VIETUR/Shared%20Documents/Prj.Outside/02.PMU-JCJV-ICT/01.Project%20Quality%20Management/02.RFA/1.RFA-MAS/RFA-0009-PMR/RFA-0009-PMR/04.Response/LTIA-5.11-PMU-72100-MAS-0009.pdf?csf=1&amp;web=1&amp;e=ndN4rC" TargetMode="External"/><Relationship Id="rId449" Type="http://schemas.openxmlformats.org/officeDocument/2006/relationships/hyperlink" Target="https://etcvn.sharepoint.com/:f:/r/sites/ACV.Prj.LTIA.ICT-ACV.Prj.LTIA.ICT-JCJV-PMU-VIETUR/Shared%20Documents/Prj.Outside/02.PMU-JCJV-ICT/01.Project%20Quality%20Management/02.RFA/5.%20RFA-OTH/RFA-OTH-0007/20260603?csf=1&amp;web=1&amp;e=AeFhhP" TargetMode="External"/><Relationship Id="rId211" Type="http://schemas.openxmlformats.org/officeDocument/2006/relationships/hyperlink" Target="https://www.ltiasv.net/index.php/apps/files/files/130860?dir=/LTIA1%20SV/02.%20ICT%20Documents/01.RFA/5.10/20250401_70000-RFA-MAS-0519/JCJV" TargetMode="External"/><Relationship Id="rId253"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305_LTIA-5.10-PMU-70000-ABE-MAS-0305.pdf?csf=1&amp;web=1&amp;e=mY1B6o" TargetMode="External"/><Relationship Id="rId295" Type="http://schemas.openxmlformats.org/officeDocument/2006/relationships/hyperlink" Target="https://vietur.sharepoint.com/:f:/r/sites/LTIA/Shared%20Documents/1%20LTIA_VIETUR/03.%20THE%20EMPLOYER%20-%20CDT_TV/3.06%20Material%20Approval%20_%20Trinh%20Duyet%20Vat%20Lieu/3.6.1%20Submitted%20_%20Trinh/0708_LTIA-5.10-VIETUR-70000-RFA-MAS-0708?csf=1&amp;web=1&amp;e=ydN3lU" TargetMode="External"/><Relationship Id="rId309"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734_LTIA-5.10-PMU-70000-ABE-MAS-0734.pdf?csf=1&amp;web=1&amp;e=NoaiUP" TargetMode="External"/><Relationship Id="rId460" Type="http://schemas.openxmlformats.org/officeDocument/2006/relationships/hyperlink" Target="https://conincojsc-my.sharepoint.com/:b:/g/personal/vanphongjcjv_coninco_com_vn/IQDghRcXxD88SrVOXaUDUh9bAVr7janxrZDjKhs6nQBAAw4" TargetMode="External"/><Relationship Id="rId48"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18_LTIA-5.10-JCJV-70000-ABC-MAS-0318.pdf?csf=1&amp;web=1&amp;e=dHK3va" TargetMode="External"/><Relationship Id="rId113"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34_LTIA-5.10-JCJV-70000-ABC-MAS-0734.pdf?csf=1&amp;web=1&amp;e=WeVe7h" TargetMode="External"/><Relationship Id="rId320" Type="http://schemas.openxmlformats.org/officeDocument/2006/relationships/hyperlink" Target="https://conincojsc-my.sharepoint.com/:b:/g/personal/vanphongjcjv_coninco_com_vn/IQAlkGDFaF-oQLlNOndCArrQAaRnnNfIp0aiScuyg9pVIMk" TargetMode="External"/><Relationship Id="rId155" Type="http://schemas.openxmlformats.org/officeDocument/2006/relationships/hyperlink" Target="https://www.ltiasv.net/index.php/apps/files/files/130883?dir=/LTIA1%20SV/02.%20ICT%20Documents/01.RFA/5.10/20250814_70000-RFA-MAS-0277A/Vietur" TargetMode="External"/><Relationship Id="rId197" Type="http://schemas.openxmlformats.org/officeDocument/2006/relationships/hyperlink" Target="https://www.ltiasv.net/index.php/apps/files/files/36731?dir=/LTIA1%20SV/02.%20ICT%20Documents/01.RFA/5.10/20240821_70000-RFA-MAS-0158A/JCJV" TargetMode="External"/><Relationship Id="rId362" Type="http://schemas.openxmlformats.org/officeDocument/2006/relationships/hyperlink" Target="https://www.ltiasv.net/index.php/apps/files/files/134652?dir=/LTIA1%20SV/02.%20ICT%20Documents/01.RFA/5.11/20260518_10000-RFA-GEN-0005/LTICT" TargetMode="External"/><Relationship Id="rId418" Type="http://schemas.openxmlformats.org/officeDocument/2006/relationships/hyperlink" Target="https://etcvn.sharepoint.com/:f:/r/sites/ACV.Prj.LTIA.ICT-ACV.Prj.LTIA.ICT-JCJV-PMU-VIETUR/Shared%20Documents/Prj.Outside/02.PMU-JCJV-ICT/01.Project%20Quality%20Management/02.RFA/1.RFA-MAS/RFA-0015-CCTV-CANON?csf=1&amp;web=1&amp;e=NxnvGe" TargetMode="External"/><Relationship Id="rId222" Type="http://schemas.openxmlformats.org/officeDocument/2006/relationships/hyperlink" Target="https://www.ltiasv.net/index.php/apps/files/files/130951?dir=/LTIA1%20SV/02.%20ICT%20Documents/01.RFA/5.10/20250822_70000-RFA-OTH-0565/JCJV" TargetMode="External"/><Relationship Id="rId264"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123A_LTIA-5.10-PMU-70000-ABE-MSS-0123A.pdf?csf=1&amp;web=1&amp;e=NaKuQL" TargetMode="External"/><Relationship Id="rId471" Type="http://schemas.openxmlformats.org/officeDocument/2006/relationships/hyperlink" Target="https://vietur.sharepoint.com/:f:/r/sites/LTIA/Shared%20Documents/4%20LTIA_LINK/4.1%20LTIA_LINK%20GUI%20CDT%20-%20TV/2026/08_2026/20260813/LTIA-5.10-VIETUR-70000-RFA-MAS-0814?d=wa539f110a06a4e3483a9fb1a8df7d342&amp;csf=1&amp;web=1&amp;e=w7blam" TargetMode="External"/><Relationship Id="rId17" Type="http://schemas.openxmlformats.org/officeDocument/2006/relationships/hyperlink" Target="https://vietur.sharepoint.com/:f:/r/sites/LTIA/Shared%20Documents/1%20LTIA_VIETUR/03.%20THE%20EMPLOYER%20-%20CDT_TV/3.05%20Construction%20Method%20Approval%20_%20Trinh%20Duyet%20Bien%20Phap%20Thi%20Cong/3.5.1%20Submitted%20_%20Trinh/0123_LTIA-5.10-VIETUR-70000-RFA-MSS-0123?csf=1&amp;web=1&amp;e=GoPIjp" TargetMode="External"/><Relationship Id="rId59"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158B_LTIA-5.10-JCJV-70000-RBC-MAS-0158B.pdf?csf=1&amp;web=1&amp;e=bNf7tp" TargetMode="External"/><Relationship Id="rId124" Type="http://schemas.openxmlformats.org/officeDocument/2006/relationships/hyperlink" Target="https://www.ltiasv.net/index.php/apps/files/files/36311?dir=/LTIA1%20SV/02.%20ICT%20Documents/01.RFA/5.10/20240516_70000-RFA-MAS-0248/Vietur" TargetMode="External"/><Relationship Id="rId70" Type="http://schemas.openxmlformats.org/officeDocument/2006/relationships/hyperlink" Target="https://vietur.sharepoint.com/:f:/r/sites/LTIA/Shared%20Documents/1%20LTIA_VIETUR/03.%20THE%20EMPLOYER%20-%20CDT_TV/3.07%20Other%20Approval%20_%20Trinh%20Duyet%20Khac/3.7.1%20Submitted%20_%20Trinh/0523_LTIA-5.10-VIETUR-70000-RFA-OTH-0523?csf=1&amp;web=1&amp;e=iV7eBF" TargetMode="External"/><Relationship Id="rId166" Type="http://schemas.openxmlformats.org/officeDocument/2006/relationships/hyperlink" Target="https://www.ltiasv.net/index.php/apps/files/files/130974?dir=/LTIA1%20SV/02.%20ICT%20Documents/01.RFA/5.10/20250919_70000-RFA-OTH-0589/Vietur" TargetMode="External"/><Relationship Id="rId331" Type="http://schemas.openxmlformats.org/officeDocument/2006/relationships/hyperlink" Target="https://www.ltiasv.net/index.php/apps/files/files/133082?dir=/LTIA1%20SV/02.%20ICT%20Documents/01.RFA/5.11/20250910_72090-RFA-MAS-0008/JCJV" TargetMode="External"/><Relationship Id="rId373" Type="http://schemas.openxmlformats.org/officeDocument/2006/relationships/hyperlink" Target="https://www.ltiasv.net/index.php/apps/files/files/134844?dir=/LTIA1%20SV/02.%20ICT%20Documents/01.RFA/5.11/20260320_RFA-OTH-0007/LTICT" TargetMode="External"/><Relationship Id="rId429" Type="http://schemas.openxmlformats.org/officeDocument/2006/relationships/hyperlink" Target="https://etcvn.sharepoint.com/:b:/r/sites/ACV.Prj.LTIA.ICT-ACV.Prj.LTIA.ICT-JCJV-PMU-VIETUR/Shared%20Documents/Prj.Outside/02.PMU-JCJV-ICT/01.Project%20Quality%20Management/02.RFA/4.%20RFA-GEN/RFA-0002/4.Response/LTIA-5.11-PMU-10000-ABE-GEN-0002.pdf?csf=1&amp;web=1&amp;e=9EtpVj" TargetMode="External"/><Relationship Id="rId1" Type="http://schemas.openxmlformats.org/officeDocument/2006/relationships/hyperlink" Target="https://vietur.sharepoint.com/:f:/r/sites/LTIA/Shared%20Documents/1%20LTIA_VIETUR/03.%20THE%20EMPLOYER%20-%20CDT_TV/3.06%20Material%20Approval%20_%20Trinh%20Duyet%20Vat%20Lieu/3.6.1%20Submitted%20_%20Trinh/0093_LTIA-5.10-VIETUR-70000-RFA-MAS-0093?csf=1&amp;web=1&amp;e=2DBDoT" TargetMode="External"/><Relationship Id="rId233" Type="http://schemas.openxmlformats.org/officeDocument/2006/relationships/hyperlink" Target="https://www.ltiasv.net/index.php/apps/files/files/131051?dir=/LTIA1%20SV/02.%20ICT%20Documents/01.RFA/5.10/20251215_70000-RFA-OTH-0631A/JCJV" TargetMode="External"/><Relationship Id="rId440" Type="http://schemas.openxmlformats.org/officeDocument/2006/relationships/hyperlink" Target="https://etcvn.sharepoint.com/:f:/r/sites/ACV.Prj.LTIA.ICT-ACV.Prj.LTIA.ICT-JCJV-PMU-VIETUR/Shared%20Documents/Prj.Outside/02.PMU-JCJV-ICT/01.Project%20Quality%20Management/02.RFA/5.%20RFA-OTH/RFA-OTH-0003?csf=1&amp;web=1&amp;e=FsKcDD" TargetMode="External"/><Relationship Id="rId28" Type="http://schemas.openxmlformats.org/officeDocument/2006/relationships/hyperlink" Target="https://vietur.sharepoint.com/:f:/r/sites/LTIA/Shared%20Documents/1%20LTIA_VIETUR/03.%20THE%20EMPLOYER%20-%20CDT_TV/3.06%20Material%20Approval%20_%20Trinh%20Duyet%20Vat%20Lieu/3.6.1%20Submitted%20_%20Trinh/0158C_LTIA-5.10-VIETUR-70000-RFA-MAS-0158C?csf=1&amp;web=1&amp;e=1WALkz" TargetMode="External"/><Relationship Id="rId275" Type="http://schemas.openxmlformats.org/officeDocument/2006/relationships/hyperlink" Target="https://vietur.sharepoint.com/:f:/r/sites/LTIA/Shared%20Documents/1%20LTIA_VIETUR/03.%20THE%20EMPLOYER%20-%20CDT_TV/3.07%20Other%20Approval%20_%20Trinh%20Duyet%20Khac/3.7.3%20Not%20Approved%20_%20Khong%20duyet/Not%20Approved%20by%20ACV%20_%20Khong%20duyet%20boi%20ACV/0432_LTIA-5.10-PMU-70000-ABE-OTH-0432?csf=1&amp;web=1&amp;e=2oY9Ii" TargetMode="External"/><Relationship Id="rId30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19_LTIA-5.10-PMU-70000-ABE-MAS-0219.pdf?csf=1&amp;web=1&amp;e=u173jl" TargetMode="External"/><Relationship Id="rId482" Type="http://schemas.openxmlformats.org/officeDocument/2006/relationships/hyperlink" Target="https://conincojsc-my.sharepoint.com/:b:/g/personal/vanphongjcjv_coninco_com_vn/IQDO3RVdwp2EQY5-IluESrX5ARj7sj8XXpzji79y3i8jxZ8" TargetMode="External"/><Relationship Id="rId81" Type="http://schemas.openxmlformats.org/officeDocument/2006/relationships/hyperlink" Target="https://vietur.sharepoint.com/:f:/r/sites/LTIA/Shared%20Documents/1%20LTIA_VIETUR/03.%20THE%20EMPLOYER%20-%20CDT_TV/3.06%20Material%20Approval%20_%20Trinh%20Duyet%20Vat%20Lieu/3.6.1%20Submitted%20_%20Trinh/0696_LTIA-5.10-VIETUR-70000-RFA-MAS-0696?csf=1&amp;web=1&amp;e=2Z1fUC" TargetMode="External"/><Relationship Id="rId135" Type="http://schemas.openxmlformats.org/officeDocument/2006/relationships/hyperlink" Target="https://www.ltiasv.net/index.php/apps/files/files/36652?dir=/LTIA1%20SV/02.%20ICT%20Documents/01.RFA/5.10/20240723_70000-RFA-MAS-0320/Vietur" TargetMode="External"/><Relationship Id="rId177" Type="http://schemas.openxmlformats.org/officeDocument/2006/relationships/hyperlink" Target="https://www.ltiasv.net/index.php/apps/files/files/130445?dir=/LTIA1%20SV/02.%20ICT%20Documents/01.RFA/5.10/20231227_70000-RFA-MAS-0088/JCJV" TargetMode="External"/><Relationship Id="rId342" Type="http://schemas.openxmlformats.org/officeDocument/2006/relationships/hyperlink" Target="https://www.ltiasv.net/index.php/apps/files/files/133142?dir=/LTIA1%20SV/02.%20ICT%20Documents/01.RFA/5.11/20251014_72120-RFA-MAS-0009/LTICT" TargetMode="External"/><Relationship Id="rId384" Type="http://schemas.openxmlformats.org/officeDocument/2006/relationships/hyperlink" Target="https://etcvn.sharepoint.com/:f:/r/sites/ACV.Prj.LTIA.ICT-ACV.Prj.LTIA.ICT-JCJV-PMU-VIETUR/Shared%20Documents/Prj.Outside/02.PMU-JCJV-ICT/01.Project%20Quality%20Management/02.RFA/1.RFA-MAS/RFA-0002-Cable?csf=1&amp;web=1&amp;e=ClIQGe" TargetMode="External"/><Relationship Id="rId202" Type="http://schemas.openxmlformats.org/officeDocument/2006/relationships/hyperlink" Target="https://www.ltiasv.net/index.php/apps/files/files/43277?dir=/LTIA1%20SV/02.%20ICT%20Documents/01.RFA/5.10/20241107_70000-RFA-MAS-0158B/JCJV" TargetMode="External"/><Relationship Id="rId244"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082_LTIA-5.10-PMU-72160-ABE-MSS-0082.pdf?csf=1&amp;web=1&amp;e=xoxMhZ" TargetMode="External"/><Relationship Id="rId39"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248_LTIA-5.10-JCJV-70000-RBC-MAS-0248.pdf?csf=1&amp;web=1&amp;e=IsPOEf" TargetMode="External"/><Relationship Id="rId28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19B_LTIA-5.10-PMU-70000-ABE-MAS-0219B.pdf?csf=1&amp;web=1&amp;e=cLDMcM" TargetMode="External"/><Relationship Id="rId451" Type="http://schemas.openxmlformats.org/officeDocument/2006/relationships/hyperlink" Target="https://etcvn.sharepoint.com/:f:/r/sites/ACV.Prj.LTIA.ICT-ACV.Prj.LTIA.ICT-JCJV-PMU-VIETUR/Shared%20Documents/Prj.Outside/02.PMU-JCJV-ICT/01.Project%20Quality%20Management/02.RFA/5.%20RFA-OTH/RFA-OTH-0008?csf=1&amp;web=1&amp;e=Bf4qVx" TargetMode="External"/><Relationship Id="rId493" Type="http://schemas.openxmlformats.org/officeDocument/2006/relationships/hyperlink" Target="https://etcvn.sharepoint.com/:f:/r/sites/ACV.Prj.LTIA.ICT-ACV.Prj.LTIA.ICT-JCJV-PMU-VIETUR/Shared%20Documents/Prj.Outside/02.PMU-JCJV-ICT/01.Project%20Quality%20Management/02.RFA/6.%20RFA-MSS/RFA-MSS-SCS?d=w733fba3979b94734b97f51edcc391b55&amp;csf=1&amp;web=1&amp;e=ULcBrX" TargetMode="External"/><Relationship Id="rId50"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258A_LTIA-5.10-JCJV-70000-RBC-MAS-0258A.pdf?csf=1&amp;web=1&amp;e=MXAEJF" TargetMode="External"/><Relationship Id="rId10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84_LTIA-5.10-JCJV-70000-ABC-MAS-0584.pdf?csf=1&amp;web=1&amp;e=Lnlrp8" TargetMode="External"/><Relationship Id="rId146" Type="http://schemas.openxmlformats.org/officeDocument/2006/relationships/hyperlink" Target="https://www.ltiasv.net/index.php/apps/files/files/53428?dir=/LTIA1%20SV/02.%20ICT%20Documents/01.RFA/5.10/20241209_70000-RFA-OTH-0328/Vietur" TargetMode="External"/><Relationship Id="rId188" Type="http://schemas.openxmlformats.org/officeDocument/2006/relationships/hyperlink" Target="https://www.ltiasv.net/index.php/apps/files/files/36316?dir=/LTIA1%20SV/02.%20ICT%20Documents/01.RFA/5.10/20240611_70000-RFA-MAS-0277/JCJV" TargetMode="External"/><Relationship Id="rId311" Type="http://schemas.openxmlformats.org/officeDocument/2006/relationships/hyperlink" Target="https://www.ltiasv.net/index.php/apps/files/files/131066?dir=/LTIA1%20SV/02.%20ICT%20Documents/01.RFA/5.10/20260601_70000-RFA-OTH-0712/Vietur" TargetMode="External"/><Relationship Id="rId353" Type="http://schemas.openxmlformats.org/officeDocument/2006/relationships/hyperlink" Target="https://www.ltiasv.net/index.php/apps/files/files/134256?dir=/LTIA1%20SV/02.%20ICT%20Documents/01.RFA/5.11/20260422_72102-RFA-MAS-0015/LTICT" TargetMode="External"/><Relationship Id="rId395" Type="http://schemas.openxmlformats.org/officeDocument/2006/relationships/hyperlink" Target="https://etcvn.sharepoint.com/:b:/r/sites/ACV.Prj.LTIA.ICT-ACV.Prj.LTIA.ICT-JCJV-PMU-VIETUR/Shared%20Documents/Prj.Outside/02.PMU-JCJV-ICT/01.Project%20Quality%20Management/02.RFA/1.RFA-MAS/RFA-0005-DCH/4.%20Response/LTIA-5.11-PMU-72040-ABE-MAS-0005.pdf?csf=1&amp;web=1&amp;e=FF1io9" TargetMode="External"/><Relationship Id="rId409" Type="http://schemas.openxmlformats.org/officeDocument/2006/relationships/hyperlink" Target="https://etcvn.sharepoint.com/:b:/r/sites/ACV.Prj.LTIA.ICT-ACV.Prj.LTIA.ICT-JCJV-PMU-VIETUR/Shared%20Documents/Prj.Outside/02.PMU-JCJV-ICT/01.Project%20Quality%20Management/02.RFA/1.RFA-MAS/RFA-0010-PPS/04.%20Response/LTIA-5.11-JCJV-71000-ABC-MAS-0010.pdf?csf=1&amp;web=1&amp;e=rqIzmg" TargetMode="External"/><Relationship Id="rId92" Type="http://schemas.openxmlformats.org/officeDocument/2006/relationships/hyperlink" Target="https://vietur.sharepoint.com/:f:/r/sites/LTIA/Shared%20Documents/1%20LTIA_VIETUR/03.%20THE%20EMPLOYER%20-%20CDT_TV/3.06%20Material%20Approval%20_%20Trinh%20Duyet%20Vat%20Lieu/3.6.1%20Submitted%20_%20Trinh/0556B_LTIA-5.10-VIETUR-70000-RFA-MAS-0556B?csf=1&amp;web=1&amp;e=diqTPU" TargetMode="External"/><Relationship Id="rId213" Type="http://schemas.openxmlformats.org/officeDocument/2006/relationships/hyperlink" Target="https://www.ltiasv.net/index.php/apps/files/files/130870?dir=/LTIA1%20SV/02.%20ICT%20Documents/01.RFA/5.10/20250416_70000-RFA-OTH-0432/JCJV" TargetMode="External"/><Relationship Id="rId420" Type="http://schemas.openxmlformats.org/officeDocument/2006/relationships/hyperlink" Target="https://etcvn.sharepoint.com/:b:/r/sites/ACV.Prj.LTIA.ICT-ACV.Prj.LTIA.ICT-JCJV-PMU-VIETUR/Shared%20Documents/Prj.Outside/02.PMU-JCJV-ICT/01.Project%20Quality%20Management/02.RFA/1.RFA-MAS/RFA-0015-CCTV-CANON/04.%20Respone/LTIA-5.11-JCJV-72102-ABC-MAS-0015..pdf?csf=1&amp;web=1&amp;e=o1ltqK" TargetMode="External"/><Relationship Id="rId255"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082A_LTIA-5.10-PMU-72160-ABE-MSS-0082A.pdf?csf=1&amp;web=1&amp;e=zSkcBC" TargetMode="External"/><Relationship Id="rId29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19_LTIA-5.10-JCJV-70000-CBC-MAS-0219.pdf?csf=1&amp;web=1&amp;e=mhcXKU" TargetMode="External"/><Relationship Id="rId462" Type="http://schemas.openxmlformats.org/officeDocument/2006/relationships/hyperlink" Target="https://conincojsc-my.sharepoint.com/:b:/g/personal/vanphongjcjv_coninco_com_vn/IQCG7g7-EykgRbRmUQfj6TL1AVKS2m8xkEnqDMbV9E5Vnd4" TargetMode="External"/><Relationship Id="rId115" Type="http://schemas.openxmlformats.org/officeDocument/2006/relationships/hyperlink" Target="https://vietur.sharepoint.com/:b:/r/sites/LTIA/Shared%20Documents/1%20LTIA_VIETUR/03.%20THE%20EMPLOYER%20-%20CDT_TV/3.07%20Other%20Approval%20_%20Trinh%20Duyet%20Khac/3.7.2%20Approved%20_%20Duyet/Approved%20by%20JCJV%20_%20Duyet%20boi%20JCJV/0631A_LTIA-5.10-JCJV-70000-ABC-OTH-0631A.pdf?csf=1&amp;web=1&amp;e=OlULYW" TargetMode="External"/><Relationship Id="rId157" Type="http://schemas.openxmlformats.org/officeDocument/2006/relationships/hyperlink" Target="https://www.ltiasv.net/index.php/apps/files/files/130912?dir=/LTIA1%20SV/02.%20ICT%20Documents/01.RFA/5.10/20250524_70000-RFA-MAS-0584/Vietur" TargetMode="External"/><Relationship Id="rId322" Type="http://schemas.openxmlformats.org/officeDocument/2006/relationships/hyperlink" Target="https://www.ltiasv.net/index.php/apps/files/files/134658?dir=/LTIA1%20SV/02.%20ICT%20Documents/01.RFA/5.11/20250909_10000-RFA-GEN-0001/LTICT" TargetMode="External"/><Relationship Id="rId364" Type="http://schemas.openxmlformats.org/officeDocument/2006/relationships/hyperlink" Target="https://www.ltiasv.net/index.php/apps/files/files/134845?dir=/LTIA1%20SV/02.%20ICT%20Documents/01.RFA/5.11/20251113_RFA-OTH-0002/LTICT" TargetMode="External"/><Relationship Id="rId6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05B_LTIA-5.10-JCJV-70000-ABC-MAS-0305B.pdf?csf=1&amp;web=1&amp;e=zBHItH" TargetMode="External"/><Relationship Id="rId199" Type="http://schemas.openxmlformats.org/officeDocument/2006/relationships/hyperlink" Target="https://www.ltiasv.net/index.php/apps/files/files/37725?dir=/LTIA1%20SV/02.%20ICT%20Documents/01.RFA/5.10/20240918_70000-RFA-MAS-0258A/JCJV" TargetMode="External"/><Relationship Id="rId19" Type="http://schemas.openxmlformats.org/officeDocument/2006/relationships/hyperlink" Target="https://vietur.sharepoint.com/:f:/r/sites/LTIA/Shared%20Documents/1%20LTIA_VIETUR/03.%20THE%20EMPLOYER%20-%20CDT_TV/3.06%20Material%20Approval%20_%20Trinh%20Duyet%20Vat%20Lieu/3.6.1%20Submitted%20_%20Trinh/0158A_LTIA-5.10-VIETUR-70000-RFA-MAS-0158A?csf=1&amp;web=1&amp;e=h4ylAy" TargetMode="External"/><Relationship Id="rId224" Type="http://schemas.openxmlformats.org/officeDocument/2006/relationships/hyperlink" Target="https://www.ltiasv.net/index.php/apps/files/files/130960?dir=/LTIA1%20SV/02.%20ICT%20Documents/01.RFA/5.10/20250908_70000-RFA-MAS-0219B/JCJV" TargetMode="External"/><Relationship Id="rId26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409_LTIA-5.10-PMU-70000-ABE-MAS-0409.pdf?csf=1&amp;web=1&amp;e=9chLY5" TargetMode="External"/><Relationship Id="rId431" Type="http://schemas.openxmlformats.org/officeDocument/2006/relationships/hyperlink" Target="https://etcvn.sharepoint.com/:b:/r/sites/ACV.Prj.LTIA.ICT-ACV.Prj.LTIA.ICT-JCJV-PMU-VIETUR/Shared%20Documents/Prj.Outside/02.PMU-JCJV-ICT/01.Project%20Quality%20Management/02.RFA/4.%20RFA-GEN/RFA-0003/4.%20Response/LTIA-5.11-JCJV-10000-ABC-GEN-0003.pdf?csf=1&amp;web=1&amp;e=YbnAeX" TargetMode="External"/><Relationship Id="rId473" Type="http://schemas.openxmlformats.org/officeDocument/2006/relationships/hyperlink" Target="https://vietur.sharepoint.com/:f:/r/sites/LTIA/Shared%20Documents/4%20LTIA_LINK/4.1%20LTIA_LINK%20GUI%20CDT%20-%20TV/2026/08_2026/20260821/LTIA-5.10-VIETUR-72150-RFA-OTH-0750?d=w1fed91dd62924c138d6e66e23f182ed7&amp;csf=1&amp;web=1&amp;e=TtQKAC" TargetMode="External"/><Relationship Id="rId30" Type="http://schemas.openxmlformats.org/officeDocument/2006/relationships/hyperlink" Target="https://vietur.sharepoint.com/:f:/r/sites/LTIA/Shared%20Documents/1%20LTIA_VIETUR/03.%20THE%20EMPLOYER%20-%20CDT_TV/3.05%20Construction%20Method%20Approval%20_%20Trinh%20Duyet%20Bien%20Phap%20Thi%20Cong/3.5.1%20Submitted%20_%20Trinh/0153_LTIA-5.10-VIETUR-70000-RFA-MSS-0153?csf=1&amp;web=1&amp;e=eNYV9v" TargetMode="External"/><Relationship Id="rId126" Type="http://schemas.openxmlformats.org/officeDocument/2006/relationships/hyperlink" Target="https://www.ltiasv.net/index.php/apps/files/files/36313?dir=/LTIA1%20SV/02.%20ICT%20Documents/01.RFA/5.10/20240603_70000-RFA-MAS-0265/Vietur" TargetMode="External"/><Relationship Id="rId168" Type="http://schemas.openxmlformats.org/officeDocument/2006/relationships/hyperlink" Target="https://www.ltiasv.net/index.php/apps/files/files/130990?dir=/LTIA1%20SV/02.%20ICT%20Documents/01.RFA/5.10/20251030_70000-RFA-MAS-0706/Vietur" TargetMode="External"/><Relationship Id="rId333" Type="http://schemas.openxmlformats.org/officeDocument/2006/relationships/hyperlink" Target="https://www.ltiasv.net/index.php/apps/files/files/132673?dir=/LTIA1%20SV/02.%20ICT%20Documents/01.RFA/5.11/20250915_72020-RFA-MAS-0006/JCJV" TargetMode="External"/><Relationship Id="rId72" Type="http://schemas.openxmlformats.org/officeDocument/2006/relationships/hyperlink" Target="https://vietur.sharepoint.com/:f:/r/sites/LTIA/Shared%20Documents/1%20LTIA_VIETUR/03.%20THE%20EMPLOYER%20-%20CDT_TV/3.07%20Other%20Approval%20_%20Trinh%20Duyet%20Khac/3.7.1%20Submitted%20_%20Trinh/0568_LTIA-5.10-VIETUR-70000-RFA-OTH-0568?csf=1&amp;web=1&amp;e=Cj1rNI" TargetMode="External"/><Relationship Id="rId375" Type="http://schemas.openxmlformats.org/officeDocument/2006/relationships/hyperlink" Target="https://www.ltiasv.net/index.php/apps/files/files/134838?dir=/LTIA1%20SV/02.%20ICT%20Documents/01.RFA/5.11/20260520_RFA-OTH-0007A/LTICT" TargetMode="External"/><Relationship Id="rId3" Type="http://schemas.openxmlformats.org/officeDocument/2006/relationships/hyperlink" Target="https://vietur.sharepoint.com/:f:/r/sites/LTIA/Shared%20Documents/1%20LTIA_VIETUR/03.%20THE%20EMPLOYER%20-%20CDT_TV/3.06%20Material%20Approval%20_%20Trinh%20Duyet%20Vat%20Lieu/3.6.1%20Submitted%20_%20Trinh/0158_LTIA-5.10-VIETUR-70000-RFA-MAS-0158?csf=1&amp;web=1&amp;e=YYhJOp" TargetMode="External"/><Relationship Id="rId235" Type="http://schemas.openxmlformats.org/officeDocument/2006/relationships/hyperlink" Target="https://www.ltiasv.net/index.php/apps/files/files/131055?dir=/LTIA1%20SV/02.%20ICT%20Documents/01.RFA/5.10/20251218_70000-RFA-OTH-0654/JCJV" TargetMode="External"/><Relationship Id="rId27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77A_LTIA-5.10-PMU-70000-ABE-MAS-0277A.pdf?csf=1&amp;web=1&amp;e=giQPWI" TargetMode="External"/><Relationship Id="rId400" Type="http://schemas.openxmlformats.org/officeDocument/2006/relationships/hyperlink" Target="https://etcvn.sharepoint.com/:b:/r/sites/ACV.Prj.LTIA.ICT-ACV.Prj.LTIA.ICT-JCJV-PMU-VIETUR/Shared%20Documents/Prj.Outside/02.PMU-JCJV-ICT/01.Project%20Quality%20Management/02.RFA/1.RFA-MAS/RFA-0007-WDNE/4.%20Response/LTIA-5.11-PMU-72030-ABE-MAS-0007.pdf?csf=1&amp;web=1&amp;e=dFuOlX" TargetMode="External"/><Relationship Id="rId442" Type="http://schemas.openxmlformats.org/officeDocument/2006/relationships/hyperlink" Target="https://etcvn.sharepoint.com/:b:/r/sites/ACV.Prj.LTIA.ICT-ACV.Prj.LTIA.ICT-JCJV-PMU-VIETUR/Shared%20Documents/Prj.Outside/02.PMU-JCJV-ICT/01.Project%20Quality%20Management/02.RFA/5.%20RFA-OTH/RFA-OTH-0004/02.%20Respone/LTIA-5.11-JCJV-OTH-RBC-0004.pdf?csf=1&amp;web=1&amp;e=B8RpsV" TargetMode="External"/><Relationship Id="rId484" Type="http://schemas.openxmlformats.org/officeDocument/2006/relationships/hyperlink" Target="https://vietur.sharepoint.com/:f:/r/sites/LTIA/Shared%20Documents/4%20LTIA_LINK/4.1%20LTIA_LINK%20GUI%20CDT%20-%20TV/2026/09_2026/20260924/LTIA-5.10-VIETUR-70000-RFA-OTH-0733A?d=wbeecd14f6368494291282cfab01478de&amp;csf=1&amp;web=1&amp;e=rLxypv" TargetMode="External"/><Relationship Id="rId137" Type="http://schemas.openxmlformats.org/officeDocument/2006/relationships/hyperlink" Target="https://www.ltiasv.net/index.php/apps/files/files/36732?dir=/LTIA1%20SV/02.%20ICT%20Documents/01.RFA/5.10/20240821_70000-RFA-MAS-0158A/Vietur" TargetMode="External"/><Relationship Id="rId302" Type="http://schemas.openxmlformats.org/officeDocument/2006/relationships/hyperlink" Target="https://vietur.sharepoint.com/:f:/r/sites/LTIA/Shared%20Documents/1%20LTIA_VIETUR/03.%20THE%20EMPLOYER%20-%20CDT_TV/3.07%20Other%20Approval%20_%20Trinh%20Duyet%20Khac/3.7.1%20Submitted%20_%20Trinh/0721_LTIA-5.10-VIETUR-70000-RFA-OTH-0721?csf=1&amp;web=1&amp;e=YbfZRJ" TargetMode="External"/><Relationship Id="rId344" Type="http://schemas.openxmlformats.org/officeDocument/2006/relationships/hyperlink" Target="https://www.ltiasv.net/index.php/apps/files/files/133182?dir=/LTIA1%20SV/02.%20ICT%20Documents/01.RFA/5.11/20251017_71000-RFA-MAS-0010/LTICT" TargetMode="External"/><Relationship Id="rId4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65_LTIA-5.10-JCJV-70000-ABC-MAS-0265.pdf?csf=1&amp;web=1&amp;e=tpPAqZ" TargetMode="External"/><Relationship Id="rId83" Type="http://schemas.openxmlformats.org/officeDocument/2006/relationships/hyperlink" Target="https://vietur.sharepoint.com/:f:/r/sites/LTIA/Shared%20Documents/1%20LTIA_VIETUR/03.%20THE%20EMPLOYER%20-%20CDT_TV/3.06%20Material%20Approval%20_%20Trinh%20Duyet%20Vat%20Lieu/3.6.1%20Submitted%20_%20Trinh/0720_LTIA-5.10-VIETUR-70000-RFA-MAS-0720?csf=1&amp;web=1&amp;e=vpGLGS" TargetMode="External"/><Relationship Id="rId179" Type="http://schemas.openxmlformats.org/officeDocument/2006/relationships/hyperlink" Target="https://www.ltiasv.net/index.php/apps/files/files/130498?dir=/LTIA1%20SV/02.%20ICT%20Documents/01.RFA/5.10/20240108_70000-RFA-MAS-0116/JCJV" TargetMode="External"/><Relationship Id="rId386" Type="http://schemas.openxmlformats.org/officeDocument/2006/relationships/hyperlink" Target="https://etcvn.sharepoint.com/:b:/r/sites/ACV.Prj.LTIA.ICT-ACV.Prj.LTIA.ICT-JCJV-PMU-VIETUR/Shared%20Documents/Prj.Outside/02.PMU-JCJV-ICT/01.Project%20Quality%20Management/02.RFA/1.RFA-MAS/RFA-0002-Cable/4.%20Response/LTIA-5.11-JCJV-72110-ABC-MAS-0002%20updated.pdf?csf=1&amp;web=1&amp;e=8vTuI5" TargetMode="External"/><Relationship Id="rId190" Type="http://schemas.openxmlformats.org/officeDocument/2006/relationships/hyperlink" Target="https://www.ltiasv.net/index.php/apps/files/files/36456?dir=/LTIA1%20SV/02.%20ICT%20Documents/01.RFA/5.10/20240628_70000-RFA-MAS-0305/JCJV" TargetMode="External"/><Relationship Id="rId204" Type="http://schemas.openxmlformats.org/officeDocument/2006/relationships/hyperlink" Target="https://www.ltiasv.net/index.php/apps/files/files/52179?dir=/LTIA1%20SV/02.%20ICT%20Documents/01.RFA/5.10/20241204_70000-RFA-MAS-0305B/JCJV" TargetMode="External"/><Relationship Id="rId246"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088A_LTIA-5.10-PMU-70000-ABE-MAS-0088A.pdf?csf=1&amp;web=1&amp;e=Fvg4r7" TargetMode="External"/><Relationship Id="rId288" Type="http://schemas.openxmlformats.org/officeDocument/2006/relationships/hyperlink" Target="https://vietur.sharepoint.com/:b:/r/sites/LTIA/Shared%20Documents/1%20LTIA_VIETUR/03.%20THE%20EMPLOYER%20-%20CDT_TV/3.07%20Other%20Approval%20_%20Trinh%20Duyet%20Khac/3.7.3%20Not%20Approved%20_%20Khong%20duyet/Not%20Approved%20by%20ACV%20_%20Khong%20duyet%20boi%20ACV/0589_LTIA-5.10-PMU-70000-ABE-OTH-0589.pdf?csf=1&amp;web=1&amp;e=c9cEQi" TargetMode="External"/><Relationship Id="rId411" Type="http://schemas.openxmlformats.org/officeDocument/2006/relationships/hyperlink" Target="https://etcvn.sharepoint.com/:b:/r/sites/ACV.Prj.LTIA.ICT-ACV.Prj.LTIA.ICT-JCJV-PMU-VIETUR/Shared%20Documents/Prj.Outside/02.PMU-JCJV-ICT/01.Project%20Quality%20Management/02.RFA/1.RFA-MAS/RFA-0011-Toll/04.%20Response/LTIA-5.11-LTICT-71110-RFA-MAS-0011%20(ho%C3%A0n%20ch%E1%BB%89nh-signed).pdf?csf=1&amp;web=1&amp;e=L85agL" TargetMode="External"/><Relationship Id="rId453" Type="http://schemas.openxmlformats.org/officeDocument/2006/relationships/hyperlink" Target="https://etcvn.sharepoint.com/:f:/r/sites/ACV.Prj.LTIA.ICT-ACV.Prj.LTIA.ICT-JCJV-PMU-VIETUR/Shared%20Documents/Prj.Outside/02.PMU-JCJV-ICT/01.Project%20Quality%20Management/02.RFA/5.%20RFA-OTH/RFA-OTH-0010?csf=1&amp;web=1&amp;e=fauxI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Terminal%20equipment%20works_Thiet%20bi%20nha%20ga/0101_LTIA-5.10-PMU-80000-ABE-SDS-0101/0101_LTIA-5.10-PMU-80000-ABE-SDS-0101.pdf?csf=1&amp;web=1&amp;e=trLCEc" TargetMode="External"/><Relationship Id="rId21"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214_LTIA-5.10-JCJV-80000-CBC-SDS-0214.pdf?csf=1&amp;web=1&amp;e=p8k8c8" TargetMode="External"/><Relationship Id="rId42"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10A_LTIA-5.10-JCJV-80000-ABC-SDS-0310A.pdf?csf=1&amp;web=1&amp;e=BLZtld" TargetMode="External"/><Relationship Id="rId63" Type="http://schemas.openxmlformats.org/officeDocument/2006/relationships/hyperlink" Target="https://www.ltiasv.net/index.php/apps/files/files/131148?dir=/LTIA1%20SV/02.%20ICT%20Documents/02.RFA-SDS/20250723_80000-RFA-SDS-0197A/Vietur" TargetMode="External"/><Relationship Id="rId84" Type="http://schemas.openxmlformats.org/officeDocument/2006/relationships/hyperlink" Target="https://www.ltiasv.net/index.php/apps/files/files/131170?dir=/LTIA1%20SV/02.%20ICT%20Documents/02.RFA-SDS/20250811_80000-RFA-SDS-0350/JCJV" TargetMode="External"/><Relationship Id="rId138" Type="http://schemas.openxmlformats.org/officeDocument/2006/relationships/hyperlink" Target="https://conincojsc-my.sharepoint.com/:b:/g/personal/vanphongjcjv_coninco_com_vn/IQBa9VUBnyu2Qb7UJ0KTe953AT6R12pp9k_IgybRCTBKTyQ" TargetMode="External"/><Relationship Id="rId107"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122_LTIA-5.10-PMU-80000-ABE-SDS-0122?csf=1&amp;web=1&amp;e=Lg979H" TargetMode="External"/><Relationship Id="rId11"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22A_LTIA-5.10-VIETUR-80000-RFA-SDS-0122A?csf=1&amp;web=1&amp;e=hCdCpO" TargetMode="External"/><Relationship Id="rId32"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40B_LTIA-5.10-VIETUR-80000-RFA-SDS-0140B?csf=1&amp;web=1&amp;e=I94sWE" TargetMode="External"/><Relationship Id="rId37"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71_LTIA-5.10-JCJV-80000-CBC-SDS-0371.pdf?csf=1&amp;web=1&amp;e=QtbGgx" TargetMode="External"/><Relationship Id="rId53" Type="http://schemas.openxmlformats.org/officeDocument/2006/relationships/hyperlink" Target="https://www.ltiasv.net/index.php/apps/files/files/131101?dir=/LTIA1%20SV/02.%20ICT%20Documents/02.RFA-SDS/20250527_80000-RFA-SDS-0310/Vietur" TargetMode="External"/><Relationship Id="rId58" Type="http://schemas.openxmlformats.org/officeDocument/2006/relationships/hyperlink" Target="https://www.ltiasv.net/index.php/apps/files/files/131222?dir=/LTIA1%20SV/02.%20ICT%20Documents/02.RFA-SDS/20251111_80000-RFA-SDS-0372/Vietur" TargetMode="External"/><Relationship Id="rId74" Type="http://schemas.openxmlformats.org/officeDocument/2006/relationships/hyperlink" Target="https://www.ltiasv.net/index.php/apps/files/files/131191?dir=/LTIA1%20SV/02.%20ICT%20Documents/02.RFA-SDS/20250930_80000-RFA-SDS-0371/Vietur" TargetMode="External"/><Relationship Id="rId79" Type="http://schemas.openxmlformats.org/officeDocument/2006/relationships/hyperlink" Target="https://www.ltiasv.net/index.php/apps/files/files/53707?dir=/LTIA1%20SV/02.%20ICT%20Documents/02.RFA-SDS/20241210_80000-RFA-SDS-0197/JCJV" TargetMode="External"/><Relationship Id="rId102" Type="http://schemas.openxmlformats.org/officeDocument/2006/relationships/hyperlink" Target="https://www.ltiasv.net/index.php/apps/files/files/131321?dir=/LTIA1%20SV/02.%20ICT%20Documents/02.RFA-SDS/20260129_80000-RFA-SDS-0428/JCJV" TargetMode="External"/><Relationship Id="rId123"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371_LTIA-5.10-PMU-80000-ABE-SDS-0371.pdf?csf=1&amp;web=1&amp;e=sqNFDM" TargetMode="External"/><Relationship Id="rId128"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222_LTIA-5.10-JCJV-80000-RBC-SDS-0222.pdf?csf=1&amp;web=1&amp;e=uMU1pH" TargetMode="External"/><Relationship Id="rId5"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97_LTIA-5.10-VIETUR-80000-RFA-SDS-0197?csf=1&amp;web=1&amp;e=sfhXNo" TargetMode="External"/><Relationship Id="rId90" Type="http://schemas.openxmlformats.org/officeDocument/2006/relationships/hyperlink" Target="https://www.ltiasv.net/index.php/apps/files/files/131186?dir=/LTIA1%20SV/02.%20ICT%20Documents/02.RFA-SDS/20250919_80000-RFA-SDS-0222A/JCJV" TargetMode="External"/><Relationship Id="rId95" Type="http://schemas.openxmlformats.org/officeDocument/2006/relationships/hyperlink" Target="https://www.ltiasv.net/index.php/apps/files/files/131132?dir=/LTIA1%20SV/02.%20ICT%20Documents/02.RFA-SDS/20250723_80000-RFA-SDS-0080A/JCJV" TargetMode="External"/><Relationship Id="rId22"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Architectural%20work_Cong%20tac%20kien%20truc/0310_LTIA-5.10-JCJV-80000-CBC-SDS-0310.pdf?csf=1&amp;web=1&amp;e=kpQbaD" TargetMode="External"/><Relationship Id="rId27"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10A_LTIA-5.10-VIETUR-80000-RFA-SDS-0310A?csf=1&amp;web=1&amp;e=DhCC7z" TargetMode="External"/><Relationship Id="rId43"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394_LTIA-5.10-JCJV-80000-RBC-SDS-0394.pdf?csf=1&amp;web=1&amp;e=Yyd0uB" TargetMode="External"/><Relationship Id="rId48"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428_LTIA-5.10-JCJV-80000-RBC-SDS-0428.pdf?csf=1&amp;web=1&amp;e=bHmvaX" TargetMode="External"/><Relationship Id="rId64" Type="http://schemas.openxmlformats.org/officeDocument/2006/relationships/hyperlink" Target="https://www.ltiasv.net/index.php/apps/files/files/131187?dir=/LTIA1%20SV/02.%20ICT%20Documents/02.RFA-SDS/20250919_80000-RFA-SDS-0222A/Vietur" TargetMode="External"/><Relationship Id="rId69" Type="http://schemas.openxmlformats.org/officeDocument/2006/relationships/hyperlink" Target="https://www.ltiasv.net/index.php/apps/files/files/131122?dir=/LTIA1%20SV/02.%20ICT%20Documents/02.RFA-SDS/20250712_80000-RFA-SDS-0122A/Vietur" TargetMode="External"/><Relationship Id="rId113"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310_LTIA-5.10-PMU-80000-ABE-SDS-0310?csf=1&amp;web=1&amp;e=gbzSaC" TargetMode="External"/><Relationship Id="rId118"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60A_LTIA-5.10-PMU-80000-ABE-SDS-0080A-0122A-0140A-0140B-0160A-0197A-0330-0350.pdf?csf=1&amp;web=1&amp;e=vXjZm3" TargetMode="External"/><Relationship Id="rId134" Type="http://schemas.openxmlformats.org/officeDocument/2006/relationships/hyperlink" Target="https://vietur.sharepoint.com/:f:/r/sites/LTIA/Shared%20Documents/4%20LTIA_LINK/4.1%20LTIA_LINK%20GUI%20CDT%20-%20TV/2026/09_2026/20260903/LTIA-5.10-VIETUR-80000-RFA-SDS-0417A?d=w6ff9a8ddfc7c4881814fb3c349ea4fcb&amp;csf=1&amp;web=1&amp;e=M96vZi" TargetMode="External"/><Relationship Id="rId139" Type="http://schemas.openxmlformats.org/officeDocument/2006/relationships/hyperlink" Target="https://conincojsc-my.sharepoint.com/:b:/g/personal/vanphongjcjv_coninco_com_vn/IQATbcGngn6URZYQoSJlRWXhAXN7piTBnEIvOPUbJpWm-4Q" TargetMode="External"/><Relationship Id="rId80" Type="http://schemas.openxmlformats.org/officeDocument/2006/relationships/hyperlink" Target="https://www.ltiasv.net/index.php/apps/files/files/131102?dir=/LTIA1%20SV/02.%20ICT%20Documents/02.RFA-SDS/20250527_80000-RFA-SDS-0310/JCJV" TargetMode="External"/><Relationship Id="rId85" Type="http://schemas.openxmlformats.org/officeDocument/2006/relationships/hyperlink" Target="https://www.ltiasv.net/index.php/apps/files/files/36943?dir=/LTIA1%20SV/02.%20ICT%20Documents/02.RFA-SDS/20240905_80000-RFA-SDS-0122/JCJV" TargetMode="External"/><Relationship Id="rId12"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080A_LTIA-5.10-VIETUR-80000-RFA-SDS-0080A?csf=1&amp;web=1&amp;e=Tg2boR" TargetMode="External"/><Relationship Id="rId17"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40_LTIA-5.10-JCJV-80000-CBC-SDS-0140.pdf?csf=1&amp;web=1&amp;e=hU1wxK" TargetMode="External"/><Relationship Id="rId33"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080A_LTIA-5.10-JCJV-80000-CBC-SDS-0080A.pdf?csf=1&amp;web=1&amp;e=UYZ8X3" TargetMode="External"/><Relationship Id="rId38"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417_LTIA-5.10-VIETUR-80000-RFA-SDS-0417?csf=1&amp;web=1&amp;e=yeC7aI" TargetMode="External"/><Relationship Id="rId59" Type="http://schemas.openxmlformats.org/officeDocument/2006/relationships/hyperlink" Target="https://www.ltiasv.net/index.php/apps/files/files/36944?dir=/LTIA1%20SV/02.%20ICT%20Documents/02.RFA-SDS/20240905_80000-RFA-SDS-0122/Vietur" TargetMode="External"/><Relationship Id="rId103" Type="http://schemas.openxmlformats.org/officeDocument/2006/relationships/hyperlink" Target="https://vietur.sharepoint.com/:x:/r/sites/LTIA/_layouts/15/doc2.aspx?sourcedoc=%7B7B340B6F-4F71-447B-B3CE-5B292AE32761%7D&amp;file=LTIA_Register.xlsx&amp;action=default&amp;mobileredirect=true&amp;wdLOR=c16F6FCF8-9071-41B3-B82F-5D5C6DC4A3AF" TargetMode="External"/><Relationship Id="rId108"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140_LTIA-5.10-PMU-80000-ABE-SDS-0140?csf=1&amp;web=1&amp;e=8tgF1c" TargetMode="External"/><Relationship Id="rId124"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197B_LTIA-5.10-PMU-80000-ABE-SDS-0197B.pdf?csf=1&amp;web=1&amp;e=2pUbpt" TargetMode="External"/><Relationship Id="rId129"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222_LTIA-5.10-PMU-80000-ABE-SDS-0222.pdf?csf=1&amp;web=1&amp;e=49LgAW" TargetMode="External"/><Relationship Id="rId54" Type="http://schemas.openxmlformats.org/officeDocument/2006/relationships/hyperlink" Target="https://www.ltiasv.net/index.php/apps/files/files/131111?dir=/LTIA1%20SV/02.%20ICT%20Documents/02.RFA-SDS/20250710_80000-RFA-SDS-0330/Vietur" TargetMode="External"/><Relationship Id="rId70" Type="http://schemas.openxmlformats.org/officeDocument/2006/relationships/hyperlink" Target="https://www.ltiasv.net/index.php/apps/files/files/131133?dir=/LTIA1%20SV/02.%20ICT%20Documents/02.RFA-SDS/20250723_80000-RFA-SDS-0080A/Vietur" TargetMode="External"/><Relationship Id="rId75" Type="http://schemas.openxmlformats.org/officeDocument/2006/relationships/hyperlink" Target="https://www.ltiasv.net/index.php/apps/files/files/131178?dir=/LTIA1%20SV/02.%20ICT%20Documents/02.RFA-SDS/20250908_80000-RFA-SDS-0140B/Vietur" TargetMode="External"/><Relationship Id="rId91" Type="http://schemas.openxmlformats.org/officeDocument/2006/relationships/hyperlink" Target="https://www.ltiasv.net/index.php/apps/files/files/40016?dir=/LTIA1%20SV/02.%20ICT%20Documents/02.RFA-SDS/20241018_80000-RFA-SDS-0140/JCJV" TargetMode="External"/><Relationship Id="rId96" Type="http://schemas.openxmlformats.org/officeDocument/2006/relationships/hyperlink" Target="https://www.ltiasv.net/index.php/apps/files/files/131218?dir=/LTIA1%20SV/02.%20ICT%20Documents/02.RFA-SDS/20251104_80000-RFA-SDS-0394/JCJV" TargetMode="External"/><Relationship Id="rId140" Type="http://schemas.openxmlformats.org/officeDocument/2006/relationships/hyperlink" Target="https://vietur.sharepoint.com/:f:/r/sites/LTIA/Shared%20Documents/4%20LTIA_LINK/4.1%20LTIA_LINK%20GUI%20CDT%20-%20TV/2026/10_2026/20261014/LTIA-5.10-VIETUR-80000-RFA-SDS-0493?d=w145a61153e264b02bfbdda5d4fabbdd6&amp;csf=1&amp;web=1&amp;e=53Vaxa" TargetMode="External"/><Relationship Id="rId1"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080_LTIA-5.10-VIETUR-80000-RFA-SDS-0080?csf=1&amp;web=1&amp;e=QEG1u3" TargetMode="External"/><Relationship Id="rId6"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214_LTIA-5.10-VIETUR-80000-RFA-SDS-0214?csf=1&amp;web=1&amp;e=PYTMqD" TargetMode="External"/><Relationship Id="rId23"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30_LTIA-5.10-JCJV-80000-CBC-SDS-0330.pdf?csf=1&amp;web=1&amp;e=gSfpoV" TargetMode="External"/><Relationship Id="rId28"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22A_LTIA-5.10-JCJV-80000-CBC-SDS-0122A.pdf?csf=1&amp;web=1&amp;e=Xff10m" TargetMode="External"/><Relationship Id="rId49"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417_LTIA-5.10-JCJV-80000-RBC-SDS-0417.pdf?csf=1&amp;web=1&amp;e=Zd3Oz8" TargetMode="External"/><Relationship Id="rId114"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080A_LTIA-5.10-PMU-80000-ABE-SDS-0080A-0122A-0140A-0140B-0160A-0197A-0330-0350.pdf?csf=1&amp;web=1&amp;e=mSjKQa" TargetMode="External"/><Relationship Id="rId119"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310A_LTIA-5.10-PMU-80000-ABE-SDS-0310A.pdf?csf=1&amp;web=1&amp;e=9QJf3B" TargetMode="External"/><Relationship Id="rId44"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60B_LTIA-5.10-JCJV-80000-CBC-SDS-0160B.pdf?csf=1&amp;web=1&amp;e=t3VcfY" TargetMode="External"/><Relationship Id="rId60" Type="http://schemas.openxmlformats.org/officeDocument/2006/relationships/hyperlink" Target="https://www.ltiasv.net/index.php/apps/files/files/70237?dir=/LTIA1%20SV/02.%20ICT%20Documents/02.RFA-SDS/20250120_80000-RFA-SDS-0222/Vietur" TargetMode="External"/><Relationship Id="rId65" Type="http://schemas.openxmlformats.org/officeDocument/2006/relationships/hyperlink" Target="https://www.ltiasv.net/index.php/apps/files/files/131278?dir=/LTIA1%20SV/02.%20ICT%20Documents/02.RFA-SDS/20251223_80000-RFA-SDS-0415/Vietur" TargetMode="External"/><Relationship Id="rId81" Type="http://schemas.openxmlformats.org/officeDocument/2006/relationships/hyperlink" Target="https://www.ltiasv.net/index.php/apps/files/files/131112?dir=/LTIA1%20SV/02.%20ICT%20Documents/02.RFA-SDS/20250710_80000-RFA-SDS-0330/JCJV" TargetMode="External"/><Relationship Id="rId86" Type="http://schemas.openxmlformats.org/officeDocument/2006/relationships/hyperlink" Target="https://www.ltiasv.net/index.php/apps/files/files/70236?dir=/LTIA1%20SV/02.%20ICT%20Documents/02.RFA-SDS/20250120_80000-RFA-SDS-0222/JCJV" TargetMode="External"/><Relationship Id="rId130"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60A_LTIA-5.10-PMU-80000-ABE-SDS-0080A-0122A-0140A-0140B-0160A-0197A-0330-0350.pdf?csf=1&amp;web=1&amp;e=vXjZm3" TargetMode="External"/><Relationship Id="rId135" Type="http://schemas.openxmlformats.org/officeDocument/2006/relationships/hyperlink" Target="https://vietur.sharepoint.com/:f:/r/sites/LTIA/Shared%20Documents/4%20LTIA_LINK/4.1%20LTIA_LINK%20GUI%20CDT%20-%20TV/2026/09_2026/20260916/LTIA-5.10-VIETUR-80000-RFA-SDS-0484?d=we376d2ed252d45c392b378a1fa700a58&amp;csf=1&amp;web=1&amp;e=eIur05" TargetMode="External"/><Relationship Id="rId13"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40A_LTIA-5.10-VIETUR-80000-RFA-SDS-0140A?csf=1&amp;web=1&amp;e=rg6J04" TargetMode="External"/><Relationship Id="rId18"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Architectural%20work_Cong%20tac%20kien%20truc/0160_LTIA-5.10-JCJV-80000-CBC-SDS-0160.pdf?csf=1&amp;web=1&amp;e=W6Sq1X" TargetMode="External"/><Relationship Id="rId39"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415_LTIA-5.10-VIETUR-80000-RFA-SDS-0415?csf=1&amp;web=1&amp;e=WNWdLR" TargetMode="External"/><Relationship Id="rId109"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160_LTIA-5.10-PMU-80000-ABE-SDS-0160?csf=1&amp;web=1&amp;e=pPpamG" TargetMode="External"/><Relationship Id="rId3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97B_LTIA-5.10-VIETUR-80000-RFA-SDS-0197B?csf=1&amp;web=1&amp;e=m63Fcz" TargetMode="External"/><Relationship Id="rId50"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72_LTIA-5.10-VIETUR-80000-RFA-SDS-0372?csf=1&amp;web=1&amp;e=fuS7Mz" TargetMode="External"/><Relationship Id="rId55" Type="http://schemas.openxmlformats.org/officeDocument/2006/relationships/hyperlink" Target="https://www.ltiasv.net/index.php/apps/files/files/131138?dir=/LTIA1%20SV/02.%20ICT%20Documents/02.RFA-SDS/20250723_80000-RFA-SDS-0140A/Vietur" TargetMode="External"/><Relationship Id="rId76" Type="http://schemas.openxmlformats.org/officeDocument/2006/relationships/hyperlink" Target="https://www.ltiasv.net/index.php/apps/files/files/131206?dir=/LTIA1%20SV/02.%20ICT%20Documents/02.RFA-SDS/20251029_80000-RFA-SDS-0197B/Vietur" TargetMode="External"/><Relationship Id="rId97" Type="http://schemas.openxmlformats.org/officeDocument/2006/relationships/hyperlink" Target="https://www.ltiasv.net/index.php/apps/files/files/131228?dir=/LTIA1%20SV/02.%20ICT%20Documents/02.RFA-SDS/20251111_80000-RFA-SDS-0160B/JCJV" TargetMode="External"/><Relationship Id="rId104" Type="http://schemas.openxmlformats.org/officeDocument/2006/relationships/hyperlink" Target="https://vietur.sharepoint.com/sites/LTIA/Shared%20Documents/Forms/AllItems.aspx?id=%2Fsites%2FLTIA%2FShared%20Documents%2F1%20LTIA%5FVIETUR%2F03%2E%20THE%20EMPLOYER%20%2D%20CDT%5FTV&amp;viewid=a6a11ba4%2D2d43%2D4e4e%2Daea7%2D413480b0448e&amp;noAuthRedirect=1" TargetMode="External"/><Relationship Id="rId120"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350_LTIA-5.10-PMU-80000-ABE-SDS-0080A-0122A-0140A-0140B-0160A-0197A-0330-0350.pdf?csf=1&amp;web=1&amp;e=kDh6SP" TargetMode="External"/><Relationship Id="rId125"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394_LTIA-5.10-PMU-80000-ABE-SDS-0394.pdf?csf=1&amp;web=1&amp;e=gxzdwm" TargetMode="External"/><Relationship Id="rId141" Type="http://schemas.openxmlformats.org/officeDocument/2006/relationships/printerSettings" Target="../printerSettings/printerSettings2.bin"/><Relationship Id="rId7" Type="http://schemas.openxmlformats.org/officeDocument/2006/relationships/hyperlink" Target="https://vietur.sharepoint.com/:f:/r/sites/LTIA/Shared%20Documents/1%20LTIA_VIETUR/03.%20THE%20EMPLOYER%20-%20CDT_TV/3.04%20Shop%20Drawing%20Approval%20_%20Trinh%20Duyet%20Shop%20Drawing/3.4.1%20Submitted%20_%20Trinh/Architectural%20work_Cong%20tac%20kien%20truc/0222_LTIA-5.10-VIETUR-80000-RFA-SDS-0222?csf=1&amp;web=1&amp;e=Ypce4C" TargetMode="External"/><Relationship Id="rId71" Type="http://schemas.openxmlformats.org/officeDocument/2006/relationships/hyperlink" Target="https://www.ltiasv.net/index.php/apps/files/files/131217?dir=/LTIA1%20SV/02.%20ICT%20Documents/02.RFA-SDS/20251104_80000-RFA-SDS-0394/Vietur" TargetMode="External"/><Relationship Id="rId92" Type="http://schemas.openxmlformats.org/officeDocument/2006/relationships/hyperlink" Target="https://www.ltiasv.net/index.php/apps/files/files/44533?dir=/LTIA1%20SV/02.%20ICT%20Documents/02.RFA-SDS/20241114_80000-RFA-SDS-0160/JCJV" TargetMode="External"/><Relationship Id="rId2"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22_LTIA-5.10-VIETUR-80000-RFA-SDS-0122?csf=1&amp;web=1&amp;e=iuLFjD" TargetMode="External"/><Relationship Id="rId29"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222A_LTIA-5.10-VIETUR-80000-RFA-SDS-0222A?csf=1&amp;web=1&amp;e=IwT0PU" TargetMode="External"/><Relationship Id="rId2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97A_LTIA-5.10-VIETUR-80000-RFA-SDS-0197A?csf=1&amp;web=1&amp;e=3PL3hg" TargetMode="External"/><Relationship Id="rId40"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222A_LTIA-5.10-JCJV-80000-CBC-SDS-0222A.pdf?csf=1&amp;web=1&amp;e=OIPIx2" TargetMode="External"/><Relationship Id="rId45"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50_LTIA-5.10-JCJV-80000-CBC-SDS-0350.pdf?csf=1&amp;web=1&amp;e=VC1Iah" TargetMode="External"/><Relationship Id="rId66" Type="http://schemas.openxmlformats.org/officeDocument/2006/relationships/hyperlink" Target="https://www.ltiasv.net/index.php/apps/files/files/40017?dir=/LTIA1%20SV/02.%20ICT%20Documents/02.RFA-SDS/20241018_80000-RFA-SDS-0140/Vietur" TargetMode="External"/><Relationship Id="rId87"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297_LTIA-5.10-PMU-80000-ABE-SDS-0297?csf=1&amp;web=1&amp;e=JE1Fjm" TargetMode="External"/><Relationship Id="rId110"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197_LTIA-5.10-PMU-80000-ABE-SDS-0197?csf=1&amp;web=1&amp;e=T4NOb4" TargetMode="External"/><Relationship Id="rId115"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22A_LTIA-5.10-PMU-80000-ABE-SDS-0080A-0122A-0140A-0140B-0160A-0197A-0330-0350.pdf?csf=1&amp;web=1&amp;e=ahSdy9" TargetMode="External"/><Relationship Id="rId131"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97A_LTIA-5.10-JCJV-80000-CBC-SDS-0197A.pdf?csf=1&amp;web=1&amp;e=23lwMN" TargetMode="External"/><Relationship Id="rId136" Type="http://schemas.openxmlformats.org/officeDocument/2006/relationships/hyperlink" Target="https://etcvn.sharepoint.com/:f:/r/sites/ACV.Prj.LTIA.ICT-ACV.Prj.LTIA.ICT-JCJV-PMU-VIETUR/Shared%20Documents/Prj.Outside/02.PMU-JCJV-ICT/01.Project%20Quality%20Management/02.RFA/2.RFA-SDS/RFA-SDS-PMR-0001?d=wa924e199b97f4ba1af6957dab80bfcb7&amp;csf=1&amp;web=1&amp;e=7EyeuO" TargetMode="External"/><Relationship Id="rId61" Type="http://schemas.openxmlformats.org/officeDocument/2006/relationships/hyperlink" Target="https://www.ltiasv.net/index.php/apps/files/files/131085?dir=/LTIA1%20SV/02.%20ICT%20Documents/02.RFA-SDS/20250522_80000-RFA-SDS-0297/Vietur" TargetMode="External"/><Relationship Id="rId82"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40A_LTIA-5.10-PMU-80000-ABE-SDS-0080A-0122A-0140A-0140B-0160A-0197A-0330-0350.pdf?csf=1&amp;web=1&amp;e=uCpAn4" TargetMode="External"/><Relationship Id="rId19"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Architectural%20work_Cong%20tac%20kien%20truc/0197_LTIA-5.10-JCJV-80000-CBC-SDS-0197.pdf?csf=1&amp;web=1&amp;e=PtQuGc" TargetMode="External"/><Relationship Id="rId1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60A_LTIA-5.10-VIETUR-80000-RFA-SDS-0160A?csf=1&amp;web=1&amp;e=9k8iFB" TargetMode="External"/><Relationship Id="rId30" Type="http://schemas.openxmlformats.org/officeDocument/2006/relationships/hyperlink" Target="https://vietur.sharepoint.com/:f:/r/sites/LTIA/Shared%20Documents/1%20LTIA_VIETUR/03.%20THE%20EMPLOYER%20-%20CDT_TV/3.04%20Shop%20Drawing%20Approval%20_%20Trinh%20Duyet%20Shop%20Drawing/3.4.1%20Submitted%20_%20Trinh/Electrical%20work_Phan%20dien/0371_LTIA-5.10-VIETUR-80000-RFA-SDS-0371?csf=1&amp;web=1&amp;e=odDm7g" TargetMode="External"/><Relationship Id="rId35"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94_LTIA-5.10-VIETUR-80000-RFA-SDS-0394?csf=1&amp;web=1&amp;e=YLubhK" TargetMode="External"/><Relationship Id="rId56" Type="http://schemas.openxmlformats.org/officeDocument/2006/relationships/hyperlink" Target="https://www.ltiasv.net/index.php/apps/files/files/131161?dir=/LTIA1%20SV/02.%20ICT%20Documents/02.RFA-SDS/20250723_80000-RFA-SDS-0310A/Vietur" TargetMode="External"/><Relationship Id="rId77" Type="http://schemas.openxmlformats.org/officeDocument/2006/relationships/hyperlink" Target="https://www.ltiasv.net/index.php/apps/files/files/131320?dir=/LTIA1%20SV/02.%20ICT%20Documents/02.RFA-SDS/20260129_80000-RFA-SDS-0428/Vietur" TargetMode="External"/><Relationship Id="rId100" Type="http://schemas.openxmlformats.org/officeDocument/2006/relationships/hyperlink" Target="https://www.ltiasv.net/index.php/apps/files/files/131179?dir=/LTIA1%20SV/02.%20ICT%20Documents/02.RFA-SDS/20250908_80000-RFA-SDS-0140B/JCJV" TargetMode="External"/><Relationship Id="rId105" Type="http://schemas.openxmlformats.org/officeDocument/2006/relationships/hyperlink" Target="https://docs.vietur.vn/ltia-vietur/the-employer/document-register" TargetMode="External"/><Relationship Id="rId126"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160B_LTIA-5.10-PMU-80000-ABE-SDS-0160B.pdf?csf=1&amp;web=1&amp;e=YJaO2M" TargetMode="External"/><Relationship Id="rId8"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297_LTIA-5.10-VIETUR-80000-RFA-SDS-0297?csf=1&amp;web=1&amp;e=NAOVjl" TargetMode="External"/><Relationship Id="rId51" Type="http://schemas.openxmlformats.org/officeDocument/2006/relationships/hyperlink" Target="https://www.ltiasv.net/index.php/apps/files/files/36805?dir=/LTIA1%20SV/02.%20ICT%20Documents/02.RFA-SDS/20240620_80000-RFA-SDS-0080/Vietur" TargetMode="External"/><Relationship Id="rId72" Type="http://schemas.openxmlformats.org/officeDocument/2006/relationships/hyperlink" Target="https://www.ltiasv.net/index.php/apps/files/files/131229?dir=/LTIA1%20SV/02.%20ICT%20Documents/02.RFA-SDS/20251111_80000-RFA-SDS-0160B/Vietur" TargetMode="External"/><Relationship Id="rId93" Type="http://schemas.openxmlformats.org/officeDocument/2006/relationships/hyperlink" Target="https://www.ltiasv.net/index.php/apps/files/files/68513?dir=/LTIA1%20SV/02.%20ICT%20Documents/02.RFA-SDS/20250116_80000-RFA-SDS-0214/JCJV" TargetMode="External"/><Relationship Id="rId98" Type="http://schemas.openxmlformats.org/officeDocument/2006/relationships/hyperlink" Target="https://www.ltiasv.net/index.php/apps/files/files/131311?dir=/LTIA1%20SV/02.%20ICT%20Documents/02.RFA-SDS/20251227_80000-RFA-SDS-0417/JCJV" TargetMode="External"/><Relationship Id="rId121"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40B_LTIA-5.10-PMU-80000-ABE-SDS-0080A-0122A-0140A-0140B-0160A-0197A-0330-0350.pdf?csf=1&amp;web=1&amp;e=0Wiiqw" TargetMode="External"/><Relationship Id="rId3"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40_LTIA-5.10-VIETUR-80000-RFA-SDS-0140?csf=1&amp;web=1&amp;e=2lTSwj" TargetMode="External"/><Relationship Id="rId25"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40A_LTIA-5.10-JCJV-80000-CBC-SDS-0140A.pdf?csf=1&amp;web=1&amp;e=CJtUbS" TargetMode="External"/><Relationship Id="rId46"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40B-LTIA-5.10-JCJV-80000-CBC-SDS-0140B.pdf?csf=1&amp;web=1&amp;e=SgrFep" TargetMode="External"/><Relationship Id="rId67" Type="http://schemas.openxmlformats.org/officeDocument/2006/relationships/hyperlink" Target="https://www.ltiasv.net/index.php/apps/files/files/44534?dir=/LTIA1%20SV/02.%20ICT%20Documents/02.RFA-SDS/20241114_80000-RFA-SDS-0160/Vietur" TargetMode="External"/><Relationship Id="rId116"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330_LTIA-5.10-PMU-80000-ABE-SDS-0080A-0122A-0140A-0140B-0160A-0197A-0330-0350.pdf?csf=1&amp;web=1&amp;e=Mqd6Qy" TargetMode="External"/><Relationship Id="rId137" Type="http://schemas.openxmlformats.org/officeDocument/2006/relationships/hyperlink" Target="https://vietur.sharepoint.com/:f:/r/sites/LTIA/Shared%20Documents/4%20LTIA_LINK/4.1%20LTIA_LINK%20GUI%20CDT%20-%20TV/2026/10_2026/20261009/LTIA-5.10-VIETUR-80000-RFA-SDS-0394A?d=w3fa4d2b0c3fb4e9cae350dd6bd55140a&amp;csf=1&amp;web=1&amp;e=OSAhC6" TargetMode="External"/><Relationship Id="rId20"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297_LTIA-5.10-JCJV-80000-CBC-SDS-0297.pdf?csf=1&amp;web=1&amp;e=SOwOkn" TargetMode="External"/><Relationship Id="rId41" Type="http://schemas.openxmlformats.org/officeDocument/2006/relationships/hyperlink" Target="https://vietur.sharepoint.com/:f:/r/sites/LTIA/Shared%20Documents/1%20LTIA_VIETUR/03.%20THE%20EMPLOYER%20-%20CDT_TV/3.04%20Shop%20Drawing%20Approval%20_%20Trinh%20Duyet%20Shop%20Drawing/3.4.1%20Submitted%20_%20Trinh/Architectural%20work_Cong%20tac%20kien%20truc/0428_LTIA-5.10-VIETUR-80000-RFA-SDS-0428?csf=1&amp;web=1&amp;e=vJyaMw" TargetMode="External"/><Relationship Id="rId62" Type="http://schemas.openxmlformats.org/officeDocument/2006/relationships/hyperlink" Target="https://www.ltiasv.net/index.php/apps/files/files/131144?dir=/LTIA1%20SV/02.%20ICT%20Documents/02.RFA-SDS/20250723_80000-RFA-SDS-0160A/Vietur" TargetMode="External"/><Relationship Id="rId83" Type="http://schemas.openxmlformats.org/officeDocument/2006/relationships/hyperlink" Target="https://www.ltiasv.net/index.php/apps/files/files/131162?dir=/LTIA1%20SV/02.%20ICT%20Documents/02.RFA-SDS/20250723_80000-RFA-SDS-0310A/JCJV" TargetMode="External"/><Relationship Id="rId88" Type="http://schemas.openxmlformats.org/officeDocument/2006/relationships/hyperlink" Target="https://www.ltiasv.net/index.php/apps/files/files/131143?dir=/LTIA1%20SV/02.%20ICT%20Documents/02.RFA-SDS/20250723_80000-RFA-SDS-0160A/JCJV" TargetMode="External"/><Relationship Id="rId111"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214_LTIA-5.10-PMU-80000-ABE-SDS-0214?csf=1&amp;web=1&amp;e=VMPOcf" TargetMode="External"/><Relationship Id="rId132" Type="http://schemas.openxmlformats.org/officeDocument/2006/relationships/hyperlink" Target="https://etcvn.sharepoint.com/:f:/r/sites/ACV.Prj.LTIA.ICT-ACV.Prj.LTIA.ICT-JCJV-PMU-VIETUR/Shared%20Documents/Prj.Outside/02.PMU-JCJV-ICT/01.Project%20Quality%20Management/02.RFA/2.RFA-SDS/01.%20RFA-SDS-DNE-0001?csf=1&amp;web=1&amp;e=TxYmCU" TargetMode="External"/><Relationship Id="rId15"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ICT%20work_Cong%20nghe%20thong%20tin-truyen%20thong/0080_LTIA-5.10-JCJV-80000-CBC-SDS-0080.pdf?csf=1&amp;web=1&amp;e=uO6XZW" TargetMode="External"/><Relationship Id="rId36"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60B_LTIA-5.10-VIETUR-80000-RFA-SDS-0160B?csf=1&amp;web=1&amp;e=KMuZeB" TargetMode="External"/><Relationship Id="rId57" Type="http://schemas.openxmlformats.org/officeDocument/2006/relationships/hyperlink" Target="https://www.ltiasv.net/index.php/apps/files/files/131171?dir=/LTIA1%20SV/02.%20ICT%20Documents/02.RFA-SDS/20250811_80000-RFA-SDS-0350/Vietur" TargetMode="External"/><Relationship Id="rId106"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080_LTIA-5.10-PMU-80000-ABE-SDS-0080?csf=1&amp;web=1&amp;e=I6UXad" TargetMode="External"/><Relationship Id="rId127"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417_LTIA-5.10-PMU-80000-ABE-SDS-0417.pdf?csf=1&amp;web=1&amp;e=xI4FfM" TargetMode="External"/><Relationship Id="rId10"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30_LTIA-5.10-VIETUR-80000-RFA-SDS-0330?csf=1&amp;web=1&amp;e=9AlUQb" TargetMode="External"/><Relationship Id="rId31"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50_LTIA-5.10-VIETUR-80000-RFA-SDS-0350?csf=1&amp;web=1&amp;e=T1grUA" TargetMode="External"/><Relationship Id="rId52" Type="http://schemas.openxmlformats.org/officeDocument/2006/relationships/hyperlink" Target="https://www.ltiasv.net/index.php/apps/files/files/53709?dir=/LTIA1%20SV/02.%20ICT%20Documents/02.RFA-SDS/20241210_80000-RFA-SDS-0197/Vietur" TargetMode="External"/><Relationship Id="rId73" Type="http://schemas.openxmlformats.org/officeDocument/2006/relationships/hyperlink" Target="https://www.ltiasv.net/index.php/apps/files/files/131310?dir=/LTIA1%20SV/02.%20ICT%20Documents/02.RFA-SDS/20251227_80000-RFA-SDS-0417/Vietur" TargetMode="External"/><Relationship Id="rId78" Type="http://schemas.openxmlformats.org/officeDocument/2006/relationships/hyperlink" Target="https://www.ltiasv.net/index.php/apps/files/files/36804?dir=/LTIA1%20SV/02.%20ICT%20Documents/02.RFA-SDS/20240620_80000-RFA-SDS-0080/JCJV" TargetMode="External"/><Relationship Id="rId94" Type="http://schemas.openxmlformats.org/officeDocument/2006/relationships/hyperlink" Target="https://www.ltiasv.net/index.php/apps/files/files/131123?dir=/LTIA1%20SV/02.%20ICT%20Documents/02.RFA-SDS/20250712_80000-RFA-SDS-0122A/JCJV" TargetMode="External"/><Relationship Id="rId99" Type="http://schemas.openxmlformats.org/officeDocument/2006/relationships/hyperlink" Target="https://www.ltiasv.net/index.php/apps/files/files/131192?dir=/LTIA1%20SV/02.%20ICT%20Documents/02.RFA-SDS/20250930_80000-RFA-SDS-0371/JCJV" TargetMode="External"/><Relationship Id="rId101" Type="http://schemas.openxmlformats.org/officeDocument/2006/relationships/hyperlink" Target="https://www.ltiasv.net/index.php/apps/files/files/131207?dir=/LTIA1%20SV/02.%20ICT%20Documents/02.RFA-SDS/20251029_80000-RFA-SDS-0197B/JCJV" TargetMode="External"/><Relationship Id="rId122"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222A_LTIA-5.10-PMU-80000-ABE-SDS-0222A.pdf?csf=1&amp;web=1&amp;e=hpwmvk" TargetMode="External"/><Relationship Id="rId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60_LTIA-5.10-VIETUR-80000-RFA-SDS-0160?csf=1&amp;web=1&amp;e=g4N80m" TargetMode="External"/><Relationship Id="rId9"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10_LTIA-5.10-VIETUR-80000-RFA-SDS-0310?csf=1&amp;web=1&amp;e=z64hC2" TargetMode="External"/><Relationship Id="rId26"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60A_LTIA-5.10-JCJV-80000-CBC-SDS-0160A.pdf?csf=1&amp;web=1&amp;e=XKKeCi" TargetMode="External"/><Relationship Id="rId47"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97B_LTIA-5.10-JCJV-80000-CBC-SDS-0197B.pdf?csf=1&amp;web=1&amp;e=wtxujt" TargetMode="External"/><Relationship Id="rId68" Type="http://schemas.openxmlformats.org/officeDocument/2006/relationships/hyperlink" Target="https://www.ltiasv.net/index.php/apps/files/files/68514?dir=/LTIA1%20SV/02.%20ICT%20Documents/02.RFA-SDS/20250116_80000-RFA-SDS-0214/Vietur" TargetMode="External"/><Relationship Id="rId89" Type="http://schemas.openxmlformats.org/officeDocument/2006/relationships/hyperlink" Target="https://www.ltiasv.net/index.php/apps/files/files/131149?dir=/LTIA1%20SV/02.%20ICT%20Documents/02.RFA-SDS/20250723_80000-RFA-SDS-0197A/JCJV" TargetMode="External"/><Relationship Id="rId112"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093_LTIA-5.10-PMU-80000-ABE-SDS-0093.pdf?csf=1&amp;web=1&amp;e=NiXDgk" TargetMode="External"/><Relationship Id="rId133" Type="http://schemas.openxmlformats.org/officeDocument/2006/relationships/hyperlink" Target="https://vietur.sharepoint.com/:f:/r/sites/LTIA/Shared%20Documents/4%20LTIA_LINK/4.1%20LTIA_LINK%20GUI%20CDT%20-%20TV/2026/10_2026/20261009/LTIA-5.10-VIETUR-80000-RFA-SDS-0417A?d=wf0edaadfaeab4a88bc9a08006a49cab6&amp;csf=1&amp;web=1&amp;e=tdmkK8" TargetMode="External"/><Relationship Id="rId16"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22_LTIA-5.10-JCJV-80000-CBC-SDS-0122.pdf?csf=1&amp;web=1&amp;e=lm2MYJ"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tiasv.net/index.php/apps/files/files/131513?dir=/LTIA1%20SV/02.%20ICT%20Documents/03.RFI/5.10/20250611_70000-RFI-0634/Vietur" TargetMode="External"/><Relationship Id="rId29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49_LTIA-5.10-PMU-70000-RBE-0849.pdf?csf=1&amp;web=1&amp;e=8ThGac" TargetMode="External"/><Relationship Id="rId2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94_LTIA-5.10-VIETUR-70000-RFI-0394.pdf?csf=1&amp;web=1&amp;e=8NtVXz" TargetMode="External"/><Relationship Id="rId63" Type="http://schemas.openxmlformats.org/officeDocument/2006/relationships/hyperlink" Target="https://www.ltiasv.net/index.php/apps/files/files/57275?dir=/LTIA1%20SV/02.%20ICT%20Documents/03.RFI/5.10/20241219_70000-RFI-0471/Vietur" TargetMode="External"/><Relationship Id="rId159" Type="http://schemas.openxmlformats.org/officeDocument/2006/relationships/hyperlink" Target="https://www.ltiasv.net/index.php/apps/files/files/131533?dir=/LTIA1%20SV/02.%20ICT%20Documents/03.RFI/5.10/20250703_70000-RFI-0665/JCJV" TargetMode="External"/><Relationship Id="rId324" Type="http://schemas.openxmlformats.org/officeDocument/2006/relationships/hyperlink" Target="https://www.ltiasv.net/index.php/apps/files/files/135102?dir=/LTIA1%20SV/02.%20ICT%20Documents/03.RFI/5.11/20250910_72030-RFI-0006A/JCJV" TargetMode="External"/><Relationship Id="rId366" Type="http://schemas.openxmlformats.org/officeDocument/2006/relationships/hyperlink" Target="https://www.ltiasv.net/index.php/apps/files/files/135049?dir=/LTIA1%20SV/02.%20ICT%20Documents/03.RFI/5.11/20260527_72190-RFI-0020A/LTICT" TargetMode="External"/><Relationship Id="rId170" Type="http://schemas.openxmlformats.org/officeDocument/2006/relationships/hyperlink" Target="https://vietur.sharepoint.com/:f:/r/sites/LTIA/Shared%20Documents/1%20LTIA_VIETUR/03.%20THE%20EMPLOYER%20-%20CDT_TV/3.10%20RFI_%20Yeu%20Cau%20Cung%20Cap%20Thong%20Tin/3.10.1%20Submitted%20_%20Trinh/0632_LTIA-5.10-VIETUR-80000-RFI-0632?csf=1&amp;web=1&amp;e=7zAzKk" TargetMode="External"/><Relationship Id="rId226" Type="http://schemas.openxmlformats.org/officeDocument/2006/relationships/hyperlink" Target="https://www.ltiasv.net/index.php/apps/files/files/131615?dir=/LTIA1%20SV/02.%20ICT%20Documents/03.RFI/5.10/20251028_80000-RFI-0790/JCJV" TargetMode="External"/><Relationship Id="rId433" Type="http://schemas.openxmlformats.org/officeDocument/2006/relationships/hyperlink" Target="https://etcvn.sharepoint.com/:f:/r/sites/ACV.Prj.LTIA.ICT-ACV.Prj.LTIA.ICT-JCJV-PMU-VIETUR/Shared%20Documents/Prj.Outside/02.PMU-JCJV-ICT/01.Project%20Quality%20Management/01.RFI/RFI-0018-Smartparking/20260603?csf=1&amp;web=1&amp;e=gKswSW" TargetMode="External"/><Relationship Id="rId26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06_LTIA-5.10-PMU-70000-RBE-0806.pdf?csf=1&amp;web=1&amp;e=M1ClKG" TargetMode="External"/><Relationship Id="rId475" Type="http://schemas.openxmlformats.org/officeDocument/2006/relationships/hyperlink" Target="https://etcvn.sharepoint.com/:f:/r/sites/ACV.Prj.LTIA.ICT-ACV.Prj.LTIA.ICT-JCJV-PMU-VIETUR/Shared%20Documents/Prj.Outside/02.PMU-JCJV-ICT/01.Project%20Quality%20Management/01.RFI/RFI-0037A-Drawings?d=w469ce800c47b4256a1275a73e44c0eb6&amp;csf=1&amp;web=1&amp;e=yuamVD" TargetMode="External"/><Relationship Id="rId32" Type="http://schemas.openxmlformats.org/officeDocument/2006/relationships/hyperlink" Target="https://vietur.sharepoint.com/:f:/r/sites/LTIA/Shared%20Documents/1%20LTIA_VIETUR/03.%20THE%20EMPLOYER%20-%20CDT_TV/3.10%20RFI_%20Yeu%20Cau%20Cung%20Cap%20Thong%20Tin/3.10.1%20Submitted%20_%20Trinh/0468_LTIA-5.10-VIETUR-70000-RFI-0468?csf=1&amp;web=1&amp;e=egGjlO" TargetMode="External"/><Relationship Id="rId74" Type="http://schemas.openxmlformats.org/officeDocument/2006/relationships/hyperlink" Target="https://www.ltiasv.net/index.php/apps/files/files/37076?dir=/LTIA1%20SV/02.%20ICT%20Documents/03.RFI/5.10/20240712_80000-RFI-0273/JCJV" TargetMode="External"/><Relationship Id="rId128" Type="http://schemas.openxmlformats.org/officeDocument/2006/relationships/hyperlink" Target="https://vietur.sharepoint.com/:x:/r/sites/LTIA/_layouts/15/doc2.aspx?sourcedoc=%7B7B340B6F-4F71-447B-B3CE-5B292AE32761%7D&amp;file=LTIA_Register.xlsx&amp;action=default&amp;mobileredirect=true&amp;wdLOR=c16F6FCF8-9071-41B3-B82F-5D5C6DC4A3AF" TargetMode="External"/><Relationship Id="rId335" Type="http://schemas.openxmlformats.org/officeDocument/2006/relationships/hyperlink" Target="https://www.ltiasv.net/index.php/apps/files/files/135077?dir=/LTIA1%20SV/02.%20ICT%20Documents/03.RFI/5.11/20251211_80000-RFI-0017/LTICT" TargetMode="External"/><Relationship Id="rId377" Type="http://schemas.openxmlformats.org/officeDocument/2006/relationships/hyperlink" Target="https://etcvn.sharepoint.com/:b:/r/sites/ACV.Prj.LTIA.ICT-ACV.Prj.LTIA.ICT-JCJV-PMU-VIETUR/Shared%20Documents/Prj.Outside/02.PMU-JCJV-ICT/01.Project%20Quality%20Management/01.RFI/RFI-0002-General/03.%20Respone/LTIA-5.11-PMU-70000-RBE-0002-Sign.pdf?csf=1&amp;web=1&amp;e=6rkQfE" TargetMode="External"/><Relationship Id="rId5" Type="http://schemas.openxmlformats.org/officeDocument/2006/relationships/hyperlink" Target="https://vietur.sharepoint.com/:f:/r/sites/LTIA/Shared%20Documents/1%20LTIA_VIETUR/03.%20THE%20EMPLOYER%20-%20CDT_TV/3.10%20RFI_%20Yeu%20Cau%20Cung%20Cap%20Thong%20Tin/3.10.1%20Submitted%20_%20Trinh/0273_LTIA-5.10-VIETUR-80000-RFI-0273?csf=1&amp;web=1&amp;e=3rPrnD" TargetMode="External"/><Relationship Id="rId181" Type="http://schemas.openxmlformats.org/officeDocument/2006/relationships/hyperlink" Target="https://www.ltiasv.net/index.php/apps/files/files/131560?dir=/LTIA1%20SV/02.%20ICT%20Documents/03.RFI/5.10/20250724_70000-RFI-0690/Vietur" TargetMode="External"/><Relationship Id="rId237" Type="http://schemas.openxmlformats.org/officeDocument/2006/relationships/hyperlink" Target="https://www.ltiasv.net/index.php/apps/files/files/131638?dir=/LTIA1%20SV/02.%20ICT%20Documents/03.RFI/5.10/20251112_54000-RFI-0778/JCJV" TargetMode="External"/><Relationship Id="rId402" Type="http://schemas.openxmlformats.org/officeDocument/2006/relationships/hyperlink" Target="https://etcvn.sharepoint.com/:f:/r/sites/ACV.Prj.LTIA.ICT-ACV.Prj.LTIA.ICT-JCJV-PMU-VIETUR/Shared%20Documents/Prj.Outside/02.PMU-JCJV-ICT/01.Project%20Quality%20Management/01.RFI/RFI-0011-PMR?csf=1&amp;web=1&amp;e=ECh9Gt" TargetMode="External"/><Relationship Id="rId279" Type="http://schemas.openxmlformats.org/officeDocument/2006/relationships/hyperlink" Target="https://vietur.sharepoint.com/:f:/r/sites/LTIA/Shared%20Documents/1%20LTIA_VIETUR/03.%20THE%20EMPLOYER%20-%20CDT_TV/3.10%20RFI_%20Yeu%20Cau%20Cung%20Cap%20Thong%20Tin/3.10.1%20Submitted%20_%20Trinh/0945_LTIA-5.10-VIETUR-70000-RFI-0945?csf=1&amp;web=1&amp;e=iRSxsy" TargetMode="External"/><Relationship Id="rId444" Type="http://schemas.openxmlformats.org/officeDocument/2006/relationships/hyperlink" Target="https://etcvn.sharepoint.com/:b:/r/sites/ACV.Prj.LTIA.ICT-ACV.Prj.LTIA.ICT-JCJV-PMU-VIETUR/Shared%20Documents/Prj.Outside/02.PMU-JCJV-ICT/01.Project%20Quality%20Management/01.RFI/RFI-0030-SCS/03.%20Respone/LTIA-5.11-LTICT-%C2%A072010%20-RFI-0030.pdf?csf=1&amp;web=1&amp;e=uhQVOS" TargetMode="External"/><Relationship Id="rId43" Type="http://schemas.openxmlformats.org/officeDocument/2006/relationships/hyperlink" Target="https://vietur.sharepoint.com/:f:/r/sites/LTIA/Shared%20Documents/1%20LTIA_VIETUR/03.%20THE%20EMPLOYER%20-%20CDT_TV/3.10%20RFI_%20Yeu%20Cau%20Cung%20Cap%20Thong%20Tin/3.10.1%20Submitted%20_%20Trinh/0491_LTIA-5.10-VIETUR-70000-RFI-0491?csf=1&amp;web=1&amp;e=nJL467" TargetMode="External"/><Relationship Id="rId13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12_LTIA-5.10-PMU-70000-RBE-0312.pdf?csf=1&amp;web=1&amp;e=HWAjWe" TargetMode="External"/><Relationship Id="rId29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579_LTIA-5.10-VIETUR-70000-RBE-0579.pdf?csf=1&amp;web=1&amp;e=SmOktG" TargetMode="External"/><Relationship Id="rId304" Type="http://schemas.openxmlformats.org/officeDocument/2006/relationships/hyperlink" Target="https://www.ltiasv.net/index.php/apps/files/files/134972?dir=/LTIA1%20SV/02.%20ICT%20Documents/03.RFI/5.10/20260605_70000-RFI-0945/JCJV" TargetMode="External"/><Relationship Id="rId346" Type="http://schemas.openxmlformats.org/officeDocument/2006/relationships/hyperlink" Target="https://www.ltiasv.net/index.php/apps/files/files/135071?dir=/LTIA1%20SV/02.%20ICT%20Documents/03.RFI/5.11/20260307_72100-RFI-0023/JCJV" TargetMode="External"/><Relationship Id="rId388" Type="http://schemas.openxmlformats.org/officeDocument/2006/relationships/hyperlink" Target="https://etcvn.sharepoint.com/:f:/r/sites/ACV.Prj.LTIA.ICT-ACV.Prj.LTIA.ICT-JCJV-PMU-VIETUR/Shared%20Documents/Prj.Outside/02.PMU-JCJV-ICT/01.Project%20Quality%20Management/01.RFI/RFI-0007-AGAC?csf=1&amp;web=1&amp;e=2n1uxP" TargetMode="External"/><Relationship Id="rId85" Type="http://schemas.openxmlformats.org/officeDocument/2006/relationships/hyperlink" Target="https://www.ltiasv.net/index.php/apps/files/files/54379?dir=/LTIA1%20SV/02.%20ICT%20Documents/03.RFI/5.10/20241212_80000-RFI-0459/JCJV" TargetMode="External"/><Relationship Id="rId15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71A_LTIA-5.10-PMU-70000-RBE-0471A.pdf?csf=1&amp;web=1&amp;e=AWSeFo" TargetMode="External"/><Relationship Id="rId192" Type="http://schemas.openxmlformats.org/officeDocument/2006/relationships/hyperlink" Target="https://vietur.sharepoint.com/:f:/r/sites/LTIA/Shared%20Documents/1%20LTIA_VIETUR/03.%20THE%20EMPLOYER%20-%20CDT_TV/3.10%20RFI_%20Yeu%20Cau%20Cung%20Cap%20Thong%20Tin/3.10.1%20Submitted%20_%20Trinh/0717_LTIA-5.10-VIETUR-70000-RFI-0717?csf=1&amp;web=1&amp;e=S7okDK" TargetMode="External"/><Relationship Id="rId206" Type="http://schemas.openxmlformats.org/officeDocument/2006/relationships/hyperlink" Target="https://www.ltiasv.net/index.php/apps/files/files/131594?dir=/LTIA1%20SV/02.%20ICT%20Documents/03.RFI/5.10/20250930_80000-RFI-0762/Vietur" TargetMode="External"/><Relationship Id="rId413" Type="http://schemas.openxmlformats.org/officeDocument/2006/relationships/hyperlink" Target="https://etcvn.sharepoint.com/:b:/r/sites/ACV.Prj.LTIA.ICT-ACV.Prj.LTIA.ICT-JCJV-PMU-VIETUR/Shared%20Documents/Prj.Outside/02.PMU-JCJV-ICT/01.Project%20Quality%20Management/01.RFI/RFI-0016-General/04.%20Respone/LTIA-5.11-PMU-80000-RBE-0016.pdf?csf=1&amp;web=1&amp;e=O2mKhq" TargetMode="External"/><Relationship Id="rId24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98_LTIA-5.10-VIETUR-70000-RFI-0798.pdf?csf=1&amp;web=1&amp;e=anD6cA" TargetMode="External"/><Relationship Id="rId455" Type="http://schemas.openxmlformats.org/officeDocument/2006/relationships/hyperlink" Target="https://conincojsc-my.sharepoint.com/personal/vanphongjcjv_coninco_com_vn/_layouts/15/onedrive.aspx?id=%2Fpersonal%2Fvanphongjcjv%5Fconinco%5Fcom%5Fvn%2FDocuments%2FAttachments%2FLTIA%2D5%2E11%2DLTICT%2D72010%2DRFI%2D0034%2Epdf&amp;parent=%2Fpersonal%2Fvanphongjcjv%5Fconinco%5Fcom%5Fvn%2FDocuments%2FAttachments&amp;ga=1" TargetMode="External"/><Relationship Id="rId1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35_LTIA-5.10-VIETUR-80000-RFI-0335.pdf?csf=1&amp;web=1&amp;e=s1YOVA" TargetMode="External"/><Relationship Id="rId108" Type="http://schemas.openxmlformats.org/officeDocument/2006/relationships/hyperlink" Target="https://vietur.sharepoint.com/:f:/r/sites/LTIA/Shared%20Documents/1%20LTIA_VIETUR/03.%20THE%20EMPLOYER%20-%20CDT_TV/3.10%20RFI_%20Yeu%20Cau%20Cung%20Cap%20Thong%20Tin/3.10.1%20Submitted%20_%20Trinh/0625_LTIA-5.10-VIETUR-80000-RFI-0625?csf=1&amp;web=1&amp;e=RbvsdC" TargetMode="External"/><Relationship Id="rId315" Type="http://schemas.openxmlformats.org/officeDocument/2006/relationships/hyperlink" Target="https://www.ltiasv.net/index.php/apps/files/files/135100?dir=/LTIA1%20SV/02.%20ICT%20Documents/03.RFI/5.11/20250714_70000-RFI-0007/JCJV" TargetMode="External"/><Relationship Id="rId357" Type="http://schemas.openxmlformats.org/officeDocument/2006/relationships/hyperlink" Target="https://www.ltiasv.net/index.php/apps/files/files/135054?dir=/LTIA1%20SV/02.%20ICT%20Documents/03.RFI/5.11/20260323_72010-RFI-0029/LTICT" TargetMode="External"/><Relationship Id="rId54" Type="http://schemas.openxmlformats.org/officeDocument/2006/relationships/hyperlink" Target="https://www.ltiasv.net/index.php/apps/files/files/41802?dir=/LTIA1%20SV/02.%20ICT%20Documents/03.RFI/5.10/20241028_70000-RFI-0394/Vietur" TargetMode="External"/><Relationship Id="rId96" Type="http://schemas.openxmlformats.org/officeDocument/2006/relationships/hyperlink" Target="https://www.ltiasv.net/index.php/apps/files/files/131482?dir=/LTIA1%20SV/02.%20ICT%20Documents/03.RFI/5.10/20250426_70000-RFI-0594/Vietur" TargetMode="External"/><Relationship Id="rId16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35_LTIA-5.10-PMU-70000-RBE-0635.pdf?csf=1&amp;web=1&amp;e=af4f9o" TargetMode="External"/><Relationship Id="rId217" Type="http://schemas.openxmlformats.org/officeDocument/2006/relationships/hyperlink" Target="https://www.ltiasv.net/index.php/apps/files/files/131604?dir=/LTIA1%20SV/02.%20ICT%20Documents/03.RFI/5.10/20251009_70000-RFI-0774/Vietur" TargetMode="External"/><Relationship Id="rId399" Type="http://schemas.openxmlformats.org/officeDocument/2006/relationships/hyperlink" Target="https://etcvn.sharepoint.com/:f:/r/sites/ACV.Prj.LTIA.ICT-ACV.Prj.LTIA.ICT-JCJV-PMU-VIETUR/Shared%20Documents/Prj.Outside/02.PMU-JCJV-ICT/01.Project%20Quality%20Management/01.RFI/RFI-0010B-TOIP?csf=1&amp;web=1&amp;e=hLRED9" TargetMode="External"/><Relationship Id="rId259" Type="http://schemas.openxmlformats.org/officeDocument/2006/relationships/hyperlink" Target="https://www.ltiasv.net/index.php/apps/files/files/131662?dir=/LTIA1%20SV/02.%20ICT%20Documents/03.RFI/5.10/20260108_80000-RFI-0833/JCJV" TargetMode="External"/><Relationship Id="rId424" Type="http://schemas.openxmlformats.org/officeDocument/2006/relationships/hyperlink" Target="https://etcvn.sharepoint.com/:b:/r/sites/ACV.Prj.LTIA.ICT-ACV.Prj.LTIA.ICT-JCJV-PMU-VIETUR/Shared%20Documents/Prj.Outside/02.PMU-JCJV-ICT/01.Project%20Quality%20Management/01.RFI/RFI-0022-Toll/03.%20Respone/LTIA-5.11-LTICT-71110-RFI-0022.pdf?csf=1&amp;web=1&amp;e=yIVjra" TargetMode="External"/><Relationship Id="rId466" Type="http://schemas.openxmlformats.org/officeDocument/2006/relationships/hyperlink" Target="https://etcvn.sharepoint.com/:f:/r/sites/ACV.Prj.LTIA.ICT-ACV.Prj.LTIA.ICT-JCJV-PMU-VIETUR/Shared%20Documents/Prj.Outside/02.PMU-JCJV-ICT/01.Project%20Quality%20Management/01.RFI/RFI-0037?d=we4e0936a3d30487c90e133e4870c8eb6&amp;csf=1&amp;web=1&amp;e=LA2e1c" TargetMode="External"/><Relationship Id="rId2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18_LTIA-5.10-VIETUR-80000-RFI-0418.pdf?csf=1&amp;web=1&amp;e=HAIFs3" TargetMode="External"/><Relationship Id="rId119" Type="http://schemas.openxmlformats.org/officeDocument/2006/relationships/hyperlink" Target="https://www.ltiasv.net/index.php/apps/files/files/131517?dir=/LTIA1%20SV/02.%20ICT%20Documents/03.RFI/5.10/20250616_70000-RFI-0643/Vietur" TargetMode="External"/><Relationship Id="rId27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74_LTIA-5.10-PMU-70000-RBE-0774.pdf?csf=1&amp;web=1&amp;e=c68WlE" TargetMode="External"/><Relationship Id="rId326" Type="http://schemas.openxmlformats.org/officeDocument/2006/relationships/hyperlink" Target="https://www.ltiasv.net/index.php/apps/files/files/135089?dir=/LTIA1%20SV/02.%20ICT%20Documents/03.RFI/5.11/20250910_72090-RFI-0010A/LTICT" TargetMode="External"/><Relationship Id="rId65" Type="http://schemas.openxmlformats.org/officeDocument/2006/relationships/hyperlink" Target="https://www.ltiasv.net/index.php/apps/files/files/59892?dir=/LTIA1%20SV/02.%20ICT%20Documents/03.RFI/5.10/20241227_70000-RFI-0478/Vietur" TargetMode="External"/><Relationship Id="rId130" Type="http://schemas.openxmlformats.org/officeDocument/2006/relationships/hyperlink" Target="https://docs.vietur.vn/ltia-vietur/the-employer/document-register" TargetMode="External"/><Relationship Id="rId368" Type="http://schemas.openxmlformats.org/officeDocument/2006/relationships/hyperlink" Target="https://www.ltiasv.net/index.php/apps/files/files/135045?dir=/LTIA1%20SV/02.%20ICT%20Documents/03.RFI/5.11/20260612_72010%C2%A0-RFI-0034/LTICT" TargetMode="External"/><Relationship Id="rId172" Type="http://schemas.openxmlformats.org/officeDocument/2006/relationships/hyperlink" Target="https://www.ltiasv.net/index.php/apps/files/files/131543?dir=/LTIA1%20SV/02.%20ICT%20Documents/03.RFI/5.10/20250611_80000-RFI-0632/JCJV" TargetMode="External"/><Relationship Id="rId228" Type="http://schemas.openxmlformats.org/officeDocument/2006/relationships/hyperlink" Target="https://vietur.sharepoint.com/:f:/r/sites/LTIA/Shared%20Documents/1%20LTIA_VIETUR/03.%20THE%20EMPLOYER%20-%20CDT_TV/3.10%20RFI_%20Yeu%20Cau%20Cung%20Cap%20Thong%20Tin/3.10.1%20Submitted%20_%20Trinh/0806_LTIA-5.10-VIETUR-70000-RFI-0806?csf=1&amp;web=1&amp;e=tm5Jn8" TargetMode="External"/><Relationship Id="rId435" Type="http://schemas.openxmlformats.org/officeDocument/2006/relationships/hyperlink" Target="https://etcvn.sharepoint.com/:f:/r/sites/ACV.Prj.LTIA.ICT-ACV.Prj.LTIA.ICT-JCJV-PMU-VIETUR/Shared%20Documents/Prj.Outside/02.PMU-JCJV-ICT/01.Project%20Quality%20Management/01.RFI/RFI-0017A?csf=1&amp;web=1&amp;e=elcHe2" TargetMode="External"/><Relationship Id="rId477" Type="http://schemas.openxmlformats.org/officeDocument/2006/relationships/printerSettings" Target="../printerSettings/printerSettings3.bin"/><Relationship Id="rId281" Type="http://schemas.openxmlformats.org/officeDocument/2006/relationships/hyperlink" Target="https://www.ltiasv.net/index.php/apps/files/files/135108?dir=/LTIA1%20SV/02.%20ICT%20Documents/03.RFI/5.11/20250613_72040-RFI-0001/LTICT" TargetMode="External"/><Relationship Id="rId337" Type="http://schemas.openxmlformats.org/officeDocument/2006/relationships/hyperlink" Target="https://www.ltiasv.net/index.php/apps/files/files/135076?dir=/LTIA1%20SV/02.%20ICT%20Documents/03.RFI/5.11/20251212_72010-RFI-0014/LTICT" TargetMode="External"/><Relationship Id="rId3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6_LTIA-5.10-VIETUR-70000-RFI-0456.pdf?csf=1&amp;web=1&amp;e=MfPp2p" TargetMode="External"/><Relationship Id="rId76" Type="http://schemas.openxmlformats.org/officeDocument/2006/relationships/hyperlink" Target="https://www.ltiasv.net/index.php/apps/files/files/37787?dir=/LTIA1%20SV/02.%20ICT%20Documents/03.RFI/5.10/20240812_70000-RFI-0312/JCJV" TargetMode="External"/><Relationship Id="rId14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18_LTIA-5.10-PMU-80000-RBE-0418.pdf?csf=1&amp;web=1&amp;e=hHLjr4" TargetMode="External"/><Relationship Id="rId379" Type="http://schemas.openxmlformats.org/officeDocument/2006/relationships/hyperlink" Target="https://etcvn.sharepoint.com/:b:/r/sites/ACV.Prj.LTIA.ICT-ACV.Prj.LTIA.ICT-JCJV-PMU-VIETUR/Shared%20Documents/Prj.Outside/02.PMU-JCJV-ICT/01.Project%20Quality%20Management/01.RFI/RFI-0003-SCS/03.%20Respone/LTIA-5.11-LONGTHANHICT-72010-RFI-0003%201.pdf?csf=1&amp;web=1&amp;e=D4Heni" TargetMode="External"/><Relationship Id="rId7" Type="http://schemas.openxmlformats.org/officeDocument/2006/relationships/hyperlink" Target="https://vietur.sharepoint.com/:f:/r/sites/LTIA/Shared%20Documents/1%20LTIA_VIETUR/03.%20THE%20EMPLOYER%20-%20CDT_TV/3.10%20RFI_%20Yeu%20Cau%20Cung%20Cap%20Thong%20Tin/3.10.1%20Submitted%20_%20Trinh/0312_LTIA-5.10-VIETUR-70000-RFI-0312?csf=1&amp;web=1&amp;e=qSQtkC" TargetMode="External"/><Relationship Id="rId183" Type="http://schemas.openxmlformats.org/officeDocument/2006/relationships/hyperlink" Target="https://vietur.sharepoint.com/:f:/r/sites/LTIA/Shared%20Documents/1%20LTIA_VIETUR/03.%20THE%20EMPLOYER%20-%20CDT_TV/3.10%20RFI_%20Yeu%20Cau%20Cung%20Cap%20Thong%20Tin/3.10.1%20Submitted%20_%20Trinh/0716_LTIA-5.10-VIETUR-80000-RFI-0716?csf=1&amp;web=1&amp;e=Gwb0KB" TargetMode="External"/><Relationship Id="rId239" Type="http://schemas.openxmlformats.org/officeDocument/2006/relationships/hyperlink" Target="https://www.ltiasv.net/index.php/apps/files/files/131643?dir=/LTIA1%20SV/02.%20ICT%20Documents/03.RFI/5.10/20251218_70000-RFI-0818/JCJV" TargetMode="External"/><Relationship Id="rId390" Type="http://schemas.openxmlformats.org/officeDocument/2006/relationships/hyperlink" Target="https://etcvn.sharepoint.com/:f:/r/sites/ACV.Prj.LTIA.ICT-ACV.Prj.LTIA.ICT-JCJV-PMU-VIETUR/Shared%20Documents/Prj.Outside/02.PMU-JCJV-ICT/01.Project%20Quality%20Management/01.RFI/RFI-0008-CCTV?csf=1&amp;web=1&amp;e=lqx7B9" TargetMode="External"/><Relationship Id="rId404" Type="http://schemas.openxmlformats.org/officeDocument/2006/relationships/hyperlink" Target="https://etcvn.sharepoint.com/:b:/r/sites/ACV.Prj.LTIA.ICT-ACV.Prj.LTIA.ICT-JCJV-PMU-VIETUR/Shared%20Documents/Prj.Outside/02.PMU-JCJV-ICT/01.Project%20Quality%20Management/01.RFI/RFI-0011-PMR/20250909/04.%20Respone/LTIA-5.11-PMU-70000-RBE-0011.pdf?csf=1&amp;web=1&amp;e=me3U9z" TargetMode="External"/><Relationship Id="rId446" Type="http://schemas.openxmlformats.org/officeDocument/2006/relationships/hyperlink" Target="https://etcvn.sharepoint.com/:b:/r/sites/ACV.Prj.LTIA.ICT-ACV.Prj.LTIA.ICT-JCJV-PMU-VIETUR/Shared%20Documents/Prj.Outside/02.PMU-JCJV-ICT/01.Project%20Quality%20Management/01.RFI/RFI-0029-SCS/03.%20Respone/LTIA-5.11-LTICT-%C2%A072010%20-RFI-JCJV-0029.pdf?csf=1&amp;web=1&amp;e=FRnKQu" TargetMode="External"/><Relationship Id="rId25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78_LTIA-5.10-VIETUR-54000-RFI-0778.pdf?csf=1&amp;web=1&amp;e=b1xUxH" TargetMode="External"/><Relationship Id="rId29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32_LTIA-5.10-PMU-80000-RBE-0632.pdf?csf=1&amp;web=1&amp;e=NB20Kw" TargetMode="External"/><Relationship Id="rId306" Type="http://schemas.openxmlformats.org/officeDocument/2006/relationships/hyperlink" Target="https://www.ltiasv.net/index.php/apps/files/files/135109?dir=/LTIA1%20SV/02.%20ICT%20Documents/03.RFI/5.11/20250703_70000-RFI-0002/JCJV" TargetMode="External"/><Relationship Id="rId45" Type="http://schemas.openxmlformats.org/officeDocument/2006/relationships/hyperlink" Target="https://www.ltiasv.net/index.php/f/36069" TargetMode="External"/><Relationship Id="rId87" Type="http://schemas.openxmlformats.org/officeDocument/2006/relationships/hyperlink" Target="https://www.ltiasv.net/index.php/apps/files/files/58454?dir=/LTIA1%20SV/02.%20ICT%20Documents/03.RFI/5.10/20241220_70000-RFI-0468/JCJV" TargetMode="External"/><Relationship Id="rId110" Type="http://schemas.openxmlformats.org/officeDocument/2006/relationships/hyperlink" Target="https://www.ltiasv.net/index.php/apps/files/files/131507?dir=/LTIA1%20SV/02.%20ICT%20Documents/03.RFI/5.10/20250602_80000-RFI-0625/JCJV" TargetMode="External"/><Relationship Id="rId348" Type="http://schemas.openxmlformats.org/officeDocument/2006/relationships/hyperlink" Target="https://www.ltiasv.net/index.php/apps/files/files/135061?dir=/LTIA1%20SV/02.%20ICT%20Documents/03.RFI/5.11/20260312_72120-RFI-0024/JCJV" TargetMode="External"/><Relationship Id="rId15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05_LTIA-5.10-PMU-70000-RBE-0605.pdf?csf=1&amp;web=1&amp;e=MCPIgV" TargetMode="External"/><Relationship Id="rId194" Type="http://schemas.openxmlformats.org/officeDocument/2006/relationships/hyperlink" Target="https://www.ltiasv.net/index.php/apps/files/files/131576?dir=/LTIA1%20SV/02.%20ICT%20Documents/03.RFI/5.10/20250922_54000-RFI-0753/Vietur" TargetMode="External"/><Relationship Id="rId208" Type="http://schemas.openxmlformats.org/officeDocument/2006/relationships/hyperlink" Target="https://vietur.sharepoint.com/:f:/r/sites/LTIA/Shared%20Documents/1%20LTIA_VIETUR/03.%20THE%20EMPLOYER%20-%20CDT_TV/3.10%20RFI_%20Yeu%20Cau%20Cung%20Cap%20Thong%20Tin/3.10.1%20Submitted%20_%20Trinh/0763_LTIA-5.10-VIETUR-80000-RFI-0763?csf=1&amp;web=1&amp;e=CUQSCr" TargetMode="External"/><Relationship Id="rId415" Type="http://schemas.openxmlformats.org/officeDocument/2006/relationships/hyperlink" Target="https://etcvn.sharepoint.com/:b:/r/sites/ACV.Prj.LTIA.ICT-ACV.Prj.LTIA.ICT-JCJV-PMU-VIETUR/Shared%20Documents/Prj.Outside/02.PMU-JCJV-ICT/01.Project%20Quality%20Management/01.RFI/RFI-0017-General/20251211/04.%20Response/LTIA-5.11-LTICT-80000-RFI-0017.pdf?csf=1&amp;web=1&amp;e=YnmrRw" TargetMode="External"/><Relationship Id="rId457" Type="http://schemas.openxmlformats.org/officeDocument/2006/relationships/hyperlink" Target="https://etcvn.sharepoint.com/:f:/r/sites/ACV.Prj.LTIA.ICT-ACV.Prj.LTIA.ICT-JCJV-PMU-VIETUR/Shared%20Documents/Prj.Outside/02.PMU-JCJV-ICT/01.Project%20Quality%20Management/01.RFI/RFI-0036?csf=1&amp;web=1&amp;e=nY2f03" TargetMode="External"/><Relationship Id="rId261" Type="http://schemas.openxmlformats.org/officeDocument/2006/relationships/hyperlink" Target="https://www.ltiasv.net/index.php/apps/files/files/131674?dir=/LTIA1%20SV/02.%20ICT%20Documents/03.RFI/5.10/20260317_80000-RFI-0867/Vietur" TargetMode="External"/><Relationship Id="rId1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88_LTIA-5.10-VIETUR-70000-RFI-0288.pdf?csf=1&amp;web=1&amp;e=Kcccch" TargetMode="External"/><Relationship Id="rId56" Type="http://schemas.openxmlformats.org/officeDocument/2006/relationships/hyperlink" Target="https://www.ltiasv.net/index.php/apps/files/files/43374?dir=/LTIA1%20SV/02.%20ICT%20Documents/03.RFI/5.10/20241107_80000-RFI-0420/Vietur" TargetMode="External"/><Relationship Id="rId317" Type="http://schemas.openxmlformats.org/officeDocument/2006/relationships/hyperlink" Target="https://www.ltiasv.net/index.php/apps/files/files/135085?dir=/LTIA1%20SV/02.%20ICT%20Documents/03.RFI/5.11/20250714_72120-RFI-0008/JCJV" TargetMode="External"/><Relationship Id="rId359" Type="http://schemas.openxmlformats.org/officeDocument/2006/relationships/hyperlink" Target="https://www.ltiasv.net/index.php/apps/files/files/135052?dir=/LTIA1%20SV/02.%20ICT%20Documents/03.RFI/5.11/20260407_72010-RFI-0030/LTICT" TargetMode="External"/><Relationship Id="rId9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91_LTIA-5.10-VIETUR-70000-RFI-0491.pdf?csf=1&amp;web=1&amp;e=ZWFAk4" TargetMode="External"/><Relationship Id="rId12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1A_LTIA-5.10-VIETUR-70000-RFI-0471A.pdf?csf=1&amp;web=1&amp;e=sFPjpT" TargetMode="External"/><Relationship Id="rId16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65_LTIA-5.10-VIETUR-70000-RFI-0665.pdf?csf=1&amp;web=1&amp;e=VZjFve" TargetMode="External"/><Relationship Id="rId21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16_LTIA-5.10-PMU-80000-RBE-0716.pdf?csf=1&amp;web=1&amp;e=YecgLe" TargetMode="External"/><Relationship Id="rId370" Type="http://schemas.openxmlformats.org/officeDocument/2006/relationships/hyperlink" Target="https://www.ltiasv.net/index.php/apps/files/files/135038?dir=/LTIA1%20SV/02.%20ICT%20Documents/03.RFI/5.11/20260619_72190-RFI-0035/LTICT" TargetMode="External"/><Relationship Id="rId426" Type="http://schemas.openxmlformats.org/officeDocument/2006/relationships/hyperlink" Target="https://etcvn.sharepoint.com/:b:/r/sites/ACV.Prj.LTIA.ICT-ACV.Prj.LTIA.ICT-JCJV-PMU-VIETUR/Shared%20Documents/Prj.Outside/02.PMU-JCJV-ICT/01.Project%20Quality%20Management/01.RFI/RFI-0023-PMR/04.%20Respone/LTIA-5.11-LTICT-72100-RFI-0023-JCJV.pdf?csf=1&amp;web=1&amp;e=mAezy0" TargetMode="External"/><Relationship Id="rId230" Type="http://schemas.openxmlformats.org/officeDocument/2006/relationships/hyperlink" Target="https://www.ltiasv.net/index.php/apps/files/files/131624?dir=/LTIA1%20SV/02.%20ICT%20Documents/03.RFI/5.10/20251125_70000-RFI-0806/Vietur" TargetMode="External"/><Relationship Id="rId468" Type="http://schemas.openxmlformats.org/officeDocument/2006/relationships/hyperlink" Target="https://vietur.sharepoint.com/:f:/r/sites/LTIA/Shared%20Documents/4%20LTIA_LINK/4.1%20LTIA_LINK%20GUI%20CDT%20-%20TV/2026/08_2026/20260825/LTIA-5.10-VIETUR-72160-RFI-0992?d=w2363ea502966421381df6557aa9152dc&amp;csf=1&amp;web=1&amp;e=Xrw3F7" TargetMode="External"/><Relationship Id="rId25" Type="http://schemas.openxmlformats.org/officeDocument/2006/relationships/hyperlink" Target="https://vietur.sharepoint.com/:f:/r/sites/LTIA/Shared%20Documents/1%20LTIA_VIETUR/03.%20THE%20EMPLOYER%20-%20CDT_TV/3.10%20RFI_%20Yeu%20Cau%20Cung%20Cap%20Thong%20Tin/3.10.1%20Submitted%20_%20Trinh/0437_LTIA-5.10-VIETUR-70000-RFI-0437?csf=1&amp;web=1&amp;e=hIxD7R" TargetMode="External"/><Relationship Id="rId67" Type="http://schemas.openxmlformats.org/officeDocument/2006/relationships/hyperlink" Target="https://www.ltiasv.net/index.php/apps/files/files/58745?dir=/LTIA1%20SV/02.%20ICT%20Documents/03.RFI/5.10/20241224_80000-RFI-0469/Vietur" TargetMode="External"/><Relationship Id="rId27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90_LTIA-5.10-VIETUR-80000-RFI-0790.pdf?csf=1&amp;web=1&amp;e=bdToMF" TargetMode="External"/><Relationship Id="rId328" Type="http://schemas.openxmlformats.org/officeDocument/2006/relationships/hyperlink" Target="https://www.ltiasv.net/index.php/apps/files/files/135082?dir=/LTIA1%20SV/02.%20ICT%20Documents/03.RFI/5.11/20251127_71110-RFI-0015/LTICT" TargetMode="External"/><Relationship Id="rId132" Type="http://schemas.openxmlformats.org/officeDocument/2006/relationships/hyperlink" Target="https://vietur.sharepoint.com/:f:/r/sites/LTIA/Shared%20Documents/1%20LTIA_VIETUR/03.%20THE%20EMPLOYER%20-%20CDT_TV/3.10%20RFI_%20Yeu%20Cau%20Cung%20Cap%20Thong%20Tin/3.10.1%20Submitted%20_%20Trinh/0663_LTIA-5.10-VIETUR-70000-RFI-0663?csf=1&amp;web=1&amp;e=fT9ecq" TargetMode="External"/><Relationship Id="rId174" Type="http://schemas.openxmlformats.org/officeDocument/2006/relationships/hyperlink" Target="https://www.ltiasv.net/index.php/apps/files/files/131550?dir=/LTIA1%20SV/02.%20ICT%20Documents/03.RFI/5.10/20250618_80000-RFI-0645/Vietur" TargetMode="External"/><Relationship Id="rId381" Type="http://schemas.openxmlformats.org/officeDocument/2006/relationships/hyperlink" Target="https://etcvn.sharepoint.com/:b:/r/sites/ACV.Prj.LTIA.ICT-ACV.Prj.LTIA.ICT-JCJV-PMU-VIETUR/Shared%20Documents/Prj.Outside/02.PMU-JCJV-ICT/01.Project%20Quality%20Management/01.RFI/RFI-0004-Toll/03.%20Respone/LTIA-5.11-LONGTHANHICT-70000-RFI-0004%201.pdf?csf=1&amp;web=1&amp;e=boxugM" TargetMode="External"/><Relationship Id="rId241" Type="http://schemas.openxmlformats.org/officeDocument/2006/relationships/hyperlink" Target="https://www.ltiasv.net/index.php/apps/files/files/131647?dir=/LTIA1%20SV/02.%20ICT%20Documents/03.RFI/5.10/20260130_70000-RFI-0849/Vietur" TargetMode="External"/><Relationship Id="rId437" Type="http://schemas.openxmlformats.org/officeDocument/2006/relationships/hyperlink" Target="https://etcvn.sharepoint.com/:f:/r/sites/ACV.Prj.LTIA.ICT-ACV.Prj.LTIA.ICT-JCJV-PMU-VIETUR/Shared%20Documents/Prj.Outside/02.PMU-JCJV-ICT/01.Project%20Quality%20Management/01.RFI/RFI-0033-TOLL?csf=1&amp;web=1&amp;e=41kbMa" TargetMode="External"/><Relationship Id="rId3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5_LTIA-5.10-VIETUR-80000-RFI-0455.pdf?csf=1&amp;web=1&amp;e=Fcqkjs" TargetMode="External"/><Relationship Id="rId28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60_LTIA-5.10-PMU-70000-RBE-0360.pdf?csf=1&amp;web=1&amp;e=NvaSAM" TargetMode="External"/><Relationship Id="rId339" Type="http://schemas.openxmlformats.org/officeDocument/2006/relationships/hyperlink" Target="https://www.ltiasv.net/index.php/apps/files/files/135066?dir=/LTIA1%20SV/02.%20ICT%20Documents/03.RFI/5.11/20251214_72030-RFI-0019/JCJV" TargetMode="External"/><Relationship Id="rId78" Type="http://schemas.openxmlformats.org/officeDocument/2006/relationships/hyperlink" Target="https://www.ltiasv.net/index.php/apps/files/files/37117?dir=/LTIA1%20SV/02.%20ICT%20Documents/03.RFI/5.10/20241001_70000-RFI-0360/JCJV" TargetMode="External"/><Relationship Id="rId101" Type="http://schemas.openxmlformats.org/officeDocument/2006/relationships/hyperlink" Target="https://www.ltiasv.net/index.php/apps/files/files/131488?dir=/LTIA1%20SV/02.%20ICT%20Documents/03.RFI/5.10/20250508_70000-RFI-0600/JCJV" TargetMode="External"/><Relationship Id="rId14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6_LTIA-5.10-PMU-80000-RBE-0455;%20LTIA-5.10-PMU-70000-RBE-0456,%200457.pdf?csf=1&amp;web=1&amp;e=veEtgM" TargetMode="External"/><Relationship Id="rId185" Type="http://schemas.openxmlformats.org/officeDocument/2006/relationships/hyperlink" Target="https://www.ltiasv.net/index.php/apps/files/files/131571?dir=/LTIA1%20SV/02.%20ICT%20Documents/03.RFI/5.10/20250815_80000-RFI-0716/JCJV" TargetMode="External"/><Relationship Id="rId350" Type="http://schemas.openxmlformats.org/officeDocument/2006/relationships/hyperlink" Target="https://www.ltiasv.net/index.php/apps/files/files/135073?dir=/LTIA1%20SV/02.%20ICT%20Documents/03.RFI/5.11/20260317_71110-RFI-0026/JCJV" TargetMode="External"/><Relationship Id="rId406" Type="http://schemas.openxmlformats.org/officeDocument/2006/relationships/hyperlink" Target="https://etcvn.sharepoint.com/:f:/r/sites/ACV.Prj.LTIA.ICT-ACV.Prj.LTIA.ICT-JCJV-PMU-VIETUR/Shared%20Documents/Prj.Outside/02.PMU-JCJV-ICT/01.Project%20Quality%20Management/01.RFI/RFI-0013-SCS?csf=1&amp;web=1&amp;e=lJiFen" TargetMode="External"/><Relationship Id="rId9" Type="http://schemas.openxmlformats.org/officeDocument/2006/relationships/hyperlink" Target="https://vietur.sharepoint.com/:f:/r/sites/LTIA/Shared%20Documents/1%20LTIA_VIETUR/03.%20THE%20EMPLOYER%20-%20CDT_TV/3.10%20RFI_%20Yeu%20Cau%20Cung%20Cap%20Thong%20Tin/3.10.1%20Submitted%20_%20Trinh/0360_LTIA-5.10-VIETUR-70000-RFI-0360?csf=1&amp;web=1&amp;e=rfnBXj" TargetMode="External"/><Relationship Id="rId210" Type="http://schemas.openxmlformats.org/officeDocument/2006/relationships/hyperlink" Target="https://www.ltiasv.net/index.php/apps/files/files/131600?dir=/LTIA1%20SV/02.%20ICT%20Documents/03.RFI/5.10/20250930_80000-RFI-0763/JCJV" TargetMode="External"/><Relationship Id="rId392" Type="http://schemas.openxmlformats.org/officeDocument/2006/relationships/hyperlink" Target="https://etcvn.sharepoint.com/:f:/r/sites/ACV.Prj.LTIA.ICT-ACV.Prj.LTIA.ICT-JCJV-PMU-VIETUR/Shared%20Documents/Prj.Outside/02.PMU-JCJV-ICT/01.Project%20Quality%20Management/01.RFI/RFI-0009-General-80000?csf=1&amp;web=1&amp;e=4HfQCk" TargetMode="External"/><Relationship Id="rId448" Type="http://schemas.openxmlformats.org/officeDocument/2006/relationships/hyperlink" Target="https://etcvn.sharepoint.com/:f:/r/sites/ACV.Prj.LTIA.ICT-ACV.Prj.LTIA.ICT-JCJV-PMU-VIETUR/Shared%20Documents/Prj.Outside/02.PMU-JCJV-ICT/01.Project%20Quality%20Management/01.RFI/RFI-0028-SCS?csf=1&amp;web=1&amp;e=zooBgU" TargetMode="External"/><Relationship Id="rId25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49_LTIA-5.10-VIETUR-70000-RFI-0849.pdf?csf=1&amp;web=1&amp;e=iKQd93" TargetMode="External"/><Relationship Id="rId294" Type="http://schemas.openxmlformats.org/officeDocument/2006/relationships/hyperlink" Target="https://www.ltiasv.net/index.php/apps/files/files/131610?dir=/LTIA1%20SV/02.%20ICT%20Documents/03.RFI/5.10/20251009_72160-RFI-0771/JCJV" TargetMode="External"/><Relationship Id="rId308" Type="http://schemas.openxmlformats.org/officeDocument/2006/relationships/hyperlink" Target="https://www.ltiasv.net/index.php/apps/files/files/135101?dir=/LTIA1%20SV/02.%20ICT%20Documents/03.RFI/5.11/20250703_70000-RFI-0004/LTICT" TargetMode="External"/><Relationship Id="rId47" Type="http://schemas.openxmlformats.org/officeDocument/2006/relationships/hyperlink" Target="https://www.ltiasv.net/index.php/apps/files/files/37084?dir=/LTIA1%20SV/02.%20ICT%20Documents/03.RFI/5.10/20240716_72160-RFI-0277/Vietur" TargetMode="External"/><Relationship Id="rId89" Type="http://schemas.openxmlformats.org/officeDocument/2006/relationships/hyperlink" Target="https://www.ltiasv.net/index.php/apps/files/files/57488?dir=/LTIA1%20SV/02.%20ICT%20Documents/03.RFI/5.10/20241220_80000-RFI-0470/JCJV" TargetMode="External"/><Relationship Id="rId112" Type="http://schemas.openxmlformats.org/officeDocument/2006/relationships/hyperlink" Target="https://vietur.sharepoint.com/:f:/r/sites/LTIA/Shared%20Documents/1%20LTIA_VIETUR/03.%20THE%20EMPLOYER%20-%20CDT_TV/3.10%20RFI_%20Yeu%20Cau%20Cung%20Cap%20Thong%20Tin/3.10.1%20Submitted%20_%20Trinh/0643_LTIA-5.10-VIETUR-70000-RFI-0643?csf=1&amp;web=1&amp;e=9PaJvk" TargetMode="External"/><Relationship Id="rId154" Type="http://schemas.openxmlformats.org/officeDocument/2006/relationships/hyperlink" Target="https://www.ltiasv.net/index.php/apps/files/files/131527?dir=/LTIA1%20SV/02.%20ICT%20Documents/03.RFI/5.10/20250701_70000-RFI-0663/Vietur" TargetMode="External"/><Relationship Id="rId361" Type="http://schemas.openxmlformats.org/officeDocument/2006/relationships/hyperlink" Target="https://www.ltiasv.net/index.php/apps/files/files/135050?dir=/LTIA1%20SV/02.%20ICT%20Documents/03.RFI/5.11/20260409_71000-RFI-0031/LTICT" TargetMode="External"/><Relationship Id="rId196" Type="http://schemas.openxmlformats.org/officeDocument/2006/relationships/hyperlink" Target="https://www.ltiasv.net/index.php/apps/files/files/131581?dir=/LTIA1%20SV/02.%20ICT%20Documents/03.RFI/5.10/20250904_70000-RFI-0717/Vietur" TargetMode="External"/><Relationship Id="rId417" Type="http://schemas.openxmlformats.org/officeDocument/2006/relationships/hyperlink" Target="https://etcvn.sharepoint.com/:f:/r/sites/ACV.Prj.LTIA.ICT-ACV.Prj.LTIA.ICT-JCJV-PMU-VIETUR/Shared%20Documents/Prj.Outside/02.PMU-JCJV-ICT/01.Project%20Quality%20Management/01.RFI/RFI-0019-AGAC?csf=1&amp;web=1&amp;e=uh72N2" TargetMode="External"/><Relationship Id="rId459" Type="http://schemas.openxmlformats.org/officeDocument/2006/relationships/hyperlink" Target="https://conincojsc-my.sharepoint.com/:b:/g/personal/vanphongjcjv_coninco_com_vn/IQCZ2xIWRmn8TbWikSEN95j1AVf_RMdOkotrpcpRrbcRzo8" TargetMode="External"/><Relationship Id="rId1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6_LTIA-5.10-VIETUR-80000-RFI-0246.pdf?csf=1&amp;web=1&amp;e=BWNdYE" TargetMode="External"/><Relationship Id="rId22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17_LTIA-5.10-PMU-70000-RBE-0717.pdf?csf=1&amp;web=1&amp;e=RXTBal" TargetMode="External"/><Relationship Id="rId26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33_LTIA-5.10-VIETUR-80000-RFI-0833.pdf?csf=1&amp;web=1&amp;e=chktlo" TargetMode="External"/><Relationship Id="rId319" Type="http://schemas.openxmlformats.org/officeDocument/2006/relationships/hyperlink" Target="https://www.ltiasv.net/index.php/apps/files/files/135105?dir=/LTIA1%20SV/02.%20ICT%20Documents/03.RFI/5.11/20250810_80000-RFI-0009/JCJV" TargetMode="External"/><Relationship Id="rId470" Type="http://schemas.openxmlformats.org/officeDocument/2006/relationships/hyperlink" Target="https://vietur.sharepoint.com/:f:/r/sites/LTIA/Shared%20Documents/4%20LTIA_LINK/4.1%20LTIA_LINK%20GUI%20CDT%20-%20TV/2026/09_2026/20260915/LTIA-5.10-VIETUR-72160-RFI-0992?d=w7e27934da60140afb4509d27256ddf32&amp;csf=1&amp;web=1&amp;e=cbEIbJ" TargetMode="External"/><Relationship Id="rId58" Type="http://schemas.openxmlformats.org/officeDocument/2006/relationships/hyperlink" Target="https://www.ltiasv.net/index.php/apps/files/files/53712?dir=/LTIA1%20SV/02.%20ICT%20Documents/03.RFI/5.10/20241210_70000-RFI-0456/Vietur" TargetMode="External"/><Relationship Id="rId123" Type="http://schemas.openxmlformats.org/officeDocument/2006/relationships/hyperlink" Target="https://vietur.sharepoint.com/:f:/r/sites/LTIA/Shared%20Documents/1%20LTIA_VIETUR/03.%20THE%20EMPLOYER%20-%20CDT_TV/3.10%20RFI_%20Yeu%20Cau%20Cung%20Cap%20Thong%20Tin/3.10.1%20Submitted%20_%20Trinh/0635_LTIA-5.10-VIETUR-70000-RFI-0635?csf=1&amp;web=1&amp;e=6lPLqZ" TargetMode="External"/><Relationship Id="rId330" Type="http://schemas.openxmlformats.org/officeDocument/2006/relationships/hyperlink" Target="https://www.ltiasv.net/index.php/apps/files/files/135080?dir=/LTIA1%20SV/02.%20ICT%20Documents/03.RFI/5.11/20251209_80000-RFI-0016/LTICT" TargetMode="External"/><Relationship Id="rId165" Type="http://schemas.openxmlformats.org/officeDocument/2006/relationships/hyperlink" Target="https://vietur.sharepoint.com/:f:/r/sites/LTIA/Shared%20Documents/1%20LTIA_VIETUR/03.%20THE%20EMPLOYER%20-%20CDT_TV/3.10%20RFI_%20Yeu%20Cau%20Cung%20Cap%20Thong%20Tin/3.10.1%20Submitted%20_%20Trinh/0677_LTIA-5.10-VIETUR-70000-RFI-0677?csf=1&amp;web=1&amp;e=kDuCjP" TargetMode="External"/><Relationship Id="rId372" Type="http://schemas.openxmlformats.org/officeDocument/2006/relationships/hyperlink" Target="https://etcvn.sharepoint.com/:f:/r/sites/ACV.Prj.LTIA.ICT-ACV.Prj.LTIA.ICT-JCJV-PMU-VIETUR/Shared%20Documents/Prj.Outside/02.PMU-JCJV-ICT/01.Project%20Quality%20Management/01.RFI/RFI-0001?csf=1&amp;web=1&amp;e=tWigZt" TargetMode="External"/><Relationship Id="rId428" Type="http://schemas.openxmlformats.org/officeDocument/2006/relationships/hyperlink" Target="https://etcvn.sharepoint.com/:b:/r/sites/ACV.Prj.LTIA.ICT-ACV.Prj.LTIA.ICT-JCJV-PMU-VIETUR/Shared%20Documents/Prj.Outside/02.PMU-JCJV-ICT/01.Project%20Quality%20Management/01.RFI/RFI-0024-Toll/04.%20Respone/LTIA-5.11-LTICT-72120-RFI-0024-JCJV.pdf?csf=1&amp;web=1&amp;e=znh49r" TargetMode="External"/><Relationship Id="rId232" Type="http://schemas.openxmlformats.org/officeDocument/2006/relationships/hyperlink" Target="https://www.ltiasv.net/index.php/apps/files/files/131619?dir=/LTIA1%20SV/02.%20ICT%20Documents/03.RFI/5.10/20251114_70000-RFI-0798/Vietur" TargetMode="External"/><Relationship Id="rId27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114_LTIA-5.10-PMU-70000-RBE-0114.pdf?csf=1&amp;web=1&amp;e=fen40i" TargetMode="External"/><Relationship Id="rId27" Type="http://schemas.openxmlformats.org/officeDocument/2006/relationships/hyperlink" Target="https://vietur.sharepoint.com/:f:/r/sites/LTIA/Shared%20Documents/1%20LTIA_VIETUR/03.%20THE%20EMPLOYER%20-%20CDT_TV/3.10%20RFI_%20Yeu%20Cau%20Cung%20Cap%20Thong%20Tin/3.10.1%20Submitted%20_%20Trinh/0457_LTIA-5.10-VIETUR-70000-RFI-0457?csf=1&amp;web=1&amp;e=AkId7P" TargetMode="External"/><Relationship Id="rId69" Type="http://schemas.openxmlformats.org/officeDocument/2006/relationships/hyperlink" Target="https://www.ltiasv.net/index.php/apps/files/files/131467?dir=/LTIA1%20SV/02.%20ICT%20Documents/03.RFI/5.10/20250228_70000-RFI-0471A/Vietur" TargetMode="External"/><Relationship Id="rId13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1_LTIA-5.10-PMU-70000-RBE-0241.pdf?csf=1&amp;web=1&amp;e=ThJuX2" TargetMode="External"/><Relationship Id="rId80" Type="http://schemas.openxmlformats.org/officeDocument/2006/relationships/hyperlink" Target="https://www.ltiasv.net/index.php/apps/files/files/43367?dir=/LTIA1%20SV/02.%20ICT%20Documents/03.RFI/5.10/20241107_80000-RFI-0418/JCJV" TargetMode="External"/><Relationship Id="rId176" Type="http://schemas.openxmlformats.org/officeDocument/2006/relationships/hyperlink" Target="https://vietur.sharepoint.com/:f:/r/sites/LTIA/Shared%20Documents/1%20LTIA_VIETUR/03.%20THE%20EMPLOYER%20-%20CDT_TV/3.10%20RFI_%20Yeu%20Cau%20Cung%20Cap%20Thong%20Tin/3.10.1%20Submitted%20_%20Trinh/0684_LTIA-5.10-VIETUR-70000-RFI-0684?csf=1&amp;web=1&amp;e=AkEpgA" TargetMode="External"/><Relationship Id="rId341" Type="http://schemas.openxmlformats.org/officeDocument/2006/relationships/hyperlink" Target="https://www.ltiasv.net/index.php/apps/files/files/135062?dir=/LTIA1%20SV/02.%20ICT%20Documents/03.RFI/5.11/20260116_72110-RFI-0021/JCJV" TargetMode="External"/><Relationship Id="rId383" Type="http://schemas.openxmlformats.org/officeDocument/2006/relationships/hyperlink" Target="https://etcvn.sharepoint.com/:b:/r/sites/ACV.Prj.LTIA.ICT-ACV.Prj.LTIA.ICT-JCJV-PMU-VIETUR/Shared%20Documents/Prj.Outside/02.PMU-JCJV-ICT/01.Project%20Quality%20Management/01.RFI/RFI-0005-Smartparking/03.%20Respone/LTIA-5.11-LONGTHANHICT-72190-RFI-0005%201.pdf?csf=1&amp;web=1&amp;e=X4h7u9" TargetMode="External"/><Relationship Id="rId439" Type="http://schemas.openxmlformats.org/officeDocument/2006/relationships/hyperlink" Target="https://etcvn.sharepoint.com/:b:/r/sites/ACV.Prj.LTIA.ICT-ACV.Prj.LTIA.ICT-JCJV-PMU-VIETUR/Shared%20Documents/Prj.Outside/02.PMU-JCJV-ICT/01.Project%20Quality%20Management/01.RFI/RFI-0032-SCS/04.%20Respone/LTIA-5.11-LTICT-72010-RFI-0032-JCJV.pdf?csf=1&amp;web=1&amp;e=UChCK0" TargetMode="External"/><Relationship Id="rId20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53_LTIA-5.10-VIETUR-54000-RFI-0753.pdf?csf=1&amp;web=1&amp;e=jZKCG5" TargetMode="External"/><Relationship Id="rId243" Type="http://schemas.openxmlformats.org/officeDocument/2006/relationships/hyperlink" Target="https://vietur.sharepoint.com/:f:/r/sites/LTIA/Shared%20Documents/1%20LTIA_VIETUR/03.%20THE%20EMPLOYER%20-%20CDT_TV/3.10%20RFI_%20Yeu%20Cau%20Cung%20Cap%20Thong%20Tin/3.10.1%20Submitted%20_%20Trinh/0882_LTIA-5.10-VIETUR-70000-RFI-0882?csf=1&amp;web=1&amp;e=Ret4Hg" TargetMode="External"/><Relationship Id="rId28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69_LTIA-5.10-PMU-80000-RBE-0469.pdf?csf=1&amp;web=1&amp;e=JDNbrk" TargetMode="External"/><Relationship Id="rId450" Type="http://schemas.openxmlformats.org/officeDocument/2006/relationships/hyperlink" Target="https://etcvn.sharepoint.com/:b:/r/sites/ACV.Prj.LTIA.ICT-ACV.Prj.LTIA.ICT-JCJV-PMU-VIETUR/Shared%20Documents/Prj.Outside/02.PMU-JCJV-ICT/01.Project%20Quality%20Management/01.RFI/RFI-0028-SCS/04.%20Respone/LTIA-5.11-LTICT-72010-RBE-0028%20(mo%CC%81ng%20tu%CC%89%20SIFP).pdf?csf=1&amp;web=1&amp;e=LGBvXf" TargetMode="External"/><Relationship Id="rId38" Type="http://schemas.openxmlformats.org/officeDocument/2006/relationships/hyperlink" Target="https://vietur.sharepoint.com/:f:/r/sites/LTIA/Shared%20Documents/1%20LTIA_VIETUR/03.%20THE%20EMPLOYER%20-%20CDT_TV/3.10%20RFI_%20Yeu%20Cau%20Cung%20Cap%20Thong%20Tin/3.10.1%20Submitted%20_%20Trinh/0470_LTIA-5.10-VIETUR-80000-RFI-0470?csf=1&amp;web=1&amp;e=ebGsxA" TargetMode="External"/><Relationship Id="rId103" Type="http://schemas.openxmlformats.org/officeDocument/2006/relationships/hyperlink" Target="https://vietur.sharepoint.com/:f:/r/sites/LTIA/Shared%20Documents/1%20LTIA_VIETUR/03.%20THE%20EMPLOYER%20-%20CDT_TV/3.10%20RFI_%20Yeu%20Cau%20Cung%20Cap%20Thong%20Tin/3.10.1%20Submitted%20_%20Trinh/0605_LTIA-5.10-VIETUR-70000-RFI-0605?csf=1&amp;web=1&amp;e=jykpoe" TargetMode="External"/><Relationship Id="rId310" Type="http://schemas.openxmlformats.org/officeDocument/2006/relationships/hyperlink" Target="https://www.ltiasv.net/index.php/apps/files/files/135096?dir=/LTIA1%20SV/02.%20ICT%20Documents/03.RFI/5.11/20250703_72010-RFI-0003/LTICT" TargetMode="External"/><Relationship Id="rId91" Type="http://schemas.openxmlformats.org/officeDocument/2006/relationships/hyperlink" Target="https://www.ltiasv.net/index.php/apps/files/files/64169?dir=/LTIA1%20SV/02.%20ICT%20Documents/03.RFI/5.10/20250106_70000-RFI-0491/JCJV" TargetMode="External"/><Relationship Id="rId14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5_LTIA-5.10-PMU-80000-RBE-0455;%20LTIA-5.10-PMU-70000-RBE-0456,%200457.pdf?csf=1&amp;web=1&amp;e=UR7CTP" TargetMode="External"/><Relationship Id="rId187" Type="http://schemas.openxmlformats.org/officeDocument/2006/relationships/hyperlink" Target="https://www.ltiasv.net/index.php/apps/files/files/131566?dir=/LTIA1%20SV/02.%20ICT%20Documents/03.RFI/5.10/20250813_70000-RFI-0711/JCJV" TargetMode="External"/><Relationship Id="rId352" Type="http://schemas.openxmlformats.org/officeDocument/2006/relationships/hyperlink" Target="https://www.ltiasv.net/index.php/apps/files/files/135057?dir=/LTIA1%20SV/02.%20ICT%20Documents/03.RFI/5.11/20260317_72190-RFI-0025/JCJV" TargetMode="External"/><Relationship Id="rId394" Type="http://schemas.openxmlformats.org/officeDocument/2006/relationships/hyperlink" Target="https://etcvn.sharepoint.com/:b:/r/sites/ACV.Prj.LTIA.ICT-ACV.Prj.LTIA.ICT-JCJV-PMU-VIETUR/Shared%20Documents/Prj.Outside/02.PMU-JCJV-ICT/01.Project%20Quality%20Management/01.RFI/RFI-0009-General-80000/1.%2020250810/04.%20Respone/LTIA-5.11-LTICT-70000-RBE-0006A-0007-0008-0009-0010A_Updated.pdf?csf=1&amp;web=1&amp;e=AUSw2c" TargetMode="External"/><Relationship Id="rId408" Type="http://schemas.openxmlformats.org/officeDocument/2006/relationships/hyperlink" Target="https://etcvn.sharepoint.com/:f:/r/sites/ACV.Prj.LTIA.ICT-ACV.Prj.LTIA.ICT-JCJV-PMU-VIETUR/Shared%20Documents/Prj.Outside/02.PMU-JCJV-ICT/01.Project%20Quality%20Management/01.RFI/RFI-0015-Toll?csf=1&amp;web=1&amp;e=jaCbzS" TargetMode="External"/><Relationship Id="rId21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56_LTIA-5.10-PMU-70000-RBE-0756.pdf?csf=1&amp;web=1&amp;e=vVFotM" TargetMode="External"/><Relationship Id="rId25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11_LTIA-5.10-VIETUR-70000-RFI-0711.pdf?csf=1&amp;web=1&amp;e=s07C7H" TargetMode="External"/><Relationship Id="rId49" Type="http://schemas.openxmlformats.org/officeDocument/2006/relationships/hyperlink" Target="https://www.ltiasv.net/index.php/apps/files/files/37077?dir=/LTIA1%20SV/02.%20ICT%20Documents/03.RFI/5.10/20240712_80000-RFI-0273/Vietur" TargetMode="External"/><Relationship Id="rId11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594_LTIA-5.10-VIETUR-70000-RFI-0594.pdf?csf=1&amp;web=1&amp;e=CHISjM" TargetMode="External"/><Relationship Id="rId29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71_LTIA-5.10-VIETUR-72160-RFI-0771.pdf?csf=1&amp;web=1&amp;e=LUpcfL" TargetMode="External"/><Relationship Id="rId461" Type="http://schemas.openxmlformats.org/officeDocument/2006/relationships/hyperlink" Target="https://etcvn.sharepoint.com/:f:/s/ACV.Prj.LTIA.ICT-ACV.Prj.LTIA.ICT-JCJV-PMU-VIETUR/IgDr2SNw2e8vT7_YFmgcEMQVAZXIPKes3Wen9Vbt-UuY67k" TargetMode="External"/><Relationship Id="rId60" Type="http://schemas.openxmlformats.org/officeDocument/2006/relationships/hyperlink" Target="https://www.ltiasv.net/index.php/apps/files/files/53724?dir=/LTIA1%20SV/02.%20ICT%20Documents/03.RFI/5.10/20241210_80000-RFI-0455/Vietur" TargetMode="External"/><Relationship Id="rId15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34_LTIA-5.10-PMU-70000-RBE-0634.pdf?csf=1&amp;web=1&amp;e=I4sQav" TargetMode="External"/><Relationship Id="rId198" Type="http://schemas.openxmlformats.org/officeDocument/2006/relationships/hyperlink" Target="https://www.ltiasv.net/index.php/apps/files/files/131585?dir=/LTIA1%20SV/02.%20ICT%20Documents/03.RFI/5.10/20250917_70000-RFI-0756/Vietur" TargetMode="External"/><Relationship Id="rId321" Type="http://schemas.openxmlformats.org/officeDocument/2006/relationships/hyperlink" Target="https://www.ltiasv.net/index.php/apps/files/files/135092?dir=/LTIA1%20SV/02.%20ICT%20Documents/03.RFI/5.11/20250909_72100-RFI-0011/LTICT" TargetMode="External"/><Relationship Id="rId363" Type="http://schemas.openxmlformats.org/officeDocument/2006/relationships/hyperlink" Target="https://www.ltiasv.net/index.php/apps/files/files/135046?dir=/LTIA1%20SV/02.%20ICT%20Documents/03.RFI/5.11/20260512_72010-RFI-0032/LTICT" TargetMode="External"/><Relationship Id="rId419" Type="http://schemas.openxmlformats.org/officeDocument/2006/relationships/hyperlink" Target="https://etcvn.sharepoint.com/:f:/r/sites/ACV.Prj.LTIA.ICT-ACV.Prj.LTIA.ICT-JCJV-PMU-VIETUR/Shared%20Documents/Prj.Outside/02.PMU-JCJV-ICT/01.Project%20Quality%20Management/01.RFI/RFI-0020-Smartparking?csf=1&amp;web=1&amp;e=fG8sq2" TargetMode="External"/><Relationship Id="rId22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84_LTIA-5.10-PMU-70000-RBE-0684.pdf?csf=1&amp;web=1&amp;e=OavTLU" TargetMode="External"/><Relationship Id="rId430" Type="http://schemas.openxmlformats.org/officeDocument/2006/relationships/hyperlink" Target="https://etcvn.sharepoint.com/:b:/r/sites/ACV.Prj.LTIA.ICT-ACV.Prj.LTIA.ICT-JCJV-PMU-VIETUR/Shared%20Documents/Prj.Outside/02.PMU-JCJV-ICT/01.Project%20Quality%20Management/01.RFI/RFI-0025-SMK/04.%20Respone/LTIA-5.11-LTICT-72190-JCJV-RFI-0025.pdf?csf=1&amp;web=1&amp;e=fHdVSe" TargetMode="External"/><Relationship Id="rId1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1_LTIA-5.10-VIETUR-70000-RFI-0241.pdf?csf=1&amp;web=1&amp;e=SxJmP4" TargetMode="External"/><Relationship Id="rId26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67_LTIA-5.10-VIETUR-80000-RFI-0867.pdf?csf=1&amp;web=1&amp;e=U8tjbs" TargetMode="External"/><Relationship Id="rId472" Type="http://schemas.openxmlformats.org/officeDocument/2006/relationships/hyperlink" Target="https://vietur.sharepoint.com/:f:/r/sites/LTIA/Shared%20Documents/4%20LTIA_LINK/4.1%20LTIA_LINK%20GUI%20CDT%20-%20TV/2026/09_2026/20260930/LTIA-5.10-VIETUR-72160-RFI-1014?d=wf4b006be5ba44019a821ca81f16df960&amp;csf=1&amp;web=1&amp;e=6m2Ft0" TargetMode="External"/><Relationship Id="rId125" Type="http://schemas.openxmlformats.org/officeDocument/2006/relationships/hyperlink" Target="https://www.ltiasv.net/index.php/apps/files/files/131523?dir=/LTIA1%20SV/02.%20ICT%20Documents/03.RFI/5.10/20250617_70000-RFI-0635/JCJV" TargetMode="External"/><Relationship Id="rId167" Type="http://schemas.openxmlformats.org/officeDocument/2006/relationships/hyperlink" Target="https://www.ltiasv.net/index.php/apps/files/files/131537?dir=/LTIA1%20SV/02.%20ICT%20Documents/03.RFI/5.10/20250716_70000-RFI-0677/JCJV" TargetMode="External"/><Relationship Id="rId332" Type="http://schemas.openxmlformats.org/officeDocument/2006/relationships/hyperlink" Target="https://www.ltiasv.net/index.php/apps/files/files/135079?dir=/LTIA1%20SV/02.%20ICT%20Documents/03.RFI/5.11/20251211_71110-RFI-0018/LTICT" TargetMode="External"/><Relationship Id="rId374" Type="http://schemas.openxmlformats.org/officeDocument/2006/relationships/hyperlink" Target="https://etcvn.sharepoint.com/:b:/r/sites/ACV.Prj.LTIA.ICT-ACV.Prj.LTIA.ICT-JCJV-PMU-VIETUR/Shared%20Documents/Prj.Outside/02.PMU-JCJV-ICT/01.Project%20Quality%20Management/01.RFI/RFI-0001/03.%20Respone/LTIA-5.11-PMU-70000-RBE-0001-Sign.pdf?csf=1&amp;web=1&amp;e=WWPiBw" TargetMode="External"/><Relationship Id="rId71" Type="http://schemas.openxmlformats.org/officeDocument/2006/relationships/hyperlink" Target="https://www.ltiasv.net/index.php/apps/files/files/37080?dir=/LTIA1%20SV/02.%20ICT%20Documents/03.RFI/5.10/20240612_70000-RFI-0241/JCJV" TargetMode="External"/><Relationship Id="rId234" Type="http://schemas.openxmlformats.org/officeDocument/2006/relationships/hyperlink" Target="https://vietur.sharepoint.com/:f:/r/sites/LTIA/Shared%20Documents/1%20LTIA_VIETUR/03.%20THE%20EMPLOYER%20-%20CDT_TV/3.10%20RFI_%20Yeu%20Cau%20Cung%20Cap%20Thong%20Tin/3.10.1%20Submitted%20_%20Trinh/0778_LTIA-5.10-VIETUR-54000-RFI-0778?csf=1&amp;web=1&amp;e=RRjNqN" TargetMode="External"/><Relationship Id="rId2" Type="http://schemas.openxmlformats.org/officeDocument/2006/relationships/hyperlink" Target="https://vietur.sharepoint.com/:f:/r/sites/LTIA/Shared%20Documents/1%20LTIA_VIETUR/03.%20THE%20EMPLOYER%20-%20CDT_TV/3.10%20RFI_%20Yeu%20Cau%20Cung%20Cap%20Thong%20Tin/3.10.1%20Submitted%20_%20Trinh/0241_LTIA-5.10-VIETUR-70000-RFI-0241?csf=1&amp;web=1&amp;e=w8Dz5s" TargetMode="External"/><Relationship Id="rId29" Type="http://schemas.openxmlformats.org/officeDocument/2006/relationships/hyperlink" Target="https://vietur.sharepoint.com/:f:/r/sites/LTIA/Shared%20Documents/1%20LTIA_VIETUR/03.%20THE%20EMPLOYER%20-%20CDT_TV/3.10%20RFI_%20Yeu%20Cau%20Cung%20Cap%20Thong%20Tin/3.10.1%20Submitted%20_%20Trinh/0459_LTIA-5.10-VIETUR-80000-RFI-0459?csf=1&amp;web=1&amp;e=vwY1Yl" TargetMode="External"/><Relationship Id="rId276" Type="http://schemas.openxmlformats.org/officeDocument/2006/relationships/hyperlink" Target="https://www.ltiasv.net/index.php/apps/files/files/130561?dir=/LTIA1%20SV/02.%20ICT%20Documents/03.RFI/5.10/20240309_70000-RFI-0114/Vietur" TargetMode="External"/><Relationship Id="rId441" Type="http://schemas.openxmlformats.org/officeDocument/2006/relationships/hyperlink" Target="https://etcvn.sharepoint.com/:b:/r/sites/ACV.Prj.LTIA.ICT-ACV.Prj.LTIA.ICT-JCJV-PMU-VIETUR/Shared%20Documents/Prj.Outside/02.PMU-JCJV-ICT/01.Project%20Quality%20Management/01.RFI/RFI-0031-PPS/LTIA-5.11-LTICT-71000%20-RFI-0031-JCJV.pdf?csf=1&amp;web=1&amp;e=Ha8xtw" TargetMode="External"/><Relationship Id="rId4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8_LTIA-5.10-VIETUR-70000-RFI-0478.pdf?csf=1&amp;web=1&amp;e=3Uhy5h" TargetMode="External"/><Relationship Id="rId13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6_LTIA-5.10-PMU-80000-RBE-0246.pdf?csf=1&amp;web=1&amp;e=3xLYnN" TargetMode="External"/><Relationship Id="rId178" Type="http://schemas.openxmlformats.org/officeDocument/2006/relationships/hyperlink" Target="https://www.ltiasv.net/index.php/apps/files/files/131556?dir=/LTIA1%20SV/02.%20ICT%20Documents/03.RFI/5.10/20250717_70000-RFI-0684/JCJV" TargetMode="External"/><Relationship Id="rId30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87_LTIA-5.10-VIETUR-72160-RFI-0887.pdf?csf=1&amp;web=1&amp;e=JH6k45" TargetMode="External"/><Relationship Id="rId343" Type="http://schemas.openxmlformats.org/officeDocument/2006/relationships/hyperlink" Target="https://www.ltiasv.net/index.php/apps/files/files/135069?dir=/LTIA1%20SV/02.%20ICT%20Documents/03.RFI/5.11/20260203_71110-RFI-0022/LTICT" TargetMode="External"/><Relationship Id="rId82" Type="http://schemas.openxmlformats.org/officeDocument/2006/relationships/hyperlink" Target="https://www.ltiasv.net/index.php/apps/files/files/53710?dir=/LTIA1%20SV/02.%20ICT%20Documents/03.RFI/5.10/20241210_70000-RFI-0456/JCJV" TargetMode="External"/><Relationship Id="rId20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56_LTIA-5.10-VIETUR-70000-RFI-0756.pdf?csf=1&amp;web=1&amp;e=pRyx9O" TargetMode="External"/><Relationship Id="rId385" Type="http://schemas.openxmlformats.org/officeDocument/2006/relationships/hyperlink" Target="https://etcvn.sharepoint.com/:f:/r/sites/ACV.Prj.LTIA.ICT-ACV.Prj.LTIA.ICT-JCJV-PMU-VIETUR/Shared%20Documents/Prj.Outside/02.PMU-JCJV-ICT/01.Project%20Quality%20Management/01.RFI/RFI-0006-WDNE/202050910?csf=1&amp;web=1&amp;e=h7IFfn" TargetMode="External"/><Relationship Id="rId245" Type="http://schemas.openxmlformats.org/officeDocument/2006/relationships/hyperlink" Target="https://www.ltiasv.net/index.php/apps/files/files/131653?dir=/LTIA1%20SV/02.%20ICT%20Documents/03.RFI/5.10/20260330_70000-RFI-0882/JCJV" TargetMode="External"/><Relationship Id="rId287" Type="http://schemas.openxmlformats.org/officeDocument/2006/relationships/hyperlink" Target="https://www.ltiasv.net/index.php/apps/files/files/131473?dir=/LTIA1%20SV/02.%20ICT%20Documents/03.RFI/5.10/20250412_70000-RFI-0579/Vietur" TargetMode="External"/><Relationship Id="rId410" Type="http://schemas.openxmlformats.org/officeDocument/2006/relationships/hyperlink" Target="https://etcvn.sharepoint.com/:b:/r/sites/ACV.Prj.LTIA.ICT-ACV.Prj.LTIA.ICT-JCJV-PMU-VIETUR/Shared%20Documents/Prj.Outside/02.PMU-JCJV-ICT/01.Project%20Quality%20Management/01.RFI/RFI-0015-Toll/20260512/04.%20Respone/LTIA-5.11-PMU-71110-RBE-0015.pdf?csf=1&amp;web=1&amp;e=f3xG8y" TargetMode="External"/><Relationship Id="rId452" Type="http://schemas.openxmlformats.org/officeDocument/2006/relationships/hyperlink" Target="https://etcvn.sharepoint.com/:b:/r/sites/ACV.Prj.LTIA.ICT-ACV.Prj.LTIA.ICT-JCJV-PMU-VIETUR/Shared%20Documents/Prj.Outside/02.PMU-JCJV-ICT/01.Project%20Quality%20Management/01.RFI/RFI-0027-PMR/04.%20Respone/LTIA-5.11-LTICT-72100%20-RFI-0027-JCJV.pdf?csf=1&amp;web=1&amp;e=u5Mkga" TargetMode="External"/><Relationship Id="rId105" Type="http://schemas.openxmlformats.org/officeDocument/2006/relationships/hyperlink" Target="https://www.ltiasv.net/index.php/apps/files/files/131503?dir=/LTIA1%20SV/02.%20ICT%20Documents/03.RFI/5.10/20250515_70000-RFI-0605/JCJV" TargetMode="External"/><Relationship Id="rId14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71_LTIA-5.10-PMU-70000-RBE-0471.pdf?csf=1&amp;web=1&amp;e=XMI8Ux" TargetMode="External"/><Relationship Id="rId312" Type="http://schemas.openxmlformats.org/officeDocument/2006/relationships/hyperlink" Target="https://www.ltiasv.net/index.php/apps/files/files/135093?dir=/LTIA1%20SV/02.%20ICT%20Documents/03.RFI/5.11/20250704_72190-RFI-0005/LTICT" TargetMode="External"/><Relationship Id="rId354" Type="http://schemas.openxmlformats.org/officeDocument/2006/relationships/hyperlink" Target="https://www.ltiasv.net/index.php/apps/files/files/135064?dir=/LTIA1%20SV/02.%20ICT%20Documents/03.RFI/5.11/20260319_72010-RFI-0028/JCJV" TargetMode="External"/><Relationship Id="rId51" Type="http://schemas.openxmlformats.org/officeDocument/2006/relationships/hyperlink" Target="https://www.ltiasv.net/index.php/apps/files/files/37788?dir=/LTIA1%20SV/02.%20ICT%20Documents/03.RFI/5.10/20240812_70000-RFI-0312/Vietur" TargetMode="External"/><Relationship Id="rId72" Type="http://schemas.openxmlformats.org/officeDocument/2006/relationships/hyperlink" Target="https://www.ltiasv.net/index.php/apps/files/files/37083?dir=/LTIA1%20SV/02.%20ICT%20Documents/03.RFI/5.10/20240716_72160-RFI-0277/JCJV" TargetMode="External"/><Relationship Id="rId9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0_LTIA-5.10-VIETUR-80000-RFI-0470.pdf?csf=1&amp;web=1&amp;e=HahaiG" TargetMode="External"/><Relationship Id="rId18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45_LTIA-5.10-VIETUR-80000-RFI-0645.pdf?csf=1&amp;web=1&amp;e=zyDrJk" TargetMode="External"/><Relationship Id="rId375" Type="http://schemas.openxmlformats.org/officeDocument/2006/relationships/hyperlink" Target="https://etcvn.sharepoint.com/:f:/r/sites/ACV.Prj.LTIA.ICT-ACV.Prj.LTIA.ICT-JCJV-PMU-VIETUR/Shared%20Documents/Prj.Outside/02.PMU-JCJV-ICT/01.Project%20Quality%20Management/01.RFI/RFI-0002-General?csf=1&amp;web=1&amp;e=xU2IR7" TargetMode="External"/><Relationship Id="rId396" Type="http://schemas.openxmlformats.org/officeDocument/2006/relationships/hyperlink" Target="https://etcvn.sharepoint.com/:f:/r/sites/ACV.Prj.LTIA.ICT-ACV.Prj.LTIA.ICT-JCJV-PMU-VIETUR/Shared%20Documents/Prj.Outside/02.PMU-JCJV-ICT/01.Project%20Quality%20Management/01.RFI/RFI-0010-TOIP/20250910?csf=1&amp;web=1&amp;e=u0cJ5b" TargetMode="External"/><Relationship Id="rId3" Type="http://schemas.openxmlformats.org/officeDocument/2006/relationships/hyperlink" Target="https://vietur.sharepoint.com/:f:/r/sites/LTIA/Shared%20Documents/1%20LTIA_VIETUR/03.%20THE%20EMPLOYER%20-%20CDT_TV/3.10%20RFI_%20Yeu%20Cau%20Cung%20Cap%20Thong%20Tin/3.10.1%20Submitted%20_%20Trinh/0277_LTIA-5.10-VIETUR-72160-RFI-0277?csf=1&amp;web=1&amp;e=1UXUqI" TargetMode="External"/><Relationship Id="rId21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53_LTIA-5.10-PMU-54000-RBE-0753.pdf?csf=1&amp;web=1&amp;e=AXcmfg" TargetMode="External"/><Relationship Id="rId235" Type="http://schemas.openxmlformats.org/officeDocument/2006/relationships/hyperlink" Target="https://vietur.sharepoint.com/:f:/r/sites/LTIA/Shared%20Documents/1%20LTIA_VIETUR/03.%20THE%20EMPLOYER%20-%20CDT_TV/3.10%20RFI_%20Yeu%20Cau%20Cung%20Cap%20Thong%20Tin/3.10.1%20Submitted%20_%20Trinh/0818_LTIA-5.10-VIETUR-70000-RFI-0818?csf=1&amp;web=1&amp;e=NWn29X" TargetMode="External"/><Relationship Id="rId25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11_LTIA-5.10-PMU-70000-RBE-0711.pdf?csf=1&amp;web=1&amp;e=J3ain4" TargetMode="External"/><Relationship Id="rId277" Type="http://schemas.openxmlformats.org/officeDocument/2006/relationships/hyperlink" Target="https://www.ltiasv.net/index.php/apps/files/files/130560?dir=/LTIA1%20SV/02.%20ICT%20Documents/03.RFI/5.10/20240309_70000-RFI-0114/JCJV" TargetMode="External"/><Relationship Id="rId29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78_LTIA-5.10-PMU-54000-RBE-0778.pdf?csf=1&amp;web=1&amp;e=j5bPQV" TargetMode="External"/><Relationship Id="rId400" Type="http://schemas.openxmlformats.org/officeDocument/2006/relationships/hyperlink" Target="https://etcvn.sharepoint.com/:b:/r/sites/ACV.Prj.LTIA.ICT-ACV.Prj.LTIA.ICT-JCJV-PMU-VIETUR/Shared%20Documents/Prj.Outside/02.PMU-JCJV-ICT/01.Project%20Quality%20Management/01.RFI/RFI-0010B-TOIP/20260514/04.%20Respone/LTIA-5.11-LTICT-72090-RFI-0010B-JCJV.pdf?csf=1&amp;web=1&amp;e=Z3F8Wv" TargetMode="External"/><Relationship Id="rId421" Type="http://schemas.openxmlformats.org/officeDocument/2006/relationships/hyperlink" Target="https://etcvn.sharepoint.com/:f:/r/sites/ACV.Prj.LTIA.ICT-ACV.Prj.LTIA.ICT-JCJV-PMU-VIETUR/Shared%20Documents/Prj.Outside/02.PMU-JCJV-ICT/01.Project%20Quality%20Management/01.RFI/RFI-0021-IPTV?csf=1&amp;web=1&amp;e=N3z505" TargetMode="External"/><Relationship Id="rId442" Type="http://schemas.openxmlformats.org/officeDocument/2006/relationships/hyperlink" Target="https://etcvn.sharepoint.com/:b:/r/sites/ACV.Prj.LTIA.ICT-ACV.Prj.LTIA.ICT-JCJV-PMU-VIETUR/Shared%20Documents/Prj.Outside/02.PMU-JCJV-ICT/01.Project%20Quality%20Management/01.RFI/RFI-0031-PPS/LTIA-5.11-PMU-71000-RBE-0031.pdf?csf=1&amp;web=1&amp;e=2O4Fw4" TargetMode="External"/><Relationship Id="rId463" Type="http://schemas.openxmlformats.org/officeDocument/2006/relationships/hyperlink" Target="https://conincojsc-my.sharepoint.com/:b:/g/personal/vanphongjcjv_coninco_com_vn/IQC8-OfWF451RapZ5def_eCpAQ3wZogSNnJcod-5p0KVcd4" TargetMode="External"/><Relationship Id="rId11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25_LTIA-5.10-VIETUR-80000-RFI-0625.pdf?csf=1&amp;web=1&amp;e=0uUzgE" TargetMode="External"/><Relationship Id="rId13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273_LTIA-5.10-PMU-80000-RBE-0273.pdf?csf=1&amp;web=1&amp;e=P5Wyr1" TargetMode="External"/><Relationship Id="rId158" Type="http://schemas.openxmlformats.org/officeDocument/2006/relationships/hyperlink" Target="https://www.ltiasv.net/index.php/apps/files/files/131532?dir=/LTIA1%20SV/02.%20ICT%20Documents/03.RFI/5.10/20250703_70000-RFI-0665/Vietur" TargetMode="External"/><Relationship Id="rId30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67_LTIA-5.10-PMU-80000-RBE-0867.pdf?csf=1&amp;web=1&amp;e=jzJweA" TargetMode="External"/><Relationship Id="rId323" Type="http://schemas.openxmlformats.org/officeDocument/2006/relationships/hyperlink" Target="https://www.ltiasv.net/index.php/apps/files/files/135097?dir=/LTIA1%20SV/02.%20ICT%20Documents/03.RFI/5.11/20250910_72030-RFI-0006A/LTICT" TargetMode="External"/><Relationship Id="rId344" Type="http://schemas.openxmlformats.org/officeDocument/2006/relationships/hyperlink" Target="https://www.ltiasv.net/index.php/apps/files/files/135070?dir=/LTIA1%20SV/02.%20ICT%20Documents/03.RFI/5.11/20260203_71110-RFI-0022/JCJV" TargetMode="External"/><Relationship Id="rId20" Type="http://schemas.openxmlformats.org/officeDocument/2006/relationships/hyperlink" Target="https://vietur.sharepoint.com/:f:/r/sites/LTIA/Shared%20Documents/1%20LTIA_VIETUR/03.%20THE%20EMPLOYER%20-%20CDT_TV/3.10%20RFI_%20Yeu%20Cau%20Cung%20Cap%20Thong%20Tin/3.10.1%20Submitted%20_%20Trinh/0418_LTIA-5.10-VIETUR-80000-RFI-0418?csf=1&amp;web=1&amp;e=s8Tz3g" TargetMode="External"/><Relationship Id="rId4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9_LTIA-5.10-VIETUR-80000-RFI-0459.pdf?csf=1&amp;web=1&amp;e=qYTMAH" TargetMode="External"/><Relationship Id="rId62" Type="http://schemas.openxmlformats.org/officeDocument/2006/relationships/hyperlink" Target="https://www.ltiasv.net/index.php/apps/files/files/54384?dir=/LTIA1%20SV/02.%20ICT%20Documents/03.RFI/5.10/20241212_80000-RFI-0460/Vietur" TargetMode="External"/><Relationship Id="rId83" Type="http://schemas.openxmlformats.org/officeDocument/2006/relationships/hyperlink" Target="https://www.ltiasv.net/index.php/apps/files/files/53722?dir=/LTIA1%20SV/02.%20ICT%20Documents/03.RFI/5.10/20241210_70000-RFI-0457/JCJV" TargetMode="External"/><Relationship Id="rId179" Type="http://schemas.openxmlformats.org/officeDocument/2006/relationships/hyperlink" Target="https://vietur.sharepoint.com/:f:/r/sites/LTIA/Shared%20Documents/1%20LTIA_VIETUR/03.%20THE%20EMPLOYER%20-%20CDT_TV/3.10%20RFI_%20Yeu%20Cau%20Cung%20Cap%20Thong%20Tin/3.10.1%20Submitted%20_%20Trinh/0690_LTIA-5.10-VIETUR-70000-RFI-0690?csf=1&amp;web=1&amp;e=GqRi7H" TargetMode="External"/><Relationship Id="rId365" Type="http://schemas.openxmlformats.org/officeDocument/2006/relationships/hyperlink" Target="https://www.ltiasv.net/index.php/apps/files/files/135041?dir=/LTIA1%20SV/02.%20ICT%20Documents/03.RFI/5.11/20260514_72090-RFI-0010B/LTICT" TargetMode="External"/><Relationship Id="rId386" Type="http://schemas.openxmlformats.org/officeDocument/2006/relationships/hyperlink" Target="https://etcvn.sharepoint.com/:b:/r/sites/ACV.Prj.LTIA.ICT-ACV.Prj.LTIA.ICT-JCJV-PMU-VIETUR/Shared%20Documents/Prj.Outside/02.PMU-JCJV-ICT/01.Project%20Quality%20Management/01.RFI/RFI-0006-WDNE/202050910/04.%20Respone/LTIA-5.11-LTICT-72030-RFI-0006A-RFCS%20Respone.pdf?csf=1&amp;web=1&amp;e=2XznX5" TargetMode="External"/><Relationship Id="rId19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16_LTIA-5.10-VIETUR-80000-RFI-0716.pdf?csf=1&amp;web=1&amp;e=H3ewEB" TargetMode="External"/><Relationship Id="rId204" Type="http://schemas.openxmlformats.org/officeDocument/2006/relationships/hyperlink" Target="https://vietur.sharepoint.com/:f:/r/sites/LTIA/Shared%20Documents/1%20LTIA_VIETUR/03.%20THE%20EMPLOYER%20-%20CDT_TV/3.10%20RFI_%20Yeu%20Cau%20Cung%20Cap%20Thong%20Tin/3.10.1%20Submitted%20_%20Trinh/0762_LTIA-5.10-VIETUR-80000-RFI-0762?csf=1&amp;web=1&amp;e=xCKSha" TargetMode="External"/><Relationship Id="rId225" Type="http://schemas.openxmlformats.org/officeDocument/2006/relationships/hyperlink" Target="https://www.ltiasv.net/index.php/apps/files/files/131614?dir=/LTIA1%20SV/02.%20ICT%20Documents/03.RFI/5.10/20251028_80000-RFI-0790/Vietur" TargetMode="External"/><Relationship Id="rId246" Type="http://schemas.openxmlformats.org/officeDocument/2006/relationships/hyperlink" Target="https://vietur.sharepoint.com/:f:/r/sites/LTIA/Shared%20Documents/1%20LTIA_VIETUR/03.%20THE%20EMPLOYER%20-%20CDT_TV/3.10%20RFI_%20Yeu%20Cau%20Cung%20Cap%20Thong%20Tin/3.10.1%20Submitted%20_%20Trinh/0887_LTIA-5.10-VIETUR-72160-RFI-0887?csf=1&amp;web=1&amp;e=JVq4l4" TargetMode="External"/><Relationship Id="rId26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18_LTIA-5.10-PMU-70000-RBE-0818.pdf?csf=1&amp;web=1&amp;e=lRXKtZ" TargetMode="External"/><Relationship Id="rId288" Type="http://schemas.openxmlformats.org/officeDocument/2006/relationships/hyperlink" Target="https://www.ltiasv.net/index.php/apps/files/files/131472?dir=/LTIA1%20SV/02.%20ICT%20Documents/03.RFI/5.10/20250412_70000-RFI-0579/JCJV" TargetMode="External"/><Relationship Id="rId411" Type="http://schemas.openxmlformats.org/officeDocument/2006/relationships/hyperlink" Target="https://etcvn.sharepoint.com/:f:/r/sites/ACV.Prj.LTIA.ICT-ACV.Prj.LTIA.ICT-JCJV-PMU-VIETUR/Shared%20Documents/Prj.Outside/02.PMU-JCJV-ICT/01.Project%20Quality%20Management/01.RFI/RFI-0016-General?csf=1&amp;web=1&amp;e=WFrY0L" TargetMode="External"/><Relationship Id="rId432" Type="http://schemas.openxmlformats.org/officeDocument/2006/relationships/hyperlink" Target="https://etcvn.sharepoint.com/:b:/r/sites/ACV.Prj.LTIA.ICT-ACV.Prj.LTIA.ICT-JCJV-PMU-VIETUR/Shared%20Documents/Prj.Outside/02.PMU-JCJV-ICT/01.Project%20Quality%20Management/01.RFI/RFI-0026-Toll/04.%20Respone/LTIA-5.11-LTICT-71110-RFI-0026-JCJV.pdf?csf=1&amp;web=1&amp;e=ClieCQ" TargetMode="External"/><Relationship Id="rId453" Type="http://schemas.openxmlformats.org/officeDocument/2006/relationships/hyperlink" Target="https://etcvn.sharepoint.com/:f:/r/sites/ACV.Prj.LTIA.ICT-ACV.Prj.LTIA.ICT-JCJV-PMU-VIETUR/Shared%20Documents/Prj.Outside/02.PMU-JCJV-ICT/01.Project%20Quality%20Management/01.RFI/RFI-0025A-SMPK?d=wa8f5798a920a4133840901e874c1206f&amp;csf=1&amp;web=1&amp;e=to0YFU" TargetMode="External"/><Relationship Id="rId474" Type="http://schemas.openxmlformats.org/officeDocument/2006/relationships/hyperlink" Target="https://etcvn.sharepoint.com/:f:/r/sites/ACV.Prj.LTIA.ICT-ACV.Prj.LTIA.ICT-JCJV-PMU-VIETUR/Shared%20Documents/Prj.Outside/02.PMU-JCJV-ICT/01.Project%20Quality%20Management/01.RFI/RFI-0038-TOLL?d=w8e9cf61bd0ad4073b57ecad22bfe04b5&amp;csf=1&amp;web=1&amp;e=7l7Y1n" TargetMode="External"/><Relationship Id="rId106" Type="http://schemas.openxmlformats.org/officeDocument/2006/relationships/hyperlink" Target="https://www.ltiasv.net/index.php/apps/files/files/131494?dir=/LTIA1%20SV/02.%20ICT%20Documents/03.RFI/5.10/20250509_70000-RFI-0598/Vietur" TargetMode="External"/><Relationship Id="rId127"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35_LTIA-5.10-VIETUR-70000-RFI-0635.pdf?csf=1&amp;web=1&amp;e=Z577Jf" TargetMode="External"/><Relationship Id="rId313" Type="http://schemas.openxmlformats.org/officeDocument/2006/relationships/hyperlink" Target="https://www.ltiasv.net/index.php/apps/files/files/135103?dir=/LTIA1%20SV/02.%20ICT%20Documents/03.RFI/5.11/20250713_70000-RFI-0006/LTICT" TargetMode="External"/><Relationship Id="rId10" Type="http://schemas.openxmlformats.org/officeDocument/2006/relationships/hyperlink" Target="https://vietur.sharepoint.com/:f:/r/sites/LTIA/Shared%20Documents/1%20LTIA_VIETUR/03.%20THE%20EMPLOYER%20-%20CDT_TV/3.10%20RFI_%20Yeu%20Cau%20Cung%20Cap%20Thong%20Tin/3.10.1%20Submitted%20_%20Trinh/0394_LTIA-5.10-VIETUR-70000-RFI-0394?csf=1&amp;web=1&amp;e=f64nQp" TargetMode="External"/><Relationship Id="rId31" Type="http://schemas.openxmlformats.org/officeDocument/2006/relationships/hyperlink" Target="https://vietur.sharepoint.com/:f:/r/sites/LTIA/Shared%20Documents/1%20LTIA_VIETUR/03.%20THE%20EMPLOYER%20-%20CDT_TV/3.10%20RFI_%20Yeu%20Cau%20Cung%20Cap%20Thong%20Tin/3.10.1%20Submitted%20_%20Trinh/0471_LTIA-5.10-VIETUR-70000-RFI-0471?csf=1&amp;web=1&amp;e=oUoiCw" TargetMode="External"/><Relationship Id="rId52" Type="http://schemas.openxmlformats.org/officeDocument/2006/relationships/hyperlink" Target="https://www.ltiasv.net/index.php/apps/files/files/37111?dir=/LTIA1%20SV/02.%20ICT%20Documents/03.RFI/5.10/20240905_80000-RFI-0335/Vietur" TargetMode="External"/><Relationship Id="rId73" Type="http://schemas.openxmlformats.org/officeDocument/2006/relationships/hyperlink" Target="https://www.ltiasv.net/index.php/apps/files/files/37078?dir=/LTIA1%20SV/02.%20ICT%20Documents/03.RFI/5.10/20240618_80000-RFI-0246/JCJV" TargetMode="External"/><Relationship Id="rId94" Type="http://schemas.openxmlformats.org/officeDocument/2006/relationships/hyperlink" Target="https://vietur.sharepoint.com/:f:/r/sites/LTIA/Shared%20Documents/1%20LTIA_VIETUR/03.%20THE%20EMPLOYER%20-%20CDT_TV/3.10%20RFI_%20Yeu%20Cau%20Cung%20Cap%20Thong%20Tin/3.10.1%20Submitted%20_%20Trinh/0594_LTIA-5.10-VIETUR-70000-RFI-0594?csf=1&amp;web=1&amp;e=bu4oko" TargetMode="External"/><Relationship Id="rId14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68_LTIA-5.10-PMU-70000-RBE-0468.pdf?csf=1&amp;web=1&amp;e=aaeL0f" TargetMode="External"/><Relationship Id="rId16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77_LTIA-5.10-PMU-70000-RBE-0677.pdf?csf=1&amp;web=1&amp;e=eYYHtw" TargetMode="External"/><Relationship Id="rId334" Type="http://schemas.openxmlformats.org/officeDocument/2006/relationships/hyperlink" Target="https://www.ltiasv.net/index.php/apps/files/files/135078?dir=/LTIA1%20SV/02.%20ICT%20Documents/03.RFI/5.11/20251211_80000-RFI-0017/JCJV" TargetMode="External"/><Relationship Id="rId355" Type="http://schemas.openxmlformats.org/officeDocument/2006/relationships/hyperlink" Target="https://www.ltiasv.net/index.php/apps/files/files/135055?dir=/LTIA1%20SV/02.%20ICT%20Documents/03.RFI/5.11/20260319_72100-RFI-0027/LTICT" TargetMode="External"/><Relationship Id="rId376" Type="http://schemas.openxmlformats.org/officeDocument/2006/relationships/hyperlink" Target="https://etcvn.sharepoint.com/:b:/r/sites/ACV.Prj.LTIA.ICT-ACV.Prj.LTIA.ICT-JCJV-PMU-VIETUR/Shared%20Documents/Prj.Outside/02.PMU-JCJV-ICT/01.Project%20Quality%20Management/01.RFI/RFI-0002-General/03.%20Respone/LTIA-5.11-LONGTHANHICT-70000-RFI-0002-%20JCJV.pdf?csf=1&amp;web=1&amp;e=B6IXHk" TargetMode="External"/><Relationship Id="rId397" Type="http://schemas.openxmlformats.org/officeDocument/2006/relationships/hyperlink" Target="https://etcvn.sharepoint.com/:b:/r/sites/ACV.Prj.LTIA.ICT-ACV.Prj.LTIA.ICT-JCJV-PMU-VIETUR/Shared%20Documents/Prj.Outside/02.PMU-JCJV-ICT/01.Project%20Quality%20Management/01.RFI/RFI-0010-TOIP/20250910/04.%20Respone/LTIA-5.11-LTICT-72090-RFI-0010A-updated-RFCS%20Respone.pdf?csf=1&amp;web=1&amp;e=OMBeDi" TargetMode="External"/><Relationship Id="rId4" Type="http://schemas.openxmlformats.org/officeDocument/2006/relationships/hyperlink" Target="https://vietur.sharepoint.com/:f:/r/sites/LTIA/Shared%20Documents/1%20LTIA_VIETUR/03.%20THE%20EMPLOYER%20-%20CDT_TV/3.10%20RFI_%20Yeu%20Cau%20Cung%20Cap%20Thong%20Tin/3.10.1%20Submitted%20_%20Trinh/0246_LTIA-5.10-VIETUR-80000-RFI-0246?csf=1&amp;web=1&amp;e=dmJKZk" TargetMode="External"/><Relationship Id="rId18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43_LTIA-5.10-PMU-70000-RBE-0643.pdf?csf=1&amp;web=1&amp;e=pC84oZ" TargetMode="External"/><Relationship Id="rId21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90_LTIA-5.10-PMU-70000-RBE-0690.pdf?csf=1&amp;web=1&amp;e=m5sVed" TargetMode="External"/><Relationship Id="rId236" Type="http://schemas.openxmlformats.org/officeDocument/2006/relationships/hyperlink" Target="https://www.ltiasv.net/index.php/apps/files/files/131637?dir=/LTIA1%20SV/02.%20ICT%20Documents/03.RFI/5.10/20251112_54000-RFI-0778/Vietur" TargetMode="External"/><Relationship Id="rId257" Type="http://schemas.openxmlformats.org/officeDocument/2006/relationships/hyperlink" Target="https://vietur.sharepoint.com/:f:/r/sites/LTIA/Shared%20Documents/1%20LTIA_VIETUR/03.%20THE%20EMPLOYER%20-%20CDT_TV/3.10%20RFI_%20Yeu%20Cau%20Cung%20Cap%20Thong%20Tin/3.10.1%20Submitted%20_%20Trinh/0833_LTIA-5.10-VIETUR-80000-RFI-0833?csf=1&amp;web=1&amp;e=eUiwyC" TargetMode="External"/><Relationship Id="rId27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35_LTIA-5.10-PMU-80000-RBE-0335.pdf?csf=1&amp;web=1&amp;e=lO0vUN" TargetMode="External"/><Relationship Id="rId401" Type="http://schemas.openxmlformats.org/officeDocument/2006/relationships/hyperlink" Target="https://www.ltiasv.net/index.php/apps/files/files/135043?dir=/LTIA1%20SV/02.%20ICT%20Documents/03.RFI/5.11/20260514_72090-RFI-0010B/JCJV" TargetMode="External"/><Relationship Id="rId422" Type="http://schemas.openxmlformats.org/officeDocument/2006/relationships/hyperlink" Target="https://etcvn.sharepoint.com/:b:/r/sites/ACV.Prj.LTIA.ICT-ACV.Prj.LTIA.ICT-JCJV-PMU-VIETUR/Shared%20Documents/Prj.Outside/02.PMU-JCJV-ICT/01.Project%20Quality%20Management/01.RFI/RFI-0021-IPTV/20260116/04.%20Respone/LTIA-5.11-LTICT-72110-RFI-0021-JCJV.pdf?csf=1&amp;web=1&amp;e=ZDrIXn" TargetMode="External"/><Relationship Id="rId443" Type="http://schemas.openxmlformats.org/officeDocument/2006/relationships/hyperlink" Target="https://etcvn.sharepoint.com/:f:/r/sites/ACV.Prj.LTIA.ICT-ACV.Prj.LTIA.ICT-JCJV-PMU-VIETUR/Shared%20Documents/Prj.Outside/02.PMU-JCJV-ICT/01.Project%20Quality%20Management/01.RFI/RFI-0030-SCS?csf=1&amp;web=1&amp;e=ZfdcBf" TargetMode="External"/><Relationship Id="rId464" Type="http://schemas.openxmlformats.org/officeDocument/2006/relationships/hyperlink" Target="https://conincojsc-my.sharepoint.com/:b:/g/personal/vanphongjcjv_coninco_com_vn/IQCS8-cC3O2wQoEKNRqRmOewAcPNRFLPeZDQ8pNTr5lUOVo" TargetMode="External"/><Relationship Id="rId303" Type="http://schemas.openxmlformats.org/officeDocument/2006/relationships/hyperlink" Target="https://conincojsc-my.sharepoint.com/:b:/g/personal/vanphongjcjv_coninco_com_vn/IQC34NxMo0DLRINgk_7UcMPkAaFduYxGEa5Ah2szXBTHNI8" TargetMode="External"/><Relationship Id="rId4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68_LTIA-5.10-VIETUR-70000-RFI-0468.pdf?csf=1&amp;web=1&amp;e=OQbYrE" TargetMode="External"/><Relationship Id="rId84" Type="http://schemas.openxmlformats.org/officeDocument/2006/relationships/hyperlink" Target="https://www.ltiasv.net/index.php/apps/files/files/53721?dir=/LTIA1%20SV/02.%20ICT%20Documents/03.RFI/5.10/20241210_80000-RFI-0455/JCJV" TargetMode="External"/><Relationship Id="rId13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288_LTIA-5.10-PMU-70000-RBE-0288.pdf?csf=1&amp;web=1&amp;e=LGqxMC" TargetMode="External"/><Relationship Id="rId345" Type="http://schemas.openxmlformats.org/officeDocument/2006/relationships/hyperlink" Target="https://www.ltiasv.net/index.php/apps/files/files/135072?dir=/LTIA1%20SV/02.%20ICT%20Documents/03.RFI/5.11/20260307_72100-RFI-0023/LTICT" TargetMode="External"/><Relationship Id="rId387" Type="http://schemas.openxmlformats.org/officeDocument/2006/relationships/hyperlink" Target="https://etcvn.sharepoint.com/:b:/r/sites/ACV.Prj.LTIA.ICT-ACV.Prj.LTIA.ICT-JCJV-PMU-VIETUR/Shared%20Documents/Prj.Outside/02.PMU-JCJV-ICT/01.Project%20Quality%20Management/01.RFI/RFI-0006-WDNE/202050910/04.%20Respone/LTIA-5.11-LTICT-70000-RBE-0006A-0007-0008-0009-0010A_Updated.pdf?csf=1&amp;web=1&amp;e=ur6zvy" TargetMode="External"/><Relationship Id="rId191" Type="http://schemas.openxmlformats.org/officeDocument/2006/relationships/hyperlink" Target="https://vietur.sharepoint.com/:f:/r/sites/LTIA/Shared%20Documents/1%20LTIA_VIETUR/03.%20THE%20EMPLOYER%20-%20CDT_TV/3.10%20RFI_%20Yeu%20Cau%20Cung%20Cap%20Thong%20Tin/3.10.1%20Submitted%20_%20Trinh/0753_LTIA-5.10-VIETUR-54000-RFI-0753?csf=1&amp;web=1&amp;e=bdbMN6" TargetMode="External"/><Relationship Id="rId20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90_LTIA-5.10-VIETUR-70000-RFI-0690.pdf?csf=1&amp;web=1&amp;e=Y4KsR3" TargetMode="External"/><Relationship Id="rId247" Type="http://schemas.openxmlformats.org/officeDocument/2006/relationships/hyperlink" Target="https://www.ltiasv.net/index.php/apps/files/files/131657?dir=/LTIA1%20SV/02.%20ICT%20Documents/03.RFI/5.10/20260429_72160-RFI-0887/Vietur" TargetMode="External"/><Relationship Id="rId412" Type="http://schemas.openxmlformats.org/officeDocument/2006/relationships/hyperlink" Target="https://etcvn.sharepoint.com/:b:/r/sites/ACV.Prj.LTIA.ICT-ACV.Prj.LTIA.ICT-JCJV-PMU-VIETUR/Shared%20Documents/Prj.Outside/02.PMU-JCJV-ICT/01.Project%20Quality%20Management/01.RFI/RFI-0016-General/04.%20Respone/LTIA-5.11-LTICT-80000-RFI-0016-JCJV.pdf?csf=1&amp;web=1&amp;e=C72uop" TargetMode="External"/><Relationship Id="rId107" Type="http://schemas.openxmlformats.org/officeDocument/2006/relationships/hyperlink" Target="https://www.ltiasv.net/index.php/apps/files/files/131493?dir=/LTIA1%20SV/02.%20ICT%20Documents/03.RFI/5.10/20250509_70000-RFI-0598/JCJV" TargetMode="External"/><Relationship Id="rId28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579_LTIA-5.10-VIETUR-70000-RFI-0579.pdf?csf=1&amp;web=1&amp;e=GfVHq8" TargetMode="External"/><Relationship Id="rId454" Type="http://schemas.openxmlformats.org/officeDocument/2006/relationships/hyperlink" Target="https://etcvn.sharepoint.com/:f:/r/sites/ACV.Prj.LTIA.ICT-ACV.Prj.LTIA.ICT-JCJV-PMU-VIETUR/Shared%20Documents/Prj.Outside/02.PMU-JCJV-ICT/01.Project%20Quality%20Management/01.RFI/RFI-0017A?csf=1&amp;web=1&amp;e=IwXP3l" TargetMode="External"/><Relationship Id="rId1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60_LTIA-5.10-VIETUR-70000-RFI-0360.pdf?csf=1&amp;web=1&amp;e=Qo9o0K" TargetMode="External"/><Relationship Id="rId53" Type="http://schemas.openxmlformats.org/officeDocument/2006/relationships/hyperlink" Target="https://www.ltiasv.net/index.php/apps/files/files/37118?dir=/LTIA1%20SV/02.%20ICT%20Documents/03.RFI/5.10/20241001_70000-RFI-0360/Vietur" TargetMode="External"/><Relationship Id="rId14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91_LTIA-5.10-PMU-70000-RBE-0491.pdf?csf=1&amp;web=1&amp;e=vwwVxs" TargetMode="External"/><Relationship Id="rId314" Type="http://schemas.openxmlformats.org/officeDocument/2006/relationships/hyperlink" Target="https://www.ltiasv.net/index.php/apps/files/files/135098?dir=/LTIA1%20SV/02.%20ICT%20Documents/03.RFI/5.11/20250714_70000-RFI-0007/LTICT" TargetMode="External"/><Relationship Id="rId356" Type="http://schemas.openxmlformats.org/officeDocument/2006/relationships/hyperlink" Target="https://www.ltiasv.net/index.php/apps/files/files/135058?dir=/LTIA1%20SV/02.%20ICT%20Documents/03.RFI/5.11/20260319_72100-RFI-0027/JCJV" TargetMode="External"/><Relationship Id="rId398" Type="http://schemas.openxmlformats.org/officeDocument/2006/relationships/hyperlink" Target="https://etcvn.sharepoint.com/:b:/r/sites/ACV.Prj.LTIA.ICT-ACV.Prj.LTIA.ICT-JCJV-PMU-VIETUR/Shared%20Documents/Prj.Outside/02.PMU-JCJV-ICT/01.Project%20Quality%20Management/01.RFI/RFI-0010-TOIP/20250910/04.%20Respone/LTIA-5.11-LTICT-70000-RBE-0006A-0007-0008-0009-0010A_Updated.pdf?csf=1&amp;web=1&amp;e=kEnQGS" TargetMode="External"/><Relationship Id="rId9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69_LTIA-5.10-VIETUR-80000-RFI-0469.pdf?csf=1&amp;web=1&amp;e=kSRXBu" TargetMode="External"/><Relationship Id="rId16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594_LTIA-5.10-VIETUR-70000-RBE-0594.pdf?csf=1&amp;web=1&amp;e=KhTHWF" TargetMode="External"/><Relationship Id="rId216" Type="http://schemas.openxmlformats.org/officeDocument/2006/relationships/hyperlink" Target="https://vietur.sharepoint.com/:f:/r/sites/LTIA/Shared%20Documents/1%20LTIA_VIETUR/03.%20THE%20EMPLOYER%20-%20CDT_TV/3.10%20RFI_%20Yeu%20Cau%20Cung%20Cap%20Thong%20Tin/3.10.1%20Submitted%20_%20Trinh/0774_LTIA-5.10-VIETUR-70000-RFI-0774?csf=1&amp;web=1&amp;e=Yg4ttx" TargetMode="External"/><Relationship Id="rId423" Type="http://schemas.openxmlformats.org/officeDocument/2006/relationships/hyperlink" Target="https://etcvn.sharepoint.com/:f:/r/sites/ACV.Prj.LTIA.ICT-ACV.Prj.LTIA.ICT-JCJV-PMU-VIETUR/Shared%20Documents/Prj.Outside/02.PMU-JCJV-ICT/01.Project%20Quality%20Management/01.RFI/RFI-0022-Toll?csf=1&amp;web=1&amp;e=8f9vew" TargetMode="External"/><Relationship Id="rId258" Type="http://schemas.openxmlformats.org/officeDocument/2006/relationships/hyperlink" Target="https://www.ltiasv.net/index.php/apps/files/files/131663?dir=/LTIA1%20SV/02.%20ICT%20Documents/03.RFI/5.10/20260108_80000-RFI-0833/Vietur" TargetMode="External"/><Relationship Id="rId465" Type="http://schemas.openxmlformats.org/officeDocument/2006/relationships/hyperlink" Target="https://etcvn.sharepoint.com/:f:/r/sites/ACV.Prj.LTIA.ICT-ACV.Prj.LTIA.ICT-JCJV-PMU-VIETUR/Shared%20Documents/Prj.Outside/02.PMU-JCJV-ICT/01.Project%20Quality%20Management/01.RFI/RFI-0022A-Toll?d=wd6883a62e6ec4c15bbd0f4715475c357&amp;csf=1&amp;web=1&amp;e=jQqtgw" TargetMode="External"/><Relationship Id="rId22" Type="http://schemas.openxmlformats.org/officeDocument/2006/relationships/hyperlink" Target="https://vietur.sharepoint.com/:f:/r/sites/LTIA/Shared%20Documents/1%20LTIA_VIETUR/03.%20THE%20EMPLOYER%20-%20CDT_TV/3.10%20RFI_%20Yeu%20Cau%20Cung%20Cap%20Thong%20Tin/3.10.1%20Submitted%20_%20Trinh/0420_LTIA-5.10-VIETUR-80000-RFI-0420?csf=1&amp;web=1&amp;e=c60DRk" TargetMode="External"/><Relationship Id="rId64" Type="http://schemas.openxmlformats.org/officeDocument/2006/relationships/hyperlink" Target="https://www.ltiasv.net/index.php/apps/files/files/58455?dir=/LTIA1%20SV/02.%20ICT%20Documents/03.RFI/5.10/20241220_70000-RFI-0468/Vietur" TargetMode="External"/><Relationship Id="rId118" Type="http://schemas.openxmlformats.org/officeDocument/2006/relationships/hyperlink" Target="https://www.ltiasv.net/index.php/apps/files/files/131512?dir=/LTIA1%20SV/02.%20ICT%20Documents/03.RFI/5.10/20250611_70000-RFI-0634/JCJV" TargetMode="External"/><Relationship Id="rId325" Type="http://schemas.openxmlformats.org/officeDocument/2006/relationships/hyperlink" Target="https://www.ltiasv.net/index.php/apps/files/files/135088?dir=/LTIA1%20SV/02.%20ICT%20Documents/03.RFI/5.11/20250910_72090-RFI-0010A/JCJV" TargetMode="External"/><Relationship Id="rId367" Type="http://schemas.openxmlformats.org/officeDocument/2006/relationships/hyperlink" Target="https://www.ltiasv.net/index.php/apps/files/files/135048?dir=/LTIA1%20SV/02.%20ICT%20Documents/03.RFI/5.11/20260529_71110-RFI-0033/LTICT" TargetMode="External"/><Relationship Id="rId171" Type="http://schemas.openxmlformats.org/officeDocument/2006/relationships/hyperlink" Target="https://www.ltiasv.net/index.php/apps/files/files/131542?dir=/LTIA1%20SV/02.%20ICT%20Documents/03.RFI/5.10/20250611_80000-RFI-0632/Vietur" TargetMode="External"/><Relationship Id="rId227" Type="http://schemas.openxmlformats.org/officeDocument/2006/relationships/hyperlink" Target="https://vietur.sharepoint.com/:f:/r/sites/LTIA/Shared%20Documents/1%20LTIA_VIETUR/03.%20THE%20EMPLOYER%20-%20CDT_TV/3.10%20RFI_%20Yeu%20Cau%20Cung%20Cap%20Thong%20Tin/3.10.1%20Submitted%20_%20Trinh/0798_LTIA-5.10-VIETUR-70000-RFI-0798?csf=1&amp;web=1&amp;e=W53COn" TargetMode="External"/><Relationship Id="rId26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98_LTIA-5.10-PMU-70000-RBE-0798.pdf?csf=1&amp;web=1&amp;e=5Opyqa" TargetMode="External"/><Relationship Id="rId434" Type="http://schemas.openxmlformats.org/officeDocument/2006/relationships/hyperlink" Target="https://etcvn.sharepoint.com/:f:/r/sites/ACV.Prj.LTIA.ICT-ACV.Prj.LTIA.ICT-JCJV-PMU-VIETUR/Shared%20Documents/Prj.Outside/02.PMU-JCJV-ICT/01.Project%20Quality%20Management/01.RFI/RFI-0035/20260727?csf=1&amp;web=1&amp;e=kIVYE2" TargetMode="External"/><Relationship Id="rId476" Type="http://schemas.openxmlformats.org/officeDocument/2006/relationships/hyperlink" Target="https://etcvn.sharepoint.com/:f:/r/sites/ACV.Prj.LTIA.ICT-ACV.Prj.LTIA.ICT-JCJV-PMU-VIETUR/Shared%20Documents/Prj.Outside/02.PMU-JCJV-ICT/01.Project%20Quality%20Management/01.RFI/RFI-0039-SMPK?d=w720631d04f17455fae1e74809d478157&amp;csf=1&amp;web=1&amp;e=LlbK98" TargetMode="External"/><Relationship Id="rId33" Type="http://schemas.openxmlformats.org/officeDocument/2006/relationships/hyperlink" Target="https://vietur.sharepoint.com/:f:/r/sites/LTIA/Shared%20Documents/1%20LTIA_VIETUR/03.%20THE%20EMPLOYER%20-%20CDT_TV/3.10%20RFI_%20Yeu%20Cau%20Cung%20Cap%20Thong%20Tin/3.10.1%20Submitted%20_%20Trinh/0478_LTIA-5.10-VIETUR-70000-RFI-0478?csf=1&amp;web=1&amp;e=WrSiHH" TargetMode="External"/><Relationship Id="rId129" Type="http://schemas.openxmlformats.org/officeDocument/2006/relationships/hyperlink" Target="https://vietur.sharepoint.com/sites/LTIA/Shared%20Documents/Forms/AllItems.aspx?id=%2Fsites%2FLTIA%2FShared%20Documents%2F1%20LTIA%5FVIETUR%2F03%2E%20THE%20EMPLOYER%20%2D%20CDT%5FTV&amp;viewid=a6a11ba4%2D2d43%2D4e4e%2Daea7%2D413480b0448e&amp;noAuthRedirect=1" TargetMode="External"/><Relationship Id="rId280" Type="http://schemas.openxmlformats.org/officeDocument/2006/relationships/hyperlink" Target="https://www.ltiasv.net/index.php/apps/files/files/131679?dir=/LTIA1%20SV/02.%20ICT%20Documents/03.RFI/5.10/20260605_70000-RFI-0945/Vietur" TargetMode="External"/><Relationship Id="rId336" Type="http://schemas.openxmlformats.org/officeDocument/2006/relationships/hyperlink" Target="https://www.ltiasv.net/index.php/apps/files/files/135074?dir=/LTIA1%20SV/02.%20ICT%20Documents/03.RFI/5.11/20251212_72010-RFI-0013/LTICT" TargetMode="External"/><Relationship Id="rId75" Type="http://schemas.openxmlformats.org/officeDocument/2006/relationships/hyperlink" Target="https://www.ltiasv.net/index.php/apps/files/files/37114?dir=/LTIA1%20SV/02.%20ICT%20Documents/03.RFI/5.10/20240723_70000-RFI-0288/JCJV" TargetMode="External"/><Relationship Id="rId14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94_LTIA-5.10-PMU-70000-RBE-0394.pdf?csf=1&amp;web=1&amp;e=DcegFx" TargetMode="External"/><Relationship Id="rId182" Type="http://schemas.openxmlformats.org/officeDocument/2006/relationships/hyperlink" Target="https://www.ltiasv.net/index.php/apps/files/files/131561?dir=/LTIA1%20SV/02.%20ICT%20Documents/03.RFI/5.10/20250724_70000-RFI-0690/JCJV" TargetMode="External"/><Relationship Id="rId378" Type="http://schemas.openxmlformats.org/officeDocument/2006/relationships/hyperlink" Target="https://etcvn.sharepoint.com/:f:/r/sites/ACV.Prj.LTIA.ICT-ACV.Prj.LTIA.ICT-JCJV-PMU-VIETUR/Shared%20Documents/Prj.Outside/02.PMU-JCJV-ICT/01.Project%20Quality%20Management/01.RFI/RFI-0003-SCS?csf=1&amp;web=1&amp;e=CfDXhs" TargetMode="External"/><Relationship Id="rId403" Type="http://schemas.openxmlformats.org/officeDocument/2006/relationships/hyperlink" Target="https://etcvn.sharepoint.com/:b:/r/sites/ACV.Prj.LTIA.ICT-ACV.Prj.LTIA.ICT-JCJV-PMU-VIETUR/Shared%20Documents/Prj.Outside/02.PMU-JCJV-ICT/01.Project%20Quality%20Management/01.RFI/RFI-0011-PMR/20250909/04.%20Respone/LTIA-%205.11-LTICT-%20RFI-72100-RFI-0011-%20RFCS%20Respone.pdf?csf=1&amp;web=1&amp;e=Y2e5CN" TargetMode="External"/><Relationship Id="rId6" Type="http://schemas.openxmlformats.org/officeDocument/2006/relationships/hyperlink" Target="https://vietur.sharepoint.com/:f:/r/sites/LTIA/Shared%20Documents/1%20LTIA_VIETUR/03.%20THE%20EMPLOYER%20-%20CDT_TV/3.10%20RFI_%20Yeu%20Cau%20Cung%20Cap%20Thong%20Tin/3.10.1%20Submitted%20_%20Trinh/0288_LTIA-5.10-VIETUR-70000-RFI-0288?csf=1&amp;web=1&amp;e=9Ele1I" TargetMode="External"/><Relationship Id="rId238" Type="http://schemas.openxmlformats.org/officeDocument/2006/relationships/hyperlink" Target="https://www.ltiasv.net/index.php/apps/files/files/131642?dir=/LTIA1%20SV/02.%20ICT%20Documents/03.RFI/5.10/20251218_70000-RFI-0818/Vietur" TargetMode="External"/><Relationship Id="rId445" Type="http://schemas.openxmlformats.org/officeDocument/2006/relationships/hyperlink" Target="https://etcvn.sharepoint.com/:f:/r/sites/ACV.Prj.LTIA.ICT-ACV.Prj.LTIA.ICT-JCJV-PMU-VIETUR/Shared%20Documents/Prj.Outside/02.PMU-JCJV-ICT/01.Project%20Quality%20Management/01.RFI/RFI-0029-SCS?csf=1&amp;web=1&amp;e=nJ1Ljc" TargetMode="External"/><Relationship Id="rId29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598_LTIA-5.10-PMU-70000-RBE-0598.pdf?csf=1&amp;web=1&amp;e=rbDSZs" TargetMode="External"/><Relationship Id="rId305" Type="http://schemas.openxmlformats.org/officeDocument/2006/relationships/hyperlink" Target="https://www.ltiasv.net/index.php/apps/files/files/135106?dir=/LTIA1%20SV/02.%20ICT%20Documents/03.RFI/5.11/20250613_72040-RFI-0001/JCJV" TargetMode="External"/><Relationship Id="rId347" Type="http://schemas.openxmlformats.org/officeDocument/2006/relationships/hyperlink" Target="https://www.ltiasv.net/index.php/apps/files/files/135060?dir=/LTIA1%20SV/02.%20ICT%20Documents/03.RFI/5.11/20260312_72120-RFI-0024/LTICT" TargetMode="External"/><Relationship Id="rId44" Type="http://schemas.openxmlformats.org/officeDocument/2006/relationships/hyperlink" Target="https://vietur.sharepoint.com/:f:/r/sites/LTIA/Shared%20Documents/1%20LTIA_VIETUR/03.%20THE%20EMPLOYER%20-%20CDT_TV/3.10%20RFI_%20Yeu%20Cau%20Cung%20Cap%20Thong%20Tin/3.10.1%20Submitted%20_%20Trinh/0471A_LTIA-5.10-VIETUR-70000-RFI-0471A?csf=1&amp;web=1&amp;e=Nbh0xr" TargetMode="External"/><Relationship Id="rId86" Type="http://schemas.openxmlformats.org/officeDocument/2006/relationships/hyperlink" Target="https://www.ltiasv.net/index.php/apps/files/files/57274?dir=/LTIA1%20SV/02.%20ICT%20Documents/03.RFI/5.10/20241219_70000-RFI-0471/JCJV" TargetMode="External"/><Relationship Id="rId151" Type="http://schemas.openxmlformats.org/officeDocument/2006/relationships/hyperlink" Target="https://vietur.sharepoint.com/:b:/r/sites/LTIA/Shared%20Documents/4%20LTIA_LINK/4.2%20LTIA_LINK%20GUI%20NOI%20BO%20HST/2025/06_2025/20250630/LTIA-5.10-PMU-70000-RBE-0600.pdf?csf=1&amp;web=1&amp;e=awUvzC" TargetMode="External"/><Relationship Id="rId389" Type="http://schemas.openxmlformats.org/officeDocument/2006/relationships/hyperlink" Target="https://etcvn.sharepoint.com/:b:/r/sites/ACV.Prj.LTIA.ICT-ACV.Prj.LTIA.ICT-JCJV-PMU-VIETUR/Shared%20Documents/Prj.Outside/02.PMU-JCJV-ICT/01.Project%20Quality%20Management/01.RFI/RFI-0007-AGAC/03.%20Respone/LTIA-5.11-LTICT-70000-RBE-0006A-0007-0008-0009-0010A_Updated.pdf?csf=1&amp;web=1&amp;e=USK3Zq" TargetMode="External"/><Relationship Id="rId193" Type="http://schemas.openxmlformats.org/officeDocument/2006/relationships/hyperlink" Target="https://vietur.sharepoint.com/:f:/r/sites/LTIA/Shared%20Documents/1%20LTIA_VIETUR/03.%20THE%20EMPLOYER%20-%20CDT_TV/3.10%20RFI_%20Yeu%20Cau%20Cung%20Cap%20Thong%20Tin/3.10.1%20Submitted%20_%20Trinh/0756_LTIA-5.10-VIETUR-70000-RFI-0756?csf=1&amp;web=1&amp;e=PxwktM" TargetMode="External"/><Relationship Id="rId207" Type="http://schemas.openxmlformats.org/officeDocument/2006/relationships/hyperlink" Target="https://www.ltiasv.net/index.php/apps/files/files/131595?dir=/LTIA1%20SV/02.%20ICT%20Documents/03.RFI/5.10/20250930_80000-RFI-0762/JCJV" TargetMode="External"/><Relationship Id="rId24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06_LTIA-5.10-VIETUR-70000-RFI-0806.pdf?csf=1&amp;web=1&amp;e=sXBEwj" TargetMode="External"/><Relationship Id="rId414" Type="http://schemas.openxmlformats.org/officeDocument/2006/relationships/hyperlink" Target="https://etcvn.sharepoint.com/:f:/r/sites/ACV.Prj.LTIA.ICT-ACV.Prj.LTIA.ICT-JCJV-PMU-VIETUR/Shared%20Documents/Prj.Outside/02.PMU-JCJV-ICT/01.Project%20Quality%20Management/01.RFI/RFI-0017-General?csf=1&amp;web=1&amp;e=uXw6sK" TargetMode="External"/><Relationship Id="rId456" Type="http://schemas.openxmlformats.org/officeDocument/2006/relationships/hyperlink" Target="https://vietur.sharepoint.com/:f:/r/sites/LTIA/Shared%20Documents/4%20LTIA_LINK/4.1%20LTIA_LINK%20GUI%20CDT%20-%20TV/2026/07_2026/20260710/LTIA-5.10-VIETUR-70000-RFI-0973?csf=1&amp;web=1&amp;e=QfLVUi" TargetMode="External"/><Relationship Id="rId1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12_LTIA-5.10-VIETUR-70000-RFI-0312.pdf?csf=1&amp;web=1&amp;e=Q9MJSr" TargetMode="External"/><Relationship Id="rId109" Type="http://schemas.openxmlformats.org/officeDocument/2006/relationships/hyperlink" Target="https://www.ltiasv.net/index.php/apps/files/files/131508?dir=/LTIA1%20SV/02.%20ICT%20Documents/03.RFI/5.10/20250602_80000-RFI-0625/Vietur" TargetMode="External"/><Relationship Id="rId260" Type="http://schemas.openxmlformats.org/officeDocument/2006/relationships/hyperlink" Target="https://vietur.sharepoint.com/:f:/r/sites/LTIA/Shared%20Documents/1%20LTIA_VIETUR/03.%20THE%20EMPLOYER%20-%20CDT_TV/3.10%20RFI_%20Yeu%20Cau%20Cung%20Cap%20Thong%20Tin/3.10.1%20Submitted%20_%20Trinh/0867_LTIA-5.10-VIETUR-80000-RFI-0867?csf=1&amp;web=1&amp;e=4gce1X" TargetMode="External"/><Relationship Id="rId316" Type="http://schemas.openxmlformats.org/officeDocument/2006/relationships/hyperlink" Target="https://www.ltiasv.net/index.php/apps/files/files/135083?dir=/LTIA1%20SV/02.%20ICT%20Documents/03.RFI/5.11/20250714_72120-RFI-0008/LTICT" TargetMode="External"/><Relationship Id="rId55" Type="http://schemas.openxmlformats.org/officeDocument/2006/relationships/hyperlink" Target="https://www.ltiasv.net/index.php/apps/files/files/43368?dir=/LTIA1%20SV/02.%20ICT%20Documents/03.RFI/5.10/20241107_80000-RFI-0418/Vietur" TargetMode="External"/><Relationship Id="rId97" Type="http://schemas.openxmlformats.org/officeDocument/2006/relationships/hyperlink" Target="https://www.ltiasv.net/index.php/apps/files/files/131483?dir=/LTIA1%20SV/02.%20ICT%20Documents/03.RFI/5.10/20250426_70000-RFI-0594/JCJV" TargetMode="External"/><Relationship Id="rId120" Type="http://schemas.openxmlformats.org/officeDocument/2006/relationships/hyperlink" Target="https://www.ltiasv.net/index.php/apps/files/files/131518?dir=/LTIA1%20SV/02.%20ICT%20Documents/03.RFI/5.10/20250616_70000-RFI-0643/JCJV" TargetMode="External"/><Relationship Id="rId358" Type="http://schemas.openxmlformats.org/officeDocument/2006/relationships/hyperlink" Target="https://www.ltiasv.net/index.php/apps/files/files/135056?dir=/LTIA1%20SV/02.%20ICT%20Documents/03.RFI/5.11/20260323_72010-RFI-0029/JCJV" TargetMode="External"/><Relationship Id="rId16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63_LTIA-5.10-VIETUR-70000-RFI-0663.pdf?csf=1&amp;web=1&amp;e=Nl68fo" TargetMode="External"/><Relationship Id="rId218" Type="http://schemas.openxmlformats.org/officeDocument/2006/relationships/hyperlink" Target="https://www.ltiasv.net/index.php/apps/files/files/131605?dir=/LTIA1%20SV/02.%20ICT%20Documents/03.RFI/5.10/20251009_70000-RFI-0774/JCJV" TargetMode="External"/><Relationship Id="rId425" Type="http://schemas.openxmlformats.org/officeDocument/2006/relationships/hyperlink" Target="https://etcvn.sharepoint.com/:f:/r/sites/ACV.Prj.LTIA.ICT-ACV.Prj.LTIA.ICT-JCJV-PMU-VIETUR/Shared%20Documents/Prj.Outside/02.PMU-JCJV-ICT/01.Project%20Quality%20Management/01.RFI/RFI-0023-PMR?csf=1&amp;web=1&amp;e=ei7n8T" TargetMode="External"/><Relationship Id="rId467" Type="http://schemas.openxmlformats.org/officeDocument/2006/relationships/hyperlink" Target="https://conincojsc-my.sharepoint.com/:b:/g/personal/vanphongjcjv_coninco_com_vn/IQB5MmUqJ4wzQ7NyOGmY9u5kAUhWySoxELuPx1XFP78abJY" TargetMode="External"/><Relationship Id="rId27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63_LTIA-5.10-PMU-80000-RBE-0763.pdf?csf=1&amp;web=1&amp;e=QDji7W" TargetMode="External"/><Relationship Id="rId2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20_LTIA-5.10-VIETUR-80000-RFI-0420.pdf?csf=1&amp;web=1&amp;e=22Hn18" TargetMode="External"/><Relationship Id="rId66" Type="http://schemas.openxmlformats.org/officeDocument/2006/relationships/hyperlink" Target="https://www.ltiasv.net/index.php/apps/files/files/57489?dir=/LTIA1%20SV/02.%20ICT%20Documents/03.RFI/5.10/20241220_80000-RFI-0470/Vietur" TargetMode="External"/><Relationship Id="rId13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43_LTIA-5.10-VIETUR-70000-RFI-0643.pdf?csf=1&amp;web=1&amp;e=edOvQA" TargetMode="External"/><Relationship Id="rId327" Type="http://schemas.openxmlformats.org/officeDocument/2006/relationships/hyperlink" Target="https://www.ltiasv.net/index.php/apps/files/files/135086?dir=/LTIA1%20SV/02.%20ICT%20Documents/03.RFI/5.11/20251118_71110-RFI-0012/LTICT" TargetMode="External"/><Relationship Id="rId369" Type="http://schemas.openxmlformats.org/officeDocument/2006/relationships/hyperlink" Target="https://www.ltiasv.net/index.php/apps/files/files/135044?dir=/LTIA1%20SV/02.%20ICT%20Documents/03.RFI/5.11/20260612_80000-RFI-0017A/LTICT" TargetMode="External"/><Relationship Id="rId173" Type="http://schemas.openxmlformats.org/officeDocument/2006/relationships/hyperlink" Target="https://vietur.sharepoint.com/:f:/r/sites/LTIA/Shared%20Documents/1%20LTIA_VIETUR/03.%20THE%20EMPLOYER%20-%20CDT_TV/3.10%20RFI_%20Yeu%20Cau%20Cung%20Cap%20Thong%20Tin/3.10.1%20Submitted%20_%20Trinh/0645_LTIA-5.10-VIETUR-80000-RFI-0645?csf=1&amp;web=1&amp;e=TRyLAw" TargetMode="External"/><Relationship Id="rId229" Type="http://schemas.openxmlformats.org/officeDocument/2006/relationships/hyperlink" Target="https://vietur.sharepoint.com/:f:/r/sites/LTIA/Shared%20Documents/1%20LTIA_VIETUR/03.%20THE%20EMPLOYER%20-%20CDT_TV/3.10%20RFI_%20Yeu%20Cau%20Cung%20Cap%20Thong%20Tin/3.10.1%20Submitted%20_%20Trinh/0711_LTIA-5.10-VIETUR-70000-RFI-0711?csf=1&amp;web=1&amp;e=tKr0Sg" TargetMode="External"/><Relationship Id="rId380" Type="http://schemas.openxmlformats.org/officeDocument/2006/relationships/hyperlink" Target="https://etcvn.sharepoint.com/:f:/r/sites/ACV.Prj.LTIA.ICT-ACV.Prj.LTIA.ICT-JCJV-PMU-VIETUR/Shared%20Documents/Prj.Outside/02.PMU-JCJV-ICT/01.Project%20Quality%20Management/01.RFI/RFI-0004-Toll?csf=1&amp;web=1&amp;e=c8O4sj" TargetMode="External"/><Relationship Id="rId436" Type="http://schemas.openxmlformats.org/officeDocument/2006/relationships/hyperlink" Target="https://etcvn.sharepoint.com/:f:/r/sites/ACV.Prj.LTIA.ICT-ACV.Prj.LTIA.ICT-JCJV-PMU-VIETUR/Shared%20Documents/Prj.Outside/02.PMU-JCJV-ICT/01.Project%20Quality%20Management/01.RFI/RFI-0034?csf=1&amp;web=1&amp;e=Sf9ImM" TargetMode="External"/><Relationship Id="rId240" Type="http://schemas.openxmlformats.org/officeDocument/2006/relationships/hyperlink" Target="https://vietur.sharepoint.com/:f:/r/sites/LTIA/Shared%20Documents/1%20LTIA_VIETUR/03.%20THE%20EMPLOYER%20-%20CDT_TV/3.10%20RFI_%20Yeu%20Cau%20Cung%20Cap%20Thong%20Tin/3.10.1%20Submitted%20_%20Trinh/0849_LTIA-5.10-VIETUR-70000-RFI-0849?csf=1&amp;web=1&amp;e=RyWyGT" TargetMode="External"/><Relationship Id="rId3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7_LTIA-5.10-VIETUR-70000-RFI-0457.pdf?csf=1&amp;web=1&amp;e=lyJkPt" TargetMode="External"/><Relationship Id="rId77" Type="http://schemas.openxmlformats.org/officeDocument/2006/relationships/hyperlink" Target="https://www.ltiasv.net/index.php/apps/files/files/37110?dir=/LTIA1%20SV/02.%20ICT%20Documents/03.RFI/5.10/20240905_80000-RFI-0335/JCJV" TargetMode="External"/><Relationship Id="rId100" Type="http://schemas.openxmlformats.org/officeDocument/2006/relationships/hyperlink" Target="https://www.ltiasv.net/index.php/apps/files/files/131489?dir=/LTIA1%20SV/02.%20ICT%20Documents/03.RFI/5.10/20250508_70000-RFI-0600/Vietur" TargetMode="External"/><Relationship Id="rId282" Type="http://schemas.openxmlformats.org/officeDocument/2006/relationships/hyperlink" Target="https://www.ltiasv.net/index.php/apps/files/files/135107?dir=/LTIA1%20SV/02.%20ICT%20Documents/03.RFI/5.11/20250703_70000-RFI-0002/LTICT" TargetMode="External"/><Relationship Id="rId338" Type="http://schemas.openxmlformats.org/officeDocument/2006/relationships/hyperlink" Target="https://www.ltiasv.net/index.php/apps/files/files/135065?dir=/LTIA1%20SV/02.%20ICT%20Documents/03.RFI/5.11/20251214_72030-RFI-0019/LTICT" TargetMode="External"/><Relationship Id="rId8" Type="http://schemas.openxmlformats.org/officeDocument/2006/relationships/hyperlink" Target="https://vietur.sharepoint.com/:f:/r/sites/LTIA/Shared%20Documents/1%20LTIA_VIETUR/03.%20THE%20EMPLOYER%20-%20CDT_TV/3.10%20RFI_%20Yeu%20Cau%20Cung%20Cap%20Thong%20Tin/3.10.1%20Submitted%20_%20Trinh/0335_LTIA-5.10-VIETUR-80000-RFI-0335?csf=1&amp;web=1&amp;e=psWDGf" TargetMode="External"/><Relationship Id="rId14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20_LTIA-5.10-PMU-80000-RBE-0420.pdf?csf=1&amp;web=1&amp;e=uo4eAf" TargetMode="External"/><Relationship Id="rId184" Type="http://schemas.openxmlformats.org/officeDocument/2006/relationships/hyperlink" Target="https://www.ltiasv.net/index.php/apps/files/files/131570?dir=/LTIA1%20SV/02.%20ICT%20Documents/03.RFI/5.10/20250815_80000-RFI-0716/Vietur" TargetMode="External"/><Relationship Id="rId391" Type="http://schemas.openxmlformats.org/officeDocument/2006/relationships/hyperlink" Target="https://etcvn.sharepoint.com/:b:/r/sites/ACV.Prj.LTIA.ICT-ACV.Prj.LTIA.ICT-JCJV-PMU-VIETUR/Shared%20Documents/Prj.Outside/02.PMU-JCJV-ICT/01.Project%20Quality%20Management/01.RFI/RFI-0008-CCTV/04.%20Respone/LTIA-5.11-LTICT-70000-RBE-0006A-0007-0008-0009-0010A_Updated.pdf?csf=1&amp;web=1&amp;e=obsojd" TargetMode="External"/><Relationship Id="rId405" Type="http://schemas.openxmlformats.org/officeDocument/2006/relationships/hyperlink" Target="https://etcvn.sharepoint.com/:f:/r/sites/ACV.Prj.LTIA.ICT-ACV.Prj.LTIA.ICT-JCJV-PMU-VIETUR/Shared%20Documents/Prj.Outside/02.PMU-JCJV-ICT/01.Project%20Quality%20Management/01.RFI/RFI-0012-Toll?csf=1&amp;web=1&amp;e=lmqyUs" TargetMode="External"/><Relationship Id="rId447" Type="http://schemas.openxmlformats.org/officeDocument/2006/relationships/hyperlink" Target="https://etcvn.sharepoint.com/:b:/r/sites/ACV.Prj.LTIA.ICT-ACV.Prj.LTIA.ICT-JCJV-PMU-VIETUR/Shared%20Documents/Prj.Outside/02.PMU-JCJV-ICT/01.Project%20Quality%20Management/01.RFI/RFI-0029-SCS/03.%20Respone/LTIA-LTICT-5.11-RBE-RFI-0029-PMU.pdf?csf=1&amp;web=1&amp;e=NJGZse" TargetMode="External"/><Relationship Id="rId25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18_LTIA-5.10-VIETUR-70000-RFI-0818.pdf?csf=1&amp;web=1&amp;e=VVy20I" TargetMode="External"/><Relationship Id="rId46" Type="http://schemas.openxmlformats.org/officeDocument/2006/relationships/hyperlink" Target="https://www.ltiasv.net/index.php/apps/files/files/37081?dir=/LTIA1%20SV/02.%20ICT%20Documents/03.RFI/5.10/20240612_70000-RFI-0241/Vietur" TargetMode="External"/><Relationship Id="rId293" Type="http://schemas.openxmlformats.org/officeDocument/2006/relationships/hyperlink" Target="https://www.ltiasv.net/index.php/apps/files/files/131609?dir=/LTIA1%20SV/02.%20ICT%20Documents/03.RFI/5.10/20251009_72160-RFI-0771/Vietur" TargetMode="External"/><Relationship Id="rId307" Type="http://schemas.openxmlformats.org/officeDocument/2006/relationships/hyperlink" Target="https://www.ltiasv.net/index.php/apps/files/files/135099?dir=/LTIA1%20SV/02.%20ICT%20Documents/03.RFI/5.11/20250703_70000-RFI-0004/JCJV" TargetMode="External"/><Relationship Id="rId349" Type="http://schemas.openxmlformats.org/officeDocument/2006/relationships/hyperlink" Target="https://www.ltiasv.net/index.php/apps/files/files/135075?dir=/LTIA1%20SV/02.%20ICT%20Documents/03.RFI/5.11/20260317_71110-RFI-0026/LTICT" TargetMode="External"/><Relationship Id="rId88" Type="http://schemas.openxmlformats.org/officeDocument/2006/relationships/hyperlink" Target="https://www.ltiasv.net/index.php/apps/files/files/59891?dir=/LTIA1%20SV/02.%20ICT%20Documents/03.RFI/5.10/20241227_70000-RFI-0478/JCJV" TargetMode="External"/><Relationship Id="rId111" Type="http://schemas.openxmlformats.org/officeDocument/2006/relationships/hyperlink" Target="https://vietur.sharepoint.com/:f:/r/sites/LTIA/Shared%20Documents/1%20LTIA_VIETUR/03.%20THE%20EMPLOYER%20-%20CDT_TV/3.10%20RFI_%20Yeu%20Cau%20Cung%20Cap%20Thong%20Tin/3.10.1%20Submitted%20_%20Trinh/0634_LTIA-5.10-VIETUR-70000-RFI-0634?csf=1&amp;web=1&amp;e=5IrONH" TargetMode="External"/><Relationship Id="rId15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25_LTIA-5.10-PMU-80000-RBE-0625.pdf?csf=1&amp;web=1&amp;e=htlGf9" TargetMode="External"/><Relationship Id="rId195" Type="http://schemas.openxmlformats.org/officeDocument/2006/relationships/hyperlink" Target="https://www.ltiasv.net/index.php/apps/files/files/131575?dir=/LTIA1%20SV/02.%20ICT%20Documents/03.RFI/5.10/20250922_54000-RFI-0753/JCJV" TargetMode="External"/><Relationship Id="rId209" Type="http://schemas.openxmlformats.org/officeDocument/2006/relationships/hyperlink" Target="https://www.ltiasv.net/index.php/apps/files/files/131599?dir=/LTIA1%20SV/02.%20ICT%20Documents/03.RFI/5.10/20250930_80000-RFI-0763/Vietur" TargetMode="External"/><Relationship Id="rId360" Type="http://schemas.openxmlformats.org/officeDocument/2006/relationships/hyperlink" Target="https://www.ltiasv.net/index.php/apps/files/files/135053?dir=/LTIA1%20SV/02.%20ICT%20Documents/03.RFI/5.11/20260407_72010-RFI-0030/JCJV" TargetMode="External"/><Relationship Id="rId416" Type="http://schemas.openxmlformats.org/officeDocument/2006/relationships/hyperlink" Target="https://etcvn.sharepoint.com/:f:/r/sites/ACV.Prj.LTIA.ICT-ACV.Prj.LTIA.ICT-JCJV-PMU-VIETUR/Shared%20Documents/Prj.Outside/02.PMU-JCJV-ICT/01.Project%20Quality%20Management/01.RFI/RFI-0018-Smartparking/20251211?csf=1&amp;web=1&amp;e=6dYGfy" TargetMode="External"/><Relationship Id="rId22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63_LTIA-5.10-VIETUR-80000-RFI-0763.pdf?csf=1&amp;web=1&amp;e=6gGFLY" TargetMode="External"/><Relationship Id="rId458" Type="http://schemas.openxmlformats.org/officeDocument/2006/relationships/hyperlink" Target="https://conincojsc-my.sharepoint.com/:b:/g/personal/vanphongjcjv_coninco_com_vn/IQBE3BypXckzR4fWsJEIbZcoAdkFQG2InY35Nu9o_Maxk24" TargetMode="External"/><Relationship Id="rId1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73_LTIA-5.10-VIETUR-80000-RFI-0273.pdf?csf=1&amp;web=1&amp;e=wy1Xn1" TargetMode="External"/><Relationship Id="rId57" Type="http://schemas.openxmlformats.org/officeDocument/2006/relationships/hyperlink" Target="https://www.ltiasv.net/index.php/apps/files/files/50287?dir=/LTIA1%20SV/02.%20ICT%20Documents/03.RFI/5.10/20241127_70000-RFI-0437/Vietur" TargetMode="External"/><Relationship Id="rId262" Type="http://schemas.openxmlformats.org/officeDocument/2006/relationships/hyperlink" Target="https://www.ltiasv.net/index.php/apps/files/files/131675?dir=/LTIA1%20SV/02.%20ICT%20Documents/03.RFI/5.10/20260317_80000-RFI-0867/JCJV" TargetMode="External"/><Relationship Id="rId318" Type="http://schemas.openxmlformats.org/officeDocument/2006/relationships/hyperlink" Target="https://www.ltiasv.net/index.php/apps/files/files/135104?dir=/LTIA1%20SV/02.%20ICT%20Documents/03.RFI/5.11/20250810_80000-RFI-0009/LTICT" TargetMode="External"/><Relationship Id="rId99" Type="http://schemas.openxmlformats.org/officeDocument/2006/relationships/hyperlink" Target="https://vietur.sharepoint.com/:f:/r/sites/LTIA/Shared%20Documents/1%20LTIA_VIETUR/03.%20THE%20EMPLOYER%20-%20CDT_TV/3.10%20RFI_%20Yeu%20Cau%20Cung%20Cap%20Thong%20Tin/3.10.1%20Submitted%20_%20Trinh/0600_LTIA-5.10-VIETUR-70000-RFI-0600?csf=1&amp;web=1&amp;e=igsiIN" TargetMode="External"/><Relationship Id="rId12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05_LTIA-5.10-VIETUR-70000-RFI-0605.pdf?csf=1&amp;web=1&amp;e=2wvZnd" TargetMode="External"/><Relationship Id="rId16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65_LTIA-5.10-PMU-70000-RBE-0665.pdf?csf=1&amp;web=1&amp;e=llc41Q" TargetMode="External"/><Relationship Id="rId371" Type="http://schemas.openxmlformats.org/officeDocument/2006/relationships/hyperlink" Target="https://www.ltiasv.net/index.php/apps/files/files/135040?dir=/LTIA1%20SV/02.%20ICT%20Documents/03.RFI/5.11/20260623_72190-RFI-0018A/LTICT" TargetMode="External"/><Relationship Id="rId427" Type="http://schemas.openxmlformats.org/officeDocument/2006/relationships/hyperlink" Target="https://etcvn.sharepoint.com/:f:/r/sites/ACV.Prj.LTIA.ICT-ACV.Prj.LTIA.ICT-JCJV-PMU-VIETUR/Shared%20Documents/Prj.Outside/02.PMU-JCJV-ICT/01.Project%20Quality%20Management/01.RFI/RFI-0024-Toll?csf=1&amp;web=1&amp;e=NQYmfr" TargetMode="External"/><Relationship Id="rId469" Type="http://schemas.openxmlformats.org/officeDocument/2006/relationships/hyperlink" Target="https://conincojsc-my.sharepoint.com/:b:/g/personal/vanphongjcjv_coninco_com_vn/IQBDAbm-ZNjvToVyEIpjJh1xAfO7VqUSam1bJriVYTd92tY" TargetMode="External"/><Relationship Id="rId26" Type="http://schemas.openxmlformats.org/officeDocument/2006/relationships/hyperlink" Target="https://vietur.sharepoint.com/:f:/r/sites/LTIA/Shared%20Documents/1%20LTIA_VIETUR/03.%20THE%20EMPLOYER%20-%20CDT_TV/3.10%20RFI_%20Yeu%20Cau%20Cung%20Cap%20Thong%20Tin/3.10.1%20Submitted%20_%20Trinh/0456_LTIA-5.10-VIETUR-70000-RFI-0456?csf=1&amp;web=1&amp;e=Au11Hs" TargetMode="External"/><Relationship Id="rId231" Type="http://schemas.openxmlformats.org/officeDocument/2006/relationships/hyperlink" Target="https://www.ltiasv.net/index.php/apps/files/files/131625?dir=/LTIA1%20SV/02.%20ICT%20Documents/03.RFI/5.10/20251125_70000-RFI-0806/JCJV" TargetMode="External"/><Relationship Id="rId273" Type="http://schemas.openxmlformats.org/officeDocument/2006/relationships/hyperlink" Target="https://vietur.sharepoint.com/:f:/r/sites/LTIA/Shared%20Documents/1%20LTIA_VIETUR/03.%20THE%20EMPLOYER%20-%20CDT_TV/3.10%20RFI_%20Yeu%20Cau%20Cung%20Cap%20Thong%20Tin/3.10.1%20Submitted%20_%20Trinh/0114_LTIA-5.10-VIETUR-70000-RFI-0114?csf=1&amp;web=1&amp;e=6qvFoo" TargetMode="External"/><Relationship Id="rId329" Type="http://schemas.openxmlformats.org/officeDocument/2006/relationships/hyperlink" Target="https://www.ltiasv.net/index.php/apps/files/files/135087?dir=/LTIA1%20SV/02.%20ICT%20Documents/03.RFI/5.11/20251127_71110-RFI-0015/JCJV" TargetMode="External"/><Relationship Id="rId68" Type="http://schemas.openxmlformats.org/officeDocument/2006/relationships/hyperlink" Target="https://www.ltiasv.net/index.php/apps/files/files/64170?dir=/LTIA1%20SV/02.%20ICT%20Documents/03.RFI/5.10/20250106_70000-RFI-0491/Vietur" TargetMode="External"/><Relationship Id="rId13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132_LTIA-5.10-PMU-72000-RBE-0132.pdf?csf=1&amp;web=1&amp;e=M9Z7Fw" TargetMode="External"/><Relationship Id="rId175" Type="http://schemas.openxmlformats.org/officeDocument/2006/relationships/hyperlink" Target="https://www.ltiasv.net/index.php/apps/files/files/131551?dir=/LTIA1%20SV/02.%20ICT%20Documents/03.RFI/5.10/20250618_80000-RFI-0645/JCJV" TargetMode="External"/><Relationship Id="rId340" Type="http://schemas.openxmlformats.org/officeDocument/2006/relationships/hyperlink" Target="https://www.ltiasv.net/index.php/apps/files/files/135068?dir=/LTIA1%20SV/02.%20ICT%20Documents/03.RFI/5.11/20251216_72190-RFI-0020/LTICT" TargetMode="External"/><Relationship Id="rId20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45_LTIA-5.10-PMU-80000-RBE-0645.pdf?csf=1&amp;web=1&amp;e=BilUXk" TargetMode="External"/><Relationship Id="rId382" Type="http://schemas.openxmlformats.org/officeDocument/2006/relationships/hyperlink" Target="https://etcvn.sharepoint.com/:f:/r/sites/ACV.Prj.LTIA.ICT-ACV.Prj.LTIA.ICT-JCJV-PMU-VIETUR/Shared%20Documents/Prj.Outside/02.PMU-JCJV-ICT/01.Project%20Quality%20Management/01.RFI/RFI-0005-Smartparking?csf=1&amp;web=1&amp;e=KCybU1" TargetMode="External"/><Relationship Id="rId438" Type="http://schemas.openxmlformats.org/officeDocument/2006/relationships/hyperlink" Target="https://etcvn.sharepoint.com/:f:/r/sites/ACV.Prj.LTIA.ICT-ACV.Prj.LTIA.ICT-JCJV-PMU-VIETUR/Shared%20Documents/Prj.Outside/02.PMU-JCJV-ICT/01.Project%20Quality%20Management/01.RFI/RFI-0032-SCS?csf=1&amp;web=1&amp;e=l1kKFR" TargetMode="External"/><Relationship Id="rId242" Type="http://schemas.openxmlformats.org/officeDocument/2006/relationships/hyperlink" Target="https://www.ltiasv.net/index.php/apps/files/files/131648?dir=/LTIA1%20SV/02.%20ICT%20Documents/03.RFI/5.10/20260130_70000-RFI-0849/JCJV" TargetMode="External"/><Relationship Id="rId28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78_LTIA-5.10-PMU-70000-RBE-0478.pdf?csf=1&amp;web=1&amp;e=Qrhg2d" TargetMode="External"/><Relationship Id="rId37"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1_LTIA-5.10-VIETUR-70000-RFI-0471.pdf?csf=1&amp;web=1&amp;e=5Fco9r" TargetMode="External"/><Relationship Id="rId79" Type="http://schemas.openxmlformats.org/officeDocument/2006/relationships/hyperlink" Target="https://www.ltiasv.net/index.php/apps/files/files/41803?dir=/LTIA1%20SV/02.%20ICT%20Documents/03.RFI/5.10/20241028_70000-RFI-0394/JCJV" TargetMode="External"/><Relationship Id="rId102" Type="http://schemas.openxmlformats.org/officeDocument/2006/relationships/hyperlink" Target="https://vietur.sharepoint.com/:f:/r/sites/LTIA/Shared%20Documents/1%20LTIA_VIETUR/03.%20THE%20EMPLOYER%20-%20CDT_TV/3.10%20RFI_%20Yeu%20Cau%20Cung%20Cap%20Thong%20Tin/3.10.1%20Submitted%20_%20Trinh/0598_LTIA-5.10-VIETUR-70000-RFI-0598?csf=1&amp;web=1&amp;e=McWZhD" TargetMode="External"/><Relationship Id="rId14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7_LTIA-5.10-PMU-80000-RBE-0455;%20LTIA-5.10-PMU-70000-RBE-0456,%200457.pdf?csf=1&amp;web=1&amp;e=DzEOMG" TargetMode="External"/><Relationship Id="rId90" Type="http://schemas.openxmlformats.org/officeDocument/2006/relationships/hyperlink" Target="https://www.ltiasv.net/index.php/apps/files/files/58744?dir=/LTIA1%20SV/02.%20ICT%20Documents/03.RFI/5.10/20241224_80000-RFI-0469/JCJV" TargetMode="External"/><Relationship Id="rId186" Type="http://schemas.openxmlformats.org/officeDocument/2006/relationships/hyperlink" Target="https://www.ltiasv.net/index.php/apps/files/files/131565?dir=/LTIA1%20SV/02.%20ICT%20Documents/03.RFI/5.10/20250813_70000-RFI-0711/Vietur" TargetMode="External"/><Relationship Id="rId351" Type="http://schemas.openxmlformats.org/officeDocument/2006/relationships/hyperlink" Target="https://www.ltiasv.net/index.php/apps/files/files/135059?dir=/LTIA1%20SV/02.%20ICT%20Documents/03.RFI/5.11/20260317_72190-RFI-0025/LTICT" TargetMode="External"/><Relationship Id="rId393" Type="http://schemas.openxmlformats.org/officeDocument/2006/relationships/hyperlink" Target="https://etcvn.sharepoint.com/:b:/r/sites/ACV.Prj.LTIA.ICT-ACV.Prj.LTIA.ICT-JCJV-PMU-VIETUR/Shared%20Documents/Prj.Outside/02.PMU-JCJV-ICT/01.Project%20Quality%20Management/01.RFI/RFI-0009-General-80000/1.%2020250810/04.%20Respone/LTIA-5.11-LTICT-80000-RFI-0009%20-RFCS%20Respone.pdf?csf=1&amp;web=1&amp;e=jBH8HG" TargetMode="External"/><Relationship Id="rId407" Type="http://schemas.openxmlformats.org/officeDocument/2006/relationships/hyperlink" Target="https://etcvn.sharepoint.com/:f:/r/sites/ACV.Prj.LTIA.ICT-ACV.Prj.LTIA.ICT-JCJV-PMU-VIETUR/Shared%20Documents/Prj.Outside/02.PMU-JCJV-ICT/01.Project%20Quality%20Management/01.RFI/RFI-0014-Toll?csf=1&amp;web=1&amp;e=YCbEhj" TargetMode="External"/><Relationship Id="rId449" Type="http://schemas.openxmlformats.org/officeDocument/2006/relationships/hyperlink" Target="https://etcvn.sharepoint.com/:b:/r/sites/ACV.Prj.LTIA.ICT-ACV.Prj.LTIA.ICT-JCJV-PMU-VIETUR/Shared%20Documents/Prj.Outside/02.PMU-JCJV-ICT/01.Project%20Quality%20Management/01.RFI/RFI-0028-SCS/04.%20Respone/LTIA-5.11-LTICT-72010-RFI-0028-JCJV.pdf?csf=1&amp;web=1&amp;e=pnoIrG" TargetMode="External"/><Relationship Id="rId21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62_LTIA-5.10-VIETUR-80000-RFI-0762.pdf?csf=1&amp;web=1&amp;e=Ph0XB2" TargetMode="External"/><Relationship Id="rId25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82_LTIA-5.10-VIETUR-70000-RFI-0882.pdf?csf=1&amp;web=1&amp;e=w68Fxn" TargetMode="External"/><Relationship Id="rId295" Type="http://schemas.openxmlformats.org/officeDocument/2006/relationships/hyperlink" Target="https://vietur.sharepoint.com/:f:/r/sites/LTIA/Shared%20Documents/1%20LTIA_VIETUR/03.%20THE%20EMPLOYER%20-%20CDT_TV/3.10%20RFI_%20Yeu%20Cau%20Cung%20Cap%20Thong%20Tin/3.10.1%20Submitted%20_%20Trinh/0771_LTIA-5.10-VIETUR-72160-RFI-0771?csf=1&amp;web=1&amp;e=0lmrwg" TargetMode="External"/><Relationship Id="rId309" Type="http://schemas.openxmlformats.org/officeDocument/2006/relationships/hyperlink" Target="https://www.ltiasv.net/index.php/apps/files/files/135096?dir=/LTIA1%20SV/02.%20ICT%20Documents/03.RFI/5.11/20250703_72010-RFI-0003/LTICT" TargetMode="External"/><Relationship Id="rId460" Type="http://schemas.openxmlformats.org/officeDocument/2006/relationships/hyperlink" Target="https://vietur.sharepoint.com/:f:/r/sites/LTIA/Shared%20Documents/1%20LTIA_VIETUR/03.%20THE%20EMPLOYER%20-%20CDT_TV/3.10%20RFI_%20Yeu%20Cau%20Cung%20Cap%20Thong%20Tin/3.10.1%20Submitted%20_%20Trinh/0974_LTIA-5.10-VIETUR-72160-RFI-0974?csf=1&amp;web=1&amp;e=ZuiwzY" TargetMode="External"/><Relationship Id="rId48" Type="http://schemas.openxmlformats.org/officeDocument/2006/relationships/hyperlink" Target="https://www.ltiasv.net/index.php/apps/files/files/37079?dir=/LTIA1%20SV/02.%20ICT%20Documents/03.RFI/5.10/20240618_80000-RFI-0246/Vietur" TargetMode="External"/><Relationship Id="rId11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00_LTIA-5.10-VIETUR-70000-RFI-0600.pdf?csf=1&amp;web=1&amp;e=Zkb8tN" TargetMode="External"/><Relationship Id="rId320" Type="http://schemas.openxmlformats.org/officeDocument/2006/relationships/hyperlink" Target="https://www.ltiasv.net/index.php/apps/files/files/135090?dir=/LTIA1%20SV/02.%20ICT%20Documents/03.RFI/5.11/20250811_72090-RFI-0010/LTICT" TargetMode="External"/><Relationship Id="rId155" Type="http://schemas.openxmlformats.org/officeDocument/2006/relationships/hyperlink" Target="https://www.ltiasv.net/index.php/apps/files/files/131528?dir=/LTIA1%20SV/02.%20ICT%20Documents/03.RFI/5.10/20250701_70000-RFI-0663/JCJV" TargetMode="External"/><Relationship Id="rId197" Type="http://schemas.openxmlformats.org/officeDocument/2006/relationships/hyperlink" Target="https://www.ltiasv.net/index.php/apps/files/files/131580?dir=/LTIA1%20SV/02.%20ICT%20Documents/03.RFI/5.10/20250904_70000-RFI-0717/JCJV" TargetMode="External"/><Relationship Id="rId362" Type="http://schemas.openxmlformats.org/officeDocument/2006/relationships/hyperlink" Target="https://www.ltiasv.net/index.php/apps/files/files/135051?dir=/LTIA1%20SV/02.%20ICT%20Documents/03.RFI/5.11/20260409_71000-RFI-0031/JCJV" TargetMode="External"/><Relationship Id="rId418" Type="http://schemas.openxmlformats.org/officeDocument/2006/relationships/hyperlink" Target="https://etcvn.sharepoint.com/:b:/r/sites/ACV.Prj.LTIA.ICT-ACV.Prj.LTIA.ICT-JCJV-PMU-VIETUR/Shared%20Documents/Prj.Outside/02.PMU-JCJV-ICT/01.Project%20Quality%20Management/01.RFI/RFI-0019-AGAC/20260115/04.%20Respone/LTIA-5.11-72030-RFI-0019-JCJV.pdf?csf=1&amp;web=1&amp;e=Jop4Di" TargetMode="External"/><Relationship Id="rId22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74_LTIA-5.10-VIETUR-70000-RFI-0774.pdf?csf=1&amp;web=1&amp;e=tCEhsP" TargetMode="External"/><Relationship Id="rId26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82_LTIA-5.10-PMU-70000-RBE-0882.pdf?csf=1&amp;web=1&amp;e=aImQMo" TargetMode="External"/><Relationship Id="rId471" Type="http://schemas.openxmlformats.org/officeDocument/2006/relationships/hyperlink" Target="https://conincojsc-my.sharepoint.com/:b:/g/personal/vanphongjcjv_coninco_com_vn/IQAzjPQ3jmnXSpA-IkLo-o8SASgULtQ2qUf5zZioe6bxXcM" TargetMode="External"/><Relationship Id="rId17"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77_LTIA-5.10-VIETUR-72160-RFI-0277.pdf?csf=1&amp;web=1&amp;e=U1mgkM" TargetMode="External"/><Relationship Id="rId59" Type="http://schemas.openxmlformats.org/officeDocument/2006/relationships/hyperlink" Target="https://www.ltiasv.net/index.php/apps/files/files/53723?dir=/LTIA1%20SV/02.%20ICT%20Documents/03.RFI/5.10/20241210_70000-RFI-0457/Vietur" TargetMode="External"/><Relationship Id="rId124" Type="http://schemas.openxmlformats.org/officeDocument/2006/relationships/hyperlink" Target="https://www.ltiasv.net/index.php/apps/files/files/131522?dir=/LTIA1%20SV/02.%20ICT%20Documents/03.RFI/5.10/20250617_70000-RFI-0635/Vietur" TargetMode="External"/><Relationship Id="rId70" Type="http://schemas.openxmlformats.org/officeDocument/2006/relationships/hyperlink" Target="https://www.ltiasv.net/index.php/f/36068" TargetMode="External"/><Relationship Id="rId166" Type="http://schemas.openxmlformats.org/officeDocument/2006/relationships/hyperlink" Target="https://www.ltiasv.net/index.php/apps/files/files/131538?dir=/LTIA1%20SV/02.%20ICT%20Documents/03.RFI/5.10/20250716_70000-RFI-0677/Vietur" TargetMode="External"/><Relationship Id="rId331" Type="http://schemas.openxmlformats.org/officeDocument/2006/relationships/hyperlink" Target="https://www.ltiasv.net/index.php/apps/files/files/135081?dir=/LTIA1%20SV/02.%20ICT%20Documents/03.RFI/5.11/20251209_80000-RFI-0016/JCJV" TargetMode="External"/><Relationship Id="rId373" Type="http://schemas.openxmlformats.org/officeDocument/2006/relationships/hyperlink" Target="https://etcvn.sharepoint.com/:b:/r/sites/ACV.Prj.LTIA.ICT-ACV.Prj.LTIA.ICT-JCJV-PMU-VIETUR/Shared%20Documents/Prj.Outside/02.PMU-JCJV-ICT/01.Project%20Quality%20Management/01.RFI/RFI-0001/03.%20Respone/(Full%20response)%20LTIA-5.11-LONGTHANHICT-72040-RFI-0001.pdf?csf=1&amp;web=1&amp;e=7kjQvB" TargetMode="External"/><Relationship Id="rId429" Type="http://schemas.openxmlformats.org/officeDocument/2006/relationships/hyperlink" Target="https://etcvn.sharepoint.com/:f:/r/sites/ACV.Prj.LTIA.ICT-ACV.Prj.LTIA.ICT-JCJV-PMU-VIETUR/Shared%20Documents/Prj.Outside/02.PMU-JCJV-ICT/01.Project%20Quality%20Management/01.RFI/RFI-0025-SMK?csf=1&amp;web=1&amp;e=W90lkY" TargetMode="External"/><Relationship Id="rId1" Type="http://schemas.openxmlformats.org/officeDocument/2006/relationships/hyperlink" Target="https://vietur.sharepoint.com/:f:/r/sites/LTIA/Shared%20Documents/1%20LTIA_VIETUR/03.%20THE%20EMPLOYER%20-%20CDT_TV/3.10%20RFI_%20Yeu%20Cau%20Cung%20Cap%20Thong%20Tin/3.10.1%20Submitted%20_%20Trinh/0132_LTIA-5.10-VIETUR-72000-RFI-0132?csf=1&amp;web=1&amp;e=w6bNYw" TargetMode="External"/><Relationship Id="rId233" Type="http://schemas.openxmlformats.org/officeDocument/2006/relationships/hyperlink" Target="https://www.ltiasv.net/index.php/apps/files/files/131620?dir=/LTIA1%20SV/02.%20ICT%20Documents/03.RFI/5.10/20251114_70000-RFI-0798/JCJV" TargetMode="External"/><Relationship Id="rId440" Type="http://schemas.openxmlformats.org/officeDocument/2006/relationships/hyperlink" Target="https://etcvn.sharepoint.com/:f:/r/sites/ACV.Prj.LTIA.ICT-ACV.Prj.LTIA.ICT-JCJV-PMU-VIETUR/Shared%20Documents/Prj.Outside/02.PMU-JCJV-ICT/01.Project%20Quality%20Management/01.RFI/RFI-0031-PPS?csf=1&amp;web=1&amp;e=gMIqpC" TargetMode="External"/><Relationship Id="rId28" Type="http://schemas.openxmlformats.org/officeDocument/2006/relationships/hyperlink" Target="https://vietur.sharepoint.com/:f:/r/sites/LTIA/Shared%20Documents/1%20LTIA_VIETUR/03.%20THE%20EMPLOYER%20-%20CDT_TV/3.10%20RFI_%20Yeu%20Cau%20Cung%20Cap%20Thong%20Tin/3.10.1%20Submitted%20_%20Trinh/0455_LTIA-5.10-VIETUR-80000-RFI-0455?csf=1&amp;web=1&amp;e=a0UnhU" TargetMode="External"/><Relationship Id="rId27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114_LTIA-5.10-VIETUR-70000-RFI-0114.pdf?csf=1&amp;web=1&amp;e=YzhjTG" TargetMode="External"/><Relationship Id="rId300" Type="http://schemas.openxmlformats.org/officeDocument/2006/relationships/hyperlink" Target="https://www.ltiasv.net/index.php/apps/files/files/131658?dir=/LTIA1%20SV/02.%20ICT%20Documents/03.RFI/5.10/20260429_72160-RFI-0887/JCJV" TargetMode="External"/><Relationship Id="rId81" Type="http://schemas.openxmlformats.org/officeDocument/2006/relationships/hyperlink" Target="https://www.ltiasv.net/index.php/apps/files/files/43375?dir=/LTIA1%20SV/02.%20ICT%20Documents/03.RFI/5.10/20241107_80000-RFI-0420/JCJV" TargetMode="External"/><Relationship Id="rId13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277_LTIA-5.10-PMU-72160-RBE-0277.pdf?csf=1&amp;web=1&amp;e=anBbPT" TargetMode="External"/><Relationship Id="rId177" Type="http://schemas.openxmlformats.org/officeDocument/2006/relationships/hyperlink" Target="https://www.ltiasv.net/index.php/apps/files/files/131555?dir=/LTIA1%20SV/02.%20ICT%20Documents/03.RFI/5.10/20250717_70000-RFI-0684/Vietur" TargetMode="External"/><Relationship Id="rId342" Type="http://schemas.openxmlformats.org/officeDocument/2006/relationships/hyperlink" Target="https://www.ltiasv.net/index.php/apps/files/files/135063?dir=/LTIA1%20SV/02.%20ICT%20Documents/03.RFI/5.11/20260116_72110-RFI-0021/LTICT" TargetMode="External"/><Relationship Id="rId384" Type="http://schemas.openxmlformats.org/officeDocument/2006/relationships/hyperlink" Target="https://etcvn.sharepoint.com/:f:/r/sites/ACV.Prj.LTIA.ICT-ACV.Prj.LTIA.ICT-JCJV-PMU-VIETUR/Shared%20Documents/Prj.Outside/02.PMU-JCJV-ICT/01.Project%20Quality%20Management/01.RFI/RFI-0006-WDNE/20250714?csf=1&amp;web=1&amp;e=sKButD" TargetMode="External"/><Relationship Id="rId20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17_LTIA-5.10-VIETUR-70000-RFI-0717.pdf?csf=1&amp;web=1&amp;e=CVShHW" TargetMode="External"/><Relationship Id="rId244" Type="http://schemas.openxmlformats.org/officeDocument/2006/relationships/hyperlink" Target="https://www.ltiasv.net/index.php/apps/files/files/131652?dir=/LTIA1%20SV/02.%20ICT%20Documents/03.RFI/5.10/20260330_70000-RFI-0882/Vietur" TargetMode="External"/><Relationship Id="rId39" Type="http://schemas.openxmlformats.org/officeDocument/2006/relationships/hyperlink" Target="https://vietur.sharepoint.com/:f:/r/sites/LTIA/Shared%20Documents/1%20LTIA_VIETUR/03.%20THE%20EMPLOYER%20-%20CDT_TV/3.10%20RFI_%20Yeu%20Cau%20Cung%20Cap%20Thong%20Tin/3.10.1%20Submitted%20_%20Trinh/0469_LTIA-5.10-VIETUR-80000-RFI-0469?csf=1&amp;web=1&amp;e=YB9uXn" TargetMode="External"/><Relationship Id="rId286" Type="http://schemas.openxmlformats.org/officeDocument/2006/relationships/hyperlink" Target="https://vietur.sharepoint.com/:f:/r/sites/LTIA/Shared%20Documents/1%20LTIA_VIETUR/03.%20THE%20EMPLOYER%20-%20CDT_TV/3.10%20RFI_%20Yeu%20Cau%20Cung%20Cap%20Thong%20Tin/3.10.1%20Submitted%20_%20Trinh/0579_LTIA-5.10-VIETUR-70000-RFI-0579?csf=1&amp;web=1&amp;e=g0RXCk" TargetMode="External"/><Relationship Id="rId451" Type="http://schemas.openxmlformats.org/officeDocument/2006/relationships/hyperlink" Target="https://etcvn.sharepoint.com/:f:/r/sites/ACV.Prj.LTIA.ICT-ACV.Prj.LTIA.ICT-JCJV-PMU-VIETUR/Shared%20Documents/Prj.Outside/02.PMU-JCJV-ICT/01.Project%20Quality%20Management/01.RFI/RFI-0027-PMR?csf=1&amp;web=1&amp;e=0RLbPw" TargetMode="External"/><Relationship Id="rId50" Type="http://schemas.openxmlformats.org/officeDocument/2006/relationships/hyperlink" Target="https://www.ltiasv.net/index.php/apps/files/files/37115?dir=/LTIA1%20SV/02.%20ICT%20Documents/03.RFI/5.10/20240723_70000-RFI-0288/Vietur" TargetMode="External"/><Relationship Id="rId104" Type="http://schemas.openxmlformats.org/officeDocument/2006/relationships/hyperlink" Target="https://www.ltiasv.net/index.php/apps/files/files/131502?dir=/LTIA1%20SV/02.%20ICT%20Documents/03.RFI/5.10/20250515_70000-RFI-0605/Vietur" TargetMode="External"/><Relationship Id="rId14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9_LTIA-5.10-PMU-80000-RBE-0459.pdf?csf=1&amp;web=1&amp;e=5SZgNY" TargetMode="External"/><Relationship Id="rId18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32_LTIA-5.10-VIETUR-80000-RFI-0632.pdf?csf=1&amp;web=1&amp;e=SylA51" TargetMode="External"/><Relationship Id="rId311" Type="http://schemas.openxmlformats.org/officeDocument/2006/relationships/hyperlink" Target="https://www.ltiasv.net/index.php/apps/files/files/135094?dir=/LTIA1%20SV/02.%20ICT%20Documents/03.RFI/5.11/20250704_72190-RFI-0005/JCJV" TargetMode="External"/><Relationship Id="rId353" Type="http://schemas.openxmlformats.org/officeDocument/2006/relationships/hyperlink" Target="https://www.ltiasv.net/index.php/apps/files/files/135067?dir=/LTIA1%20SV/02.%20ICT%20Documents/03.RFI/5.11/20260319_72010-RFI-0028/LTICT" TargetMode="External"/><Relationship Id="rId395" Type="http://schemas.openxmlformats.org/officeDocument/2006/relationships/hyperlink" Target="https://etcvn.sharepoint.com/:f:/r/sites/ACV.Prj.LTIA.ICT-ACV.Prj.LTIA.ICT-JCJV-PMU-VIETUR/Shared%20Documents/Prj.Outside/02.PMU-JCJV-ICT/01.Project%20Quality%20Management/01.RFI/RFI-0010-TOIP/20250811?csf=1&amp;web=1&amp;e=NJ5cvK" TargetMode="External"/><Relationship Id="rId409" Type="http://schemas.openxmlformats.org/officeDocument/2006/relationships/hyperlink" Target="https://etcvn.sharepoint.com/:b:/r/sites/ACV.Prj.LTIA.ICT-ACV.Prj.LTIA.ICT-JCJV-PMU-VIETUR/Shared%20Documents/Prj.Outside/02.PMU-JCJV-ICT/01.Project%20Quality%20Management/01.RFI/RFI-0015-Toll/20260512/04.%20Respone/LTIA-5.11-LTICT-71110-RFI-0015-JCJV.pdf?csf=1&amp;web=1&amp;e=gEHv6P" TargetMode="External"/><Relationship Id="rId92" Type="http://schemas.openxmlformats.org/officeDocument/2006/relationships/hyperlink" Target="https://www.ltiasv.net/index.php/apps/files/files/131468?dir=/LTIA1%20SV/02.%20ICT%20Documents/03.RFI/5.10/20250228_70000-RFI-0471A/JCJV" TargetMode="External"/><Relationship Id="rId21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62_LTIA-5.10-PMU-80000-RBE-0762.pdf?csf=1&amp;web=1&amp;e=Iz75Wl" TargetMode="External"/><Relationship Id="rId420" Type="http://schemas.openxmlformats.org/officeDocument/2006/relationships/hyperlink" Target="https://etcvn.sharepoint.com/:f:/r/sites/ACV.Prj.LTIA.ICT-ACV.Prj.LTIA.ICT-JCJV-PMU-VIETUR/Shared%20Documents/Prj.Outside/02.PMU-JCJV-ICT/01.Project%20Quality%20Management/01.RFI/RFI-0020A?csf=1&amp;web=1&amp;e=AsfkOY" TargetMode="External"/><Relationship Id="rId255" Type="http://schemas.openxmlformats.org/officeDocument/2006/relationships/hyperlink" Target="https://vietur.sharepoint.com/:f:/r/sites/LTIA/Shared%20Documents/1%20LTIA_VIETUR/03.%20THE%20EMPLOYER%20-%20CDT_TV/3.10%20RFI_%20Yeu%20Cau%20Cung%20Cap%20Thong%20Tin/3.10.1%20Submitted%20_%20Trinh/0790_LTIA-5.10-VIETUR-80000-RFI-0790?csf=1&amp;web=1&amp;e=cayr4W" TargetMode="External"/><Relationship Id="rId29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71_LTIA-5.10-PMU-72160-RBE-0771.pdf?csf=1&amp;web=1&amp;e=D7EcqQ" TargetMode="External"/><Relationship Id="rId462" Type="http://schemas.openxmlformats.org/officeDocument/2006/relationships/hyperlink" Target="https://conincojsc-my.sharepoint.com/:b:/g/personal/vanphongjcjv_coninco_com_vn/IQBlAaFZ-h-pTZxf4kgRCdeeASiCEvatf7hiLm8xcrVq_G4" TargetMode="External"/><Relationship Id="rId11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598_LTIA-5.10-VIETUR-70000-RFI-0598.pdf?csf=1&amp;web=1&amp;e=gcVX1o" TargetMode="External"/><Relationship Id="rId157" Type="http://schemas.openxmlformats.org/officeDocument/2006/relationships/hyperlink" Target="https://vietur.sharepoint.com/:f:/r/sites/LTIA/Shared%20Documents/1%20LTIA_VIETUR/03.%20THE%20EMPLOYER%20-%20CDT_TV/3.10%20RFI_%20Yeu%20Cau%20Cung%20Cap%20Thong%20Tin/3.10.1%20Submitted%20_%20Trinh/0665_LTIA-5.10-VIETUR-70000-RFI-0665?csf=1&amp;web=1&amp;e=ndsZE7" TargetMode="External"/><Relationship Id="rId322" Type="http://schemas.openxmlformats.org/officeDocument/2006/relationships/hyperlink" Target="https://www.ltiasv.net/index.php/apps/files/files/135091?dir=/LTIA1%20SV/02.%20ICT%20Documents/03.RFI/5.11/20250909_72100-RFI-0011/JCJV" TargetMode="External"/><Relationship Id="rId364" Type="http://schemas.openxmlformats.org/officeDocument/2006/relationships/hyperlink" Target="https://www.ltiasv.net/index.php/apps/files/files/135047?dir=/LTIA1%20SV/02.%20ICT%20Documents/03.RFI/5.11/20260512_72010-RFI-0032/JCJV" TargetMode="External"/><Relationship Id="rId61" Type="http://schemas.openxmlformats.org/officeDocument/2006/relationships/hyperlink" Target="https://www.ltiasv.net/index.php/apps/files/files/54380?dir=/LTIA1%20SV/02.%20ICT%20Documents/03.RFI/5.10/20241212_80000-RFI-0459/Vietur" TargetMode="External"/><Relationship Id="rId199" Type="http://schemas.openxmlformats.org/officeDocument/2006/relationships/hyperlink" Target="https://www.ltiasv.net/index.php/apps/files/files/131586?dir=/LTIA1%20SV/02.%20ICT%20Documents/03.RFI/5.10/20250917_70000-RFI-0756/JCJV" TargetMode="External"/><Relationship Id="rId1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132_LTIA-5.10-VIETUR-72000-RFI-0132.pdf?csf=1&amp;web=1&amp;e=IxNieF" TargetMode="External"/><Relationship Id="rId22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84_LTIA-5.10-VIETUR-70000-RFI-0684.pdf?csf=1&amp;web=1&amp;e=5DTfeB" TargetMode="External"/><Relationship Id="rId26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33_LTIA-5.10-PMU-80000-RBE-0833.pdf?csf=1&amp;web=1&amp;e=lrdHxz" TargetMode="External"/><Relationship Id="rId431" Type="http://schemas.openxmlformats.org/officeDocument/2006/relationships/hyperlink" Target="https://etcvn.sharepoint.com/:f:/r/sites/ACV.Prj.LTIA.ICT-ACV.Prj.LTIA.ICT-JCJV-PMU-VIETUR/Shared%20Documents/Prj.Outside/02.PMU-JCJV-ICT/01.Project%20Quality%20Management/01.RFI/RFI-0026-Toll?csf=1&amp;web=1&amp;e=i3G5CU" TargetMode="External"/><Relationship Id="rId473" Type="http://schemas.openxmlformats.org/officeDocument/2006/relationships/hyperlink" Target="https://conincojsc-my.sharepoint.com/:b:/g/personal/vanphongjcjv_coninco_com_vn/IQDuGTdY4OjCS4re7TBOAEOSAZ3UH4HEAQ4-SD_7oNyZPFQ" TargetMode="External"/><Relationship Id="rId30" Type="http://schemas.openxmlformats.org/officeDocument/2006/relationships/hyperlink" Target="https://vietur.sharepoint.com/:f:/r/sites/LTIA/Shared%20Documents/1%20LTIA_VIETUR/03.%20THE%20EMPLOYER%20-%20CDT_TV/3.10%20RFI_%20Yeu%20Cau%20Cung%20Cap%20Thong%20Tin/3.10.1%20Submitted%20_%20Trinh/0460_LTIA-5.10-VIETUR-80000-RFI-0460?csf=1&amp;web=1&amp;e=VB1GEh" TargetMode="External"/><Relationship Id="rId12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34_LTIA-5.10-VIETUR-70000-RFI-0634.pdf?csf=1&amp;web=1&amp;e=8A0bZ4" TargetMode="External"/><Relationship Id="rId16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77_LTIA-5.10-VIETUR-70000-RFI-0677.pdf?csf=1&amp;web=1&amp;e=98uNDh" TargetMode="External"/><Relationship Id="rId333" Type="http://schemas.openxmlformats.org/officeDocument/2006/relationships/hyperlink" Target="https://www.ltiasv.net/index.php/apps/files/files/135084?dir=/LTIA1%20SV/02.%20ICT%20Documents/03.RFI/5.11/20251211_71110-RFI-0018/JCJ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CDAB-378C-47DB-9F45-08EE3BFB6E8B}">
  <dimension ref="A1:AI167"/>
  <sheetViews>
    <sheetView zoomScale="85" zoomScaleNormal="85" zoomScaleSheetLayoutView="115" workbookViewId="0">
      <pane xSplit="6" ySplit="6" topLeftCell="G129" activePane="bottomRight" state="frozen"/>
      <selection pane="topRight" activeCell="D1" sqref="D1"/>
      <selection pane="bottomLeft" activeCell="A7" sqref="A7"/>
      <selection pane="bottomRight" activeCell="G135" sqref="G135"/>
    </sheetView>
  </sheetViews>
  <sheetFormatPr defaultColWidth="9.140625" defaultRowHeight="15.75"/>
  <cols>
    <col min="1" max="1" width="6.7109375" style="1" customWidth="1"/>
    <col min="2" max="2" width="10.42578125" style="1" bestFit="1" customWidth="1"/>
    <col min="3" max="3" width="10" style="140" customWidth="1"/>
    <col min="4" max="4" width="12.7109375" style="140" customWidth="1"/>
    <col min="5" max="5" width="24.42578125" style="1" customWidth="1"/>
    <col min="6" max="6" width="16.42578125" style="172" customWidth="1"/>
    <col min="7" max="8" width="35.42578125" style="1" customWidth="1"/>
    <col min="9" max="10" width="16.42578125" style="140" customWidth="1"/>
    <col min="11" max="11" width="16.42578125" style="1" customWidth="1"/>
    <col min="12" max="12" width="16.42578125" style="140" customWidth="1"/>
    <col min="13" max="17" width="13.42578125" style="13" customWidth="1"/>
    <col min="18" max="18" width="13.42578125" style="172" customWidth="1"/>
    <col min="19" max="20" width="16.42578125" style="13" customWidth="1"/>
    <col min="21" max="21" width="16.42578125" style="141" customWidth="1"/>
    <col min="22" max="22" width="16.42578125" style="6" customWidth="1"/>
    <col min="23" max="23" width="16.42578125" style="172" customWidth="1"/>
    <col min="24" max="28" width="16.42578125" style="6" customWidth="1"/>
    <col min="29" max="29" width="18.42578125" style="6" customWidth="1"/>
    <col min="30" max="30" width="16.42578125" style="6" customWidth="1"/>
    <col min="31" max="31" width="40.140625" style="160" customWidth="1"/>
    <col min="32" max="32" width="9.140625" style="1"/>
    <col min="33" max="33" width="18.42578125" style="219" customWidth="1"/>
    <col min="34" max="35" width="18.42578125" style="6" customWidth="1"/>
    <col min="36" max="16384" width="9.140625" style="1"/>
  </cols>
  <sheetData>
    <row r="1" spans="1:35" s="6" customFormat="1" ht="32.25" thickBot="1">
      <c r="A1" s="15" t="s">
        <v>50</v>
      </c>
      <c r="B1" s="15"/>
      <c r="C1" s="161"/>
      <c r="D1" s="161"/>
      <c r="E1" s="15"/>
      <c r="F1" s="170"/>
      <c r="G1" s="8"/>
      <c r="H1" s="14"/>
      <c r="I1" s="133" t="s">
        <v>62</v>
      </c>
      <c r="J1" s="176">
        <f ca="1">TODAY()</f>
        <v>46309</v>
      </c>
      <c r="K1" s="131"/>
      <c r="L1" s="197"/>
      <c r="M1" s="12"/>
      <c r="N1" s="12"/>
      <c r="O1" s="12"/>
      <c r="P1" s="12"/>
      <c r="Q1" s="12"/>
      <c r="R1" s="172"/>
      <c r="S1" s="12"/>
      <c r="T1" s="12"/>
      <c r="U1" s="141"/>
      <c r="V1" s="8"/>
      <c r="W1" s="170"/>
      <c r="X1" s="8"/>
      <c r="Y1" s="8"/>
      <c r="Z1" s="8"/>
      <c r="AA1" s="8"/>
      <c r="AB1" s="8"/>
      <c r="AC1" s="8"/>
      <c r="AD1" s="8"/>
      <c r="AE1" s="157"/>
      <c r="AG1" s="157"/>
      <c r="AH1" s="8"/>
      <c r="AI1" s="8"/>
    </row>
    <row r="2" spans="1:35" ht="19.5">
      <c r="A2" s="4" t="s">
        <v>135</v>
      </c>
      <c r="B2" s="4"/>
      <c r="C2" s="134"/>
      <c r="D2" s="134"/>
      <c r="E2" s="4"/>
      <c r="F2" s="171"/>
      <c r="G2" s="4"/>
      <c r="H2" s="4"/>
      <c r="I2" s="134"/>
      <c r="J2" s="134"/>
      <c r="K2" s="4"/>
      <c r="L2" s="134"/>
      <c r="M2" s="12"/>
      <c r="N2" s="12"/>
      <c r="O2" s="12"/>
      <c r="P2" s="12"/>
      <c r="Q2" s="12"/>
      <c r="S2" s="12"/>
      <c r="T2" s="12"/>
      <c r="V2" s="7"/>
      <c r="W2" s="171"/>
      <c r="X2" s="7"/>
      <c r="Y2" s="7"/>
      <c r="Z2" s="7"/>
      <c r="AA2" s="7"/>
      <c r="AB2" s="7"/>
      <c r="AC2" s="7"/>
      <c r="AD2" s="7"/>
      <c r="AE2" s="158"/>
      <c r="AG2" s="218"/>
      <c r="AH2" s="7"/>
      <c r="AI2" s="7"/>
    </row>
    <row r="3" spans="1:35" ht="19.5" thickBot="1">
      <c r="A3" s="3"/>
      <c r="B3" s="3"/>
      <c r="C3" s="162"/>
      <c r="D3" s="162"/>
      <c r="E3" s="3"/>
      <c r="G3" s="2"/>
      <c r="H3" s="2"/>
      <c r="I3" s="135"/>
      <c r="J3" s="135"/>
      <c r="K3" s="2"/>
      <c r="L3" s="135"/>
      <c r="M3" s="10"/>
      <c r="N3" s="10"/>
      <c r="O3" s="10"/>
      <c r="P3" s="10"/>
      <c r="Q3" s="10"/>
      <c r="R3" s="179"/>
      <c r="S3" s="10"/>
      <c r="T3" s="10"/>
      <c r="U3" s="185"/>
      <c r="AE3" s="159"/>
    </row>
    <row r="4" spans="1:35" s="5" customFormat="1" ht="36" customHeight="1" thickBot="1">
      <c r="A4" s="350" t="s">
        <v>0</v>
      </c>
      <c r="B4" s="406" t="s">
        <v>515</v>
      </c>
      <c r="C4" s="359" t="s">
        <v>45</v>
      </c>
      <c r="D4" s="352" t="s">
        <v>95</v>
      </c>
      <c r="E4" s="348" t="s">
        <v>46</v>
      </c>
      <c r="F4" s="357" t="s">
        <v>47</v>
      </c>
      <c r="G4" s="348" t="s">
        <v>4</v>
      </c>
      <c r="H4" s="355" t="s">
        <v>5</v>
      </c>
      <c r="I4" s="352" t="s">
        <v>48</v>
      </c>
      <c r="J4" s="352" t="s">
        <v>49</v>
      </c>
      <c r="K4" s="348" t="s">
        <v>78</v>
      </c>
      <c r="L4" s="352" t="s">
        <v>80</v>
      </c>
      <c r="M4" s="363" t="s">
        <v>53</v>
      </c>
      <c r="N4" s="364"/>
      <c r="O4" s="363" t="s">
        <v>55</v>
      </c>
      <c r="P4" s="364"/>
      <c r="Q4" s="362" t="s">
        <v>72</v>
      </c>
      <c r="R4" s="364"/>
      <c r="S4" s="363" t="s">
        <v>53</v>
      </c>
      <c r="T4" s="363"/>
      <c r="U4" s="364"/>
      <c r="V4" s="362" t="s">
        <v>55</v>
      </c>
      <c r="W4" s="363"/>
      <c r="X4" s="364"/>
      <c r="Y4" s="415" t="s">
        <v>72</v>
      </c>
      <c r="Z4" s="416"/>
      <c r="AA4" s="412" t="s">
        <v>112</v>
      </c>
      <c r="AB4" s="413"/>
      <c r="AC4" s="413"/>
      <c r="AD4" s="414"/>
      <c r="AE4" s="348" t="s">
        <v>79</v>
      </c>
      <c r="AG4" s="236"/>
    </row>
    <row r="5" spans="1:35" ht="78.75">
      <c r="A5" s="351"/>
      <c r="B5" s="407"/>
      <c r="C5" s="360"/>
      <c r="D5" s="353"/>
      <c r="E5" s="354"/>
      <c r="F5" s="358"/>
      <c r="G5" s="354"/>
      <c r="H5" s="356"/>
      <c r="I5" s="353"/>
      <c r="J5" s="353"/>
      <c r="K5" s="354"/>
      <c r="L5" s="353"/>
      <c r="M5" s="79" t="s">
        <v>52</v>
      </c>
      <c r="N5" s="83" t="s">
        <v>54</v>
      </c>
      <c r="O5" s="82" t="s">
        <v>52</v>
      </c>
      <c r="P5" s="81" t="s">
        <v>54</v>
      </c>
      <c r="Q5" s="82" t="s">
        <v>52</v>
      </c>
      <c r="R5" s="180" t="s">
        <v>73</v>
      </c>
      <c r="S5" s="79" t="s">
        <v>56</v>
      </c>
      <c r="T5" s="89" t="s">
        <v>57</v>
      </c>
      <c r="U5" s="186" t="s">
        <v>58</v>
      </c>
      <c r="V5" s="87" t="s">
        <v>59</v>
      </c>
      <c r="W5" s="190" t="s">
        <v>60</v>
      </c>
      <c r="X5" s="81" t="s">
        <v>61</v>
      </c>
      <c r="Y5" s="226" t="s">
        <v>113</v>
      </c>
      <c r="Z5" s="234" t="s">
        <v>114</v>
      </c>
      <c r="AA5" s="259" t="s">
        <v>115</v>
      </c>
      <c r="AB5" s="334" t="s">
        <v>116</v>
      </c>
      <c r="AC5" s="335" t="s">
        <v>117</v>
      </c>
      <c r="AD5" s="336" t="s">
        <v>118</v>
      </c>
      <c r="AE5" s="361"/>
      <c r="AG5" s="348" t="s">
        <v>119</v>
      </c>
      <c r="AH5" s="348" t="s">
        <v>120</v>
      </c>
      <c r="AI5" s="348" t="s">
        <v>121</v>
      </c>
    </row>
    <row r="6" spans="1:35" ht="16.5" thickBot="1">
      <c r="A6" s="94"/>
      <c r="B6" s="94"/>
      <c r="C6" s="163"/>
      <c r="D6" s="163"/>
      <c r="E6" s="77"/>
      <c r="F6" s="173"/>
      <c r="G6" s="74"/>
      <c r="H6" s="80"/>
      <c r="I6" s="136"/>
      <c r="J6" s="136"/>
      <c r="K6" s="80"/>
      <c r="L6" s="204"/>
      <c r="M6" s="80"/>
      <c r="N6" s="86"/>
      <c r="O6" s="35"/>
      <c r="P6" s="74"/>
      <c r="Q6" s="80"/>
      <c r="R6" s="181"/>
      <c r="S6" s="80"/>
      <c r="T6" s="36"/>
      <c r="U6" s="181"/>
      <c r="V6" s="90"/>
      <c r="W6" s="191"/>
      <c r="X6" s="74"/>
      <c r="Y6" s="77"/>
      <c r="Z6" s="86"/>
      <c r="AA6" s="77"/>
      <c r="AB6" s="86"/>
      <c r="AC6" s="86"/>
      <c r="AD6" s="86"/>
      <c r="AE6" s="74"/>
      <c r="AG6" s="349"/>
      <c r="AH6" s="349"/>
      <c r="AI6" s="349"/>
    </row>
    <row r="7" spans="1:35" s="9" customFormat="1" ht="47.25">
      <c r="A7" s="33">
        <f t="shared" ref="A7:A38" si="0">A6+1</f>
        <v>1</v>
      </c>
      <c r="B7" s="330" t="str">
        <f t="shared" ref="B7:B38" si="1">MID(E7, FIND("-", E7) + 1, 4)</f>
        <v>5.10</v>
      </c>
      <c r="C7" s="137" t="s">
        <v>131</v>
      </c>
      <c r="D7" s="137" t="s">
        <v>30</v>
      </c>
      <c r="E7" s="25" t="s">
        <v>132</v>
      </c>
      <c r="F7" s="174">
        <f t="shared" ref="F7:F50" si="2">IF($U7=0,$T7+22,$U7+21)</f>
        <v>45308</v>
      </c>
      <c r="G7" s="30" t="s">
        <v>133</v>
      </c>
      <c r="H7" s="26" t="s">
        <v>134</v>
      </c>
      <c r="I7" s="137" t="s">
        <v>1</v>
      </c>
      <c r="J7" s="164">
        <f t="shared" ref="J7:J70" si="3">MAX(0, IF(ISBLANK($W7), _xlfn.DAYS($J$1,$U7), _xlfn.DAYS($W7,$U7)))</f>
        <v>15</v>
      </c>
      <c r="K7" s="47">
        <f t="shared" ref="K7:K50" si="4">IF(($J7-21)&gt;0,$J7-21,0)</f>
        <v>0</v>
      </c>
      <c r="L7" s="164"/>
      <c r="M7" s="325" t="s">
        <v>8</v>
      </c>
      <c r="N7" s="65" t="s">
        <v>8</v>
      </c>
      <c r="O7" s="324" t="s">
        <v>8</v>
      </c>
      <c r="P7" s="143" t="s">
        <v>8</v>
      </c>
      <c r="Q7" s="324" t="s">
        <v>8</v>
      </c>
      <c r="R7" s="182" t="s">
        <v>1</v>
      </c>
      <c r="S7" s="42">
        <v>45287</v>
      </c>
      <c r="T7" s="88">
        <v>45287</v>
      </c>
      <c r="U7" s="187">
        <v>45287</v>
      </c>
      <c r="V7" s="73">
        <v>45293</v>
      </c>
      <c r="W7" s="192">
        <v>45302</v>
      </c>
      <c r="X7" s="256" t="s">
        <v>136</v>
      </c>
      <c r="Y7" s="29">
        <v>45308</v>
      </c>
      <c r="Z7" s="245">
        <v>45309</v>
      </c>
      <c r="AA7" s="29">
        <f t="shared" ref="AA7:AA70" si="5">IF(AND($R7="",$I7=""),"",IF(OR($R7="B",$R7="C"),IF($Z7&lt;&gt;"",$Z7+7,IF($Y7&lt;&gt;"",$Y7+8,"")),IF($R7="",IF(OR($I7="B",$I7="C"),IF($W7&lt;&gt;"",$W7+7,IF($V7&lt;&gt;"",$V7+8,""))),"")))</f>
        <v>45316</v>
      </c>
      <c r="AB7" s="88">
        <v>45426</v>
      </c>
      <c r="AC7" s="88" t="str">
        <f t="shared" ref="AC7:AC38" si="6">IF(OR($R7="B",$R7="C"),IF($AA7="","",IF($AB7="",IF($AA7&gt;=$J$1,"In progress","Not submit yet"),IF($AA7&gt;=$AB7,"Timely Response","Late Resubmission"))),"")</f>
        <v>Late Resubmission</v>
      </c>
      <c r="AD7" s="337">
        <f t="shared" ref="AD7:AD38" si="7">IF(AC7="Late Resubmission",IF(AB7="","",AB7-AA7),IF(AC7="Not submit yet",IF(AA7="","",$J$1-AA7),""))</f>
        <v>110</v>
      </c>
      <c r="AE7" s="91" t="s">
        <v>9</v>
      </c>
      <c r="AG7" s="237" t="str">
        <f t="shared" ref="AG7:AG38" si="8">IF(AND(RIGHT($E7,1)&gt;="A",RIGHT($E7,1)&lt;="Z"),LEFT($E7,LEN($E7)-1),$E7)</f>
        <v>LTIA-5.10-VIETUR-70000-RFA-MAS-0088</v>
      </c>
      <c r="AH7" s="242" t="b" cm="1">
        <f t="array" ref="AH7">$E7=_xlfn.XLOOKUP(
AG7,
_xlfn._xlws.FILTER($AG$7:$AG$4572,$L$7:$L$4572&lt;&gt;"X"),
_xlfn._xlws.FILTER($E$7:$E$4572,$L$7:$L$4572&lt;&gt;"X"),
"",
0,
-1
)</f>
        <v>0</v>
      </c>
      <c r="AI7" s="75" t="str">
        <f t="shared" ref="AI7:AI70" si="9">IF($AH7,IF(OR($R7="B",$R7="C"),"YES",IF($R7="",IF(OR($I7="B",$I7="C"),"YES",""),"")),"")</f>
        <v/>
      </c>
    </row>
    <row r="8" spans="1:35" s="9" customFormat="1" ht="47.25">
      <c r="A8" s="33">
        <f t="shared" si="0"/>
        <v>2</v>
      </c>
      <c r="B8" s="330" t="str">
        <f t="shared" si="1"/>
        <v>5.10</v>
      </c>
      <c r="C8" s="137" t="s">
        <v>131</v>
      </c>
      <c r="D8" s="137" t="s">
        <v>30</v>
      </c>
      <c r="E8" s="25" t="s">
        <v>137</v>
      </c>
      <c r="F8" s="174">
        <f t="shared" si="2"/>
        <v>45309</v>
      </c>
      <c r="G8" s="31" t="s">
        <v>138</v>
      </c>
      <c r="H8" s="21" t="s">
        <v>139</v>
      </c>
      <c r="I8" s="138" t="s">
        <v>3</v>
      </c>
      <c r="J8" s="164">
        <f t="shared" si="3"/>
        <v>5</v>
      </c>
      <c r="K8" s="47">
        <f t="shared" si="4"/>
        <v>0</v>
      </c>
      <c r="L8" s="164"/>
      <c r="M8" s="320" t="s">
        <v>8</v>
      </c>
      <c r="N8" s="41" t="s">
        <v>8</v>
      </c>
      <c r="O8" s="321" t="s">
        <v>8</v>
      </c>
      <c r="P8" s="148" t="s">
        <v>8</v>
      </c>
      <c r="Q8" s="205" t="s">
        <v>8</v>
      </c>
      <c r="R8" s="155" t="s">
        <v>3</v>
      </c>
      <c r="S8" s="42">
        <v>45288</v>
      </c>
      <c r="T8" s="88">
        <v>45288</v>
      </c>
      <c r="U8" s="322">
        <v>45288</v>
      </c>
      <c r="V8" s="73">
        <v>45655</v>
      </c>
      <c r="W8" s="192">
        <v>45293</v>
      </c>
      <c r="X8" s="257" t="s">
        <v>140</v>
      </c>
      <c r="Y8" s="230">
        <v>45299</v>
      </c>
      <c r="Z8" s="227">
        <v>45299</v>
      </c>
      <c r="AA8" s="29" t="str">
        <f t="shared" si="5"/>
        <v/>
      </c>
      <c r="AB8" s="229"/>
      <c r="AC8" s="229" t="str">
        <f t="shared" si="6"/>
        <v/>
      </c>
      <c r="AD8" s="337" t="str">
        <f t="shared" si="7"/>
        <v/>
      </c>
      <c r="AE8" s="92"/>
      <c r="AG8" s="238" t="str">
        <f t="shared" si="8"/>
        <v>LTIA-5.10-VIETUR-70000-RFA-MAS-0093</v>
      </c>
      <c r="AH8" s="243" t="b" cm="1">
        <f t="array" ref="AH8">$E8=_xlfn.XLOOKUP(
AG8,
_xlfn._xlws.FILTER($AG$7:$AG$4572,$L$7:$L$4572&lt;&gt;"X"),
_xlfn._xlws.FILTER($E$7:$E$4572,$L$7:$L$4572&lt;&gt;"X"),
"",
0,
-1
)</f>
        <v>1</v>
      </c>
      <c r="AI8" s="75" t="str">
        <f t="shared" si="9"/>
        <v/>
      </c>
    </row>
    <row r="9" spans="1:35" s="9" customFormat="1" ht="47.25">
      <c r="A9" s="33">
        <f t="shared" si="0"/>
        <v>3</v>
      </c>
      <c r="B9" s="330" t="str">
        <f t="shared" si="1"/>
        <v>5.10</v>
      </c>
      <c r="C9" s="137" t="s">
        <v>144</v>
      </c>
      <c r="D9" s="137" t="s">
        <v>30</v>
      </c>
      <c r="E9" s="25" t="s">
        <v>141</v>
      </c>
      <c r="F9" s="174">
        <f t="shared" si="2"/>
        <v>45320</v>
      </c>
      <c r="G9" s="31" t="s">
        <v>142</v>
      </c>
      <c r="H9" s="21" t="s">
        <v>143</v>
      </c>
      <c r="I9" s="138" t="s">
        <v>3</v>
      </c>
      <c r="J9" s="164">
        <f t="shared" si="3"/>
        <v>16</v>
      </c>
      <c r="K9" s="47">
        <f t="shared" si="4"/>
        <v>0</v>
      </c>
      <c r="L9" s="164"/>
      <c r="M9" s="96" t="s">
        <v>8</v>
      </c>
      <c r="N9" s="41" t="s">
        <v>8</v>
      </c>
      <c r="O9" s="40" t="s">
        <v>8</v>
      </c>
      <c r="P9" s="148" t="s">
        <v>8</v>
      </c>
      <c r="Q9" s="40" t="s">
        <v>8</v>
      </c>
      <c r="R9" s="155" t="s">
        <v>3</v>
      </c>
      <c r="S9" s="42">
        <v>45299</v>
      </c>
      <c r="T9" s="88">
        <v>45299</v>
      </c>
      <c r="U9" s="187">
        <v>45299</v>
      </c>
      <c r="V9" s="73">
        <v>45303</v>
      </c>
      <c r="W9" s="323">
        <v>45315</v>
      </c>
      <c r="X9" s="257" t="s">
        <v>145</v>
      </c>
      <c r="Y9" s="230">
        <v>45317</v>
      </c>
      <c r="Z9" s="227">
        <v>45317</v>
      </c>
      <c r="AA9" s="29" t="str">
        <f t="shared" si="5"/>
        <v/>
      </c>
      <c r="AB9" s="229"/>
      <c r="AC9" s="229" t="str">
        <f t="shared" si="6"/>
        <v/>
      </c>
      <c r="AD9" s="337" t="str">
        <f t="shared" si="7"/>
        <v/>
      </c>
      <c r="AE9" s="76"/>
      <c r="AG9" s="238" t="str">
        <f t="shared" si="8"/>
        <v>LTIA-5.10-VIETUR-70000-RFA-MAS-0116</v>
      </c>
      <c r="AH9" s="243" t="b" cm="1">
        <f t="array" ref="AH9">$E9=_xlfn.XLOOKUP(
AG9,
_xlfn._xlws.FILTER($AG$7:$AG$4572,$L$7:$L$4572&lt;&gt;"X"),
_xlfn._xlws.FILTER($E$7:$E$4572,$L$7:$L$4572&lt;&gt;"X"),
"",
0,
-1
)</f>
        <v>1</v>
      </c>
      <c r="AI9" s="75" t="str">
        <f t="shared" si="9"/>
        <v/>
      </c>
    </row>
    <row r="10" spans="1:35" s="9" customFormat="1" ht="47.25">
      <c r="A10" s="33">
        <f t="shared" si="0"/>
        <v>4</v>
      </c>
      <c r="B10" s="330" t="str">
        <f t="shared" si="1"/>
        <v>5.10</v>
      </c>
      <c r="C10" s="137" t="s">
        <v>144</v>
      </c>
      <c r="D10" s="137" t="s">
        <v>30</v>
      </c>
      <c r="E10" s="25" t="s">
        <v>147</v>
      </c>
      <c r="F10" s="174">
        <f t="shared" si="2"/>
        <v>45337</v>
      </c>
      <c r="G10" s="31" t="s">
        <v>148</v>
      </c>
      <c r="H10" s="21" t="s">
        <v>149</v>
      </c>
      <c r="I10" s="138" t="s">
        <v>1</v>
      </c>
      <c r="J10" s="164">
        <f t="shared" si="3"/>
        <v>11</v>
      </c>
      <c r="K10" s="47">
        <f t="shared" si="4"/>
        <v>0</v>
      </c>
      <c r="L10" s="164"/>
      <c r="M10" s="40" t="s">
        <v>8</v>
      </c>
      <c r="N10" s="41" t="s">
        <v>8</v>
      </c>
      <c r="O10" s="40" t="s">
        <v>8</v>
      </c>
      <c r="P10" s="148" t="s">
        <v>8</v>
      </c>
      <c r="Q10" s="40" t="s">
        <v>8</v>
      </c>
      <c r="R10" s="155" t="s">
        <v>1</v>
      </c>
      <c r="S10" s="27">
        <v>45315</v>
      </c>
      <c r="T10" s="27">
        <v>45315</v>
      </c>
      <c r="U10" s="187">
        <v>45316</v>
      </c>
      <c r="V10" s="29">
        <v>45322</v>
      </c>
      <c r="W10" s="188">
        <v>45327</v>
      </c>
      <c r="X10" s="235" t="s">
        <v>146</v>
      </c>
      <c r="Y10" s="230">
        <v>45329</v>
      </c>
      <c r="Z10" s="227">
        <v>45329</v>
      </c>
      <c r="AA10" s="29">
        <f t="shared" si="5"/>
        <v>45336</v>
      </c>
      <c r="AB10" s="229">
        <v>45525</v>
      </c>
      <c r="AC10" s="229" t="str">
        <f t="shared" si="6"/>
        <v>Late Resubmission</v>
      </c>
      <c r="AD10" s="337">
        <f t="shared" si="7"/>
        <v>189</v>
      </c>
      <c r="AE10" s="92"/>
      <c r="AG10" s="238" t="str">
        <f t="shared" si="8"/>
        <v>LTIA-5.10-VIETUR-70000-RFA-MAS-0158</v>
      </c>
      <c r="AH10" s="243" t="b" cm="1">
        <f t="array" ref="AH10">$E10=_xlfn.XLOOKUP(
AG10,
_xlfn._xlws.FILTER($AG$7:$AG$4572,$L$7:$L$4572&lt;&gt;"X"),
_xlfn._xlws.FILTER($E$7:$E$4572,$L$7:$L$4572&lt;&gt;"X"),
"",
0,
-1
)</f>
        <v>0</v>
      </c>
      <c r="AI10" s="75" t="str">
        <f t="shared" si="9"/>
        <v/>
      </c>
    </row>
    <row r="11" spans="1:35" s="9" customFormat="1" ht="47.25">
      <c r="A11" s="33">
        <f t="shared" si="0"/>
        <v>5</v>
      </c>
      <c r="B11" s="330" t="str">
        <f t="shared" si="1"/>
        <v>5.10</v>
      </c>
      <c r="C11" s="137" t="s">
        <v>131</v>
      </c>
      <c r="D11" s="137" t="s">
        <v>32</v>
      </c>
      <c r="E11" s="25" t="s">
        <v>157</v>
      </c>
      <c r="F11" s="174">
        <f t="shared" si="2"/>
        <v>45411</v>
      </c>
      <c r="G11" s="31" t="s">
        <v>158</v>
      </c>
      <c r="H11" s="21" t="s">
        <v>159</v>
      </c>
      <c r="I11" s="138" t="s">
        <v>2</v>
      </c>
      <c r="J11" s="164">
        <f t="shared" si="3"/>
        <v>8</v>
      </c>
      <c r="K11" s="47">
        <f t="shared" si="4"/>
        <v>0</v>
      </c>
      <c r="L11" s="164"/>
      <c r="M11" s="40" t="s">
        <v>8</v>
      </c>
      <c r="N11" s="41" t="s">
        <v>8</v>
      </c>
      <c r="O11" s="40" t="s">
        <v>8</v>
      </c>
      <c r="P11" s="41" t="s">
        <v>8</v>
      </c>
      <c r="Q11" s="40" t="s">
        <v>8</v>
      </c>
      <c r="R11" s="155" t="s">
        <v>2</v>
      </c>
      <c r="S11" s="27">
        <v>45387</v>
      </c>
      <c r="T11" s="27">
        <v>45387</v>
      </c>
      <c r="U11" s="187">
        <v>45390</v>
      </c>
      <c r="V11" s="29">
        <v>45398</v>
      </c>
      <c r="W11" s="188">
        <v>45398</v>
      </c>
      <c r="X11" s="235" t="s">
        <v>160</v>
      </c>
      <c r="Y11" s="230">
        <v>45441</v>
      </c>
      <c r="Z11" s="227">
        <v>45442</v>
      </c>
      <c r="AA11" s="29">
        <f t="shared" si="5"/>
        <v>45449</v>
      </c>
      <c r="AB11" s="229">
        <v>45492</v>
      </c>
      <c r="AC11" s="229" t="str">
        <f t="shared" si="6"/>
        <v>Late Resubmission</v>
      </c>
      <c r="AD11" s="337">
        <f t="shared" si="7"/>
        <v>43</v>
      </c>
      <c r="AE11" s="92"/>
      <c r="AG11" s="238" t="str">
        <f t="shared" si="8"/>
        <v>LTIA-5.10-VIETUR-72160-RFA-MSS-0082</v>
      </c>
      <c r="AH11" s="243" t="b" cm="1">
        <f t="array" ref="AH11">$E11=_xlfn.XLOOKUP(
AG11,
_xlfn._xlws.FILTER($AG$7:$AG$4572,$L$7:$L$4572&lt;&gt;"X"),
_xlfn._xlws.FILTER($E$7:$E$4572,$L$7:$L$4572&lt;&gt;"X"),
"",
0,
-1
)</f>
        <v>0</v>
      </c>
      <c r="AI11" s="75" t="str">
        <f t="shared" si="9"/>
        <v/>
      </c>
    </row>
    <row r="12" spans="1:35" s="9" customFormat="1" ht="47.25">
      <c r="A12" s="33">
        <f t="shared" si="0"/>
        <v>6</v>
      </c>
      <c r="B12" s="330" t="str">
        <f t="shared" si="1"/>
        <v>5.10</v>
      </c>
      <c r="C12" s="137" t="s">
        <v>131</v>
      </c>
      <c r="D12" s="137" t="s">
        <v>30</v>
      </c>
      <c r="E12" s="25" t="s">
        <v>161</v>
      </c>
      <c r="F12" s="174">
        <f t="shared" si="2"/>
        <v>45414</v>
      </c>
      <c r="G12" s="31" t="s">
        <v>162</v>
      </c>
      <c r="H12" s="21" t="s">
        <v>163</v>
      </c>
      <c r="I12" s="138" t="s">
        <v>2</v>
      </c>
      <c r="J12" s="164">
        <f t="shared" si="3"/>
        <v>34</v>
      </c>
      <c r="K12" s="47">
        <f t="shared" si="4"/>
        <v>13</v>
      </c>
      <c r="L12" s="164"/>
      <c r="M12" s="40" t="s">
        <v>8</v>
      </c>
      <c r="N12" s="41" t="s">
        <v>8</v>
      </c>
      <c r="O12" s="40" t="s">
        <v>8</v>
      </c>
      <c r="P12" s="41" t="s">
        <v>8</v>
      </c>
      <c r="Q12" s="40" t="s">
        <v>8</v>
      </c>
      <c r="R12" s="155" t="s">
        <v>2</v>
      </c>
      <c r="S12" s="27">
        <v>45392</v>
      </c>
      <c r="T12" s="27">
        <v>45392</v>
      </c>
      <c r="U12" s="187">
        <v>45393</v>
      </c>
      <c r="V12" s="29">
        <v>45427</v>
      </c>
      <c r="W12" s="188">
        <v>45427</v>
      </c>
      <c r="X12" s="235" t="s">
        <v>136</v>
      </c>
      <c r="Y12" s="230">
        <v>45456</v>
      </c>
      <c r="Z12" s="227">
        <v>45456</v>
      </c>
      <c r="AA12" s="29">
        <f t="shared" si="5"/>
        <v>45463</v>
      </c>
      <c r="AB12" s="229">
        <v>45512</v>
      </c>
      <c r="AC12" s="229" t="str">
        <f t="shared" si="6"/>
        <v>Late Resubmission</v>
      </c>
      <c r="AD12" s="337">
        <f t="shared" si="7"/>
        <v>49</v>
      </c>
      <c r="AE12" s="92"/>
      <c r="AG12" s="238" t="str">
        <f t="shared" si="8"/>
        <v>LTIA-5.10-VIETUR-70000-RFA-MAS-0208</v>
      </c>
      <c r="AH12" s="243" t="b" cm="1">
        <f t="array" ref="AH12">$E12=_xlfn.XLOOKUP(
AG12,
_xlfn._xlws.FILTER($AG$7:$AG$4572,$L$7:$L$4572&lt;&gt;"X"),
_xlfn._xlws.FILTER($E$7:$E$4572,$L$7:$L$4572&lt;&gt;"X"),
"",
0,
-1
)</f>
        <v>0</v>
      </c>
      <c r="AI12" s="75" t="str">
        <f t="shared" si="9"/>
        <v/>
      </c>
    </row>
    <row r="13" spans="1:35" s="9" customFormat="1" ht="47.25">
      <c r="A13" s="33">
        <f t="shared" si="0"/>
        <v>7</v>
      </c>
      <c r="B13" s="330" t="str">
        <f t="shared" si="1"/>
        <v>5.10</v>
      </c>
      <c r="C13" s="137" t="s">
        <v>151</v>
      </c>
      <c r="D13" s="137" t="s">
        <v>30</v>
      </c>
      <c r="E13" s="25" t="s">
        <v>164</v>
      </c>
      <c r="F13" s="174">
        <f t="shared" si="2"/>
        <v>45419</v>
      </c>
      <c r="G13" s="31" t="s">
        <v>165</v>
      </c>
      <c r="H13" s="21" t="s">
        <v>166</v>
      </c>
      <c r="I13" s="138" t="s">
        <v>2</v>
      </c>
      <c r="J13" s="164">
        <f t="shared" si="3"/>
        <v>22</v>
      </c>
      <c r="K13" s="47">
        <f t="shared" si="4"/>
        <v>1</v>
      </c>
      <c r="L13" s="164"/>
      <c r="M13" s="40" t="s">
        <v>8</v>
      </c>
      <c r="N13" s="41" t="s">
        <v>8</v>
      </c>
      <c r="O13" s="40" t="s">
        <v>8</v>
      </c>
      <c r="P13" s="41" t="s">
        <v>8</v>
      </c>
      <c r="Q13" s="40" t="s">
        <v>8</v>
      </c>
      <c r="R13" s="155" t="s">
        <v>2</v>
      </c>
      <c r="S13" s="27">
        <v>45398</v>
      </c>
      <c r="T13" s="27">
        <v>45398</v>
      </c>
      <c r="U13" s="187">
        <v>45398</v>
      </c>
      <c r="V13" s="29">
        <v>45420</v>
      </c>
      <c r="W13" s="188">
        <v>45420</v>
      </c>
      <c r="X13" s="235" t="s">
        <v>136</v>
      </c>
      <c r="Y13" s="230">
        <v>45440</v>
      </c>
      <c r="Z13" s="227">
        <v>45441</v>
      </c>
      <c r="AA13" s="29">
        <f t="shared" si="5"/>
        <v>45448</v>
      </c>
      <c r="AB13" s="229">
        <v>45457</v>
      </c>
      <c r="AC13" s="229" t="str">
        <f t="shared" si="6"/>
        <v>Late Resubmission</v>
      </c>
      <c r="AD13" s="337">
        <f t="shared" si="7"/>
        <v>9</v>
      </c>
      <c r="AE13" s="92"/>
      <c r="AG13" s="238" t="str">
        <f t="shared" si="8"/>
        <v>LTIA-5.10-VIETUR-70000-RFA-MAS-0219</v>
      </c>
      <c r="AH13" s="243" t="b" cm="1">
        <f t="array" ref="AH13">$E13=_xlfn.XLOOKUP(
AG13,
_xlfn._xlws.FILTER($AG$7:$AG$4572,$L$7:$L$4572&lt;&gt;"X"),
_xlfn._xlws.FILTER($E$7:$E$4572,$L$7:$L$4572&lt;&gt;"X"),
"",
0,
-1
)</f>
        <v>0</v>
      </c>
      <c r="AI13" s="75" t="str">
        <f t="shared" si="9"/>
        <v/>
      </c>
    </row>
    <row r="14" spans="1:35" s="9" customFormat="1" ht="47.25">
      <c r="A14" s="33">
        <f t="shared" si="0"/>
        <v>8</v>
      </c>
      <c r="B14" s="330" t="str">
        <f t="shared" si="1"/>
        <v>5.10</v>
      </c>
      <c r="C14" s="137" t="s">
        <v>131</v>
      </c>
      <c r="D14" s="137" t="s">
        <v>30</v>
      </c>
      <c r="E14" s="25" t="s">
        <v>167</v>
      </c>
      <c r="F14" s="174">
        <f t="shared" si="2"/>
        <v>45447</v>
      </c>
      <c r="G14" s="31" t="s">
        <v>133</v>
      </c>
      <c r="H14" s="21" t="s">
        <v>134</v>
      </c>
      <c r="I14" s="138" t="s">
        <v>1</v>
      </c>
      <c r="J14" s="164">
        <f t="shared" si="3"/>
        <v>29</v>
      </c>
      <c r="K14" s="47">
        <f t="shared" si="4"/>
        <v>8</v>
      </c>
      <c r="L14" s="164"/>
      <c r="M14" s="40" t="s">
        <v>8</v>
      </c>
      <c r="N14" s="41" t="s">
        <v>8</v>
      </c>
      <c r="O14" s="40" t="s">
        <v>8</v>
      </c>
      <c r="P14" s="41" t="s">
        <v>8</v>
      </c>
      <c r="Q14" s="40" t="s">
        <v>8</v>
      </c>
      <c r="R14" s="155" t="s">
        <v>1</v>
      </c>
      <c r="S14" s="27">
        <v>45426</v>
      </c>
      <c r="T14" s="27">
        <v>45426</v>
      </c>
      <c r="U14" s="187">
        <v>45426</v>
      </c>
      <c r="V14" s="29">
        <v>45454</v>
      </c>
      <c r="W14" s="188">
        <v>45455</v>
      </c>
      <c r="X14" s="235" t="s">
        <v>136</v>
      </c>
      <c r="Y14" s="230">
        <v>45456</v>
      </c>
      <c r="Z14" s="227">
        <v>45456</v>
      </c>
      <c r="AA14" s="29">
        <f t="shared" si="5"/>
        <v>45463</v>
      </c>
      <c r="AB14" s="229"/>
      <c r="AC14" s="229" t="str">
        <f t="shared" ca="1" si="6"/>
        <v>Not submit yet</v>
      </c>
      <c r="AD14" s="337">
        <f t="shared" ca="1" si="7"/>
        <v>846</v>
      </c>
      <c r="AE14" s="92"/>
      <c r="AG14" s="238" t="str">
        <f t="shared" si="8"/>
        <v>LTIA-5.10-VIETUR-70000-RFA-MAS-0088</v>
      </c>
      <c r="AH14" s="243" t="b" cm="1">
        <f t="array" ref="AH14">$E14=_xlfn.XLOOKUP(
AG14,
_xlfn._xlws.FILTER($AG$7:$AG$4572,$L$7:$L$4572&lt;&gt;"X"),
_xlfn._xlws.FILTER($E$7:$E$4572,$L$7:$L$4572&lt;&gt;"X"),
"",
0,
-1
)</f>
        <v>1</v>
      </c>
      <c r="AI14" s="75" t="str">
        <f t="shared" si="9"/>
        <v>YES</v>
      </c>
    </row>
    <row r="15" spans="1:35" s="9" customFormat="1" ht="63">
      <c r="A15" s="33">
        <f t="shared" si="0"/>
        <v>9</v>
      </c>
      <c r="B15" s="330" t="str">
        <f t="shared" si="1"/>
        <v>5.10</v>
      </c>
      <c r="C15" s="137" t="s">
        <v>131</v>
      </c>
      <c r="D15" s="137" t="s">
        <v>30</v>
      </c>
      <c r="E15" s="25" t="s">
        <v>168</v>
      </c>
      <c r="F15" s="174">
        <f t="shared" si="2"/>
        <v>45449</v>
      </c>
      <c r="G15" s="31" t="s">
        <v>169</v>
      </c>
      <c r="H15" s="21" t="s">
        <v>170</v>
      </c>
      <c r="I15" s="138" t="s">
        <v>1</v>
      </c>
      <c r="J15" s="164">
        <f t="shared" si="3"/>
        <v>20</v>
      </c>
      <c r="K15" s="47">
        <f t="shared" si="4"/>
        <v>0</v>
      </c>
      <c r="L15" s="164"/>
      <c r="M15" s="40" t="s">
        <v>8</v>
      </c>
      <c r="N15" s="41" t="s">
        <v>8</v>
      </c>
      <c r="O15" s="40" t="s">
        <v>8</v>
      </c>
      <c r="P15" s="41" t="s">
        <v>8</v>
      </c>
      <c r="Q15" s="40" t="s">
        <v>8</v>
      </c>
      <c r="R15" s="155" t="s">
        <v>1</v>
      </c>
      <c r="S15" s="27">
        <v>45428</v>
      </c>
      <c r="T15" s="27">
        <v>45428</v>
      </c>
      <c r="U15" s="187">
        <v>45428</v>
      </c>
      <c r="V15" s="29">
        <v>45447</v>
      </c>
      <c r="W15" s="188">
        <v>45448</v>
      </c>
      <c r="X15" s="235" t="s">
        <v>171</v>
      </c>
      <c r="Y15" s="230">
        <v>45488</v>
      </c>
      <c r="Z15" s="227">
        <v>45491</v>
      </c>
      <c r="AA15" s="29">
        <f t="shared" si="5"/>
        <v>45498</v>
      </c>
      <c r="AB15" s="229"/>
      <c r="AC15" s="229" t="str">
        <f t="shared" ca="1" si="6"/>
        <v>Not submit yet</v>
      </c>
      <c r="AD15" s="337">
        <f t="shared" ca="1" si="7"/>
        <v>811</v>
      </c>
      <c r="AE15" s="92"/>
      <c r="AG15" s="238" t="str">
        <f t="shared" si="8"/>
        <v>LTIA-5.10-VIETUR-70000-RFA-MAS-0248</v>
      </c>
      <c r="AH15" s="243" t="b" cm="1">
        <f t="array" ref="AH15">$E15=_xlfn.XLOOKUP(
AG15,
_xlfn._xlws.FILTER($AG$7:$AG$4572,$L$7:$L$4572&lt;&gt;"X"),
_xlfn._xlws.FILTER($E$7:$E$4572,$L$7:$L$4572&lt;&gt;"X"),
"",
0,
-1
)</f>
        <v>1</v>
      </c>
      <c r="AI15" s="75" t="str">
        <f t="shared" si="9"/>
        <v>YES</v>
      </c>
    </row>
    <row r="16" spans="1:35" s="9" customFormat="1" ht="47.25">
      <c r="A16" s="33">
        <f t="shared" si="0"/>
        <v>10</v>
      </c>
      <c r="B16" s="330" t="str">
        <f t="shared" si="1"/>
        <v>5.10</v>
      </c>
      <c r="C16" s="137" t="s">
        <v>144</v>
      </c>
      <c r="D16" s="137" t="s">
        <v>30</v>
      </c>
      <c r="E16" s="25" t="s">
        <v>172</v>
      </c>
      <c r="F16" s="174">
        <f t="shared" si="2"/>
        <v>45460</v>
      </c>
      <c r="G16" s="31" t="s">
        <v>173</v>
      </c>
      <c r="H16" s="21" t="s">
        <v>174</v>
      </c>
      <c r="I16" s="138" t="s">
        <v>1</v>
      </c>
      <c r="J16" s="164">
        <f t="shared" si="3"/>
        <v>16</v>
      </c>
      <c r="K16" s="47">
        <f t="shared" si="4"/>
        <v>0</v>
      </c>
      <c r="L16" s="164"/>
      <c r="M16" s="40" t="s">
        <v>8</v>
      </c>
      <c r="N16" s="41" t="s">
        <v>8</v>
      </c>
      <c r="O16" s="40" t="s">
        <v>8</v>
      </c>
      <c r="P16" s="41" t="s">
        <v>8</v>
      </c>
      <c r="Q16" s="40" t="s">
        <v>8</v>
      </c>
      <c r="R16" s="155" t="s">
        <v>1</v>
      </c>
      <c r="S16" s="27">
        <v>45437</v>
      </c>
      <c r="T16" s="27">
        <v>45437</v>
      </c>
      <c r="U16" s="187">
        <v>45439</v>
      </c>
      <c r="V16" s="29">
        <v>45455</v>
      </c>
      <c r="W16" s="188">
        <v>45455</v>
      </c>
      <c r="X16" s="235" t="s">
        <v>136</v>
      </c>
      <c r="Y16" s="230">
        <v>45460</v>
      </c>
      <c r="Z16" s="227">
        <v>45461</v>
      </c>
      <c r="AA16" s="29">
        <f t="shared" si="5"/>
        <v>45468</v>
      </c>
      <c r="AB16" s="229">
        <v>45553</v>
      </c>
      <c r="AC16" s="229" t="str">
        <f t="shared" si="6"/>
        <v>Late Resubmission</v>
      </c>
      <c r="AD16" s="337">
        <f t="shared" si="7"/>
        <v>85</v>
      </c>
      <c r="AE16" s="92"/>
      <c r="AG16" s="238" t="str">
        <f t="shared" si="8"/>
        <v>LTIA-5.10-VIETUR-70000-RFA-MAS-0258</v>
      </c>
      <c r="AH16" s="243" t="b" cm="1">
        <f t="array" ref="AH16">$E16=_xlfn.XLOOKUP(
AG16,
_xlfn._xlws.FILTER($AG$7:$AG$4572,$L$7:$L$4572&lt;&gt;"X"),
_xlfn._xlws.FILTER($E$7:$E$4572,$L$7:$L$4572&lt;&gt;"X"),
"",
0,
-1
)</f>
        <v>0</v>
      </c>
      <c r="AI16" s="75" t="str">
        <f t="shared" si="9"/>
        <v/>
      </c>
    </row>
    <row r="17" spans="1:35" s="9" customFormat="1" ht="47.25">
      <c r="A17" s="33">
        <f t="shared" si="0"/>
        <v>11</v>
      </c>
      <c r="B17" s="330" t="str">
        <f t="shared" si="1"/>
        <v>5.10</v>
      </c>
      <c r="C17" s="137" t="s">
        <v>131</v>
      </c>
      <c r="D17" s="137" t="s">
        <v>30</v>
      </c>
      <c r="E17" s="25" t="s">
        <v>175</v>
      </c>
      <c r="F17" s="174">
        <f t="shared" si="2"/>
        <v>45467</v>
      </c>
      <c r="G17" s="31" t="s">
        <v>176</v>
      </c>
      <c r="H17" s="21" t="s">
        <v>177</v>
      </c>
      <c r="I17" s="138" t="s">
        <v>3</v>
      </c>
      <c r="J17" s="164">
        <f t="shared" si="3"/>
        <v>9</v>
      </c>
      <c r="K17" s="47">
        <f t="shared" si="4"/>
        <v>0</v>
      </c>
      <c r="L17" s="164"/>
      <c r="M17" s="40" t="s">
        <v>8</v>
      </c>
      <c r="N17" s="41" t="s">
        <v>8</v>
      </c>
      <c r="O17" s="40" t="s">
        <v>8</v>
      </c>
      <c r="P17" s="41" t="s">
        <v>8</v>
      </c>
      <c r="Q17" s="40" t="s">
        <v>8</v>
      </c>
      <c r="R17" s="155" t="s">
        <v>3</v>
      </c>
      <c r="S17" s="27">
        <v>45446</v>
      </c>
      <c r="T17" s="27">
        <v>45446</v>
      </c>
      <c r="U17" s="187">
        <v>45446</v>
      </c>
      <c r="V17" s="29">
        <v>45455</v>
      </c>
      <c r="W17" s="188">
        <v>45455</v>
      </c>
      <c r="X17" s="235" t="s">
        <v>136</v>
      </c>
      <c r="Y17" s="230">
        <v>45464</v>
      </c>
      <c r="Z17" s="227">
        <v>45465</v>
      </c>
      <c r="AA17" s="29" t="str">
        <f t="shared" si="5"/>
        <v/>
      </c>
      <c r="AB17" s="229"/>
      <c r="AC17" s="229" t="str">
        <f t="shared" si="6"/>
        <v/>
      </c>
      <c r="AD17" s="337" t="str">
        <f t="shared" si="7"/>
        <v/>
      </c>
      <c r="AE17" s="92"/>
      <c r="AG17" s="238" t="str">
        <f t="shared" si="8"/>
        <v>LTIA-5.10-VIETUR-70000-RFA-MAS-0265</v>
      </c>
      <c r="AH17" s="243" t="b" cm="1">
        <f t="array" ref="AH17">$E17=_xlfn.XLOOKUP(
AG17,
_xlfn._xlws.FILTER($AG$7:$AG$4572,$L$7:$L$4572&lt;&gt;"X"),
_xlfn._xlws.FILTER($E$7:$E$4572,$L$7:$L$4572&lt;&gt;"X"),
"",
0,
-1
)</f>
        <v>1</v>
      </c>
      <c r="AI17" s="75" t="str">
        <f t="shared" si="9"/>
        <v/>
      </c>
    </row>
    <row r="18" spans="1:35" s="9" customFormat="1" ht="47.25">
      <c r="A18" s="33">
        <f t="shared" si="0"/>
        <v>12</v>
      </c>
      <c r="B18" s="330" t="str">
        <f t="shared" si="1"/>
        <v>5.10</v>
      </c>
      <c r="C18" s="137" t="s">
        <v>151</v>
      </c>
      <c r="D18" s="137" t="s">
        <v>30</v>
      </c>
      <c r="E18" s="25" t="s">
        <v>178</v>
      </c>
      <c r="F18" s="174">
        <f t="shared" si="2"/>
        <v>45474</v>
      </c>
      <c r="G18" s="31" t="s">
        <v>165</v>
      </c>
      <c r="H18" s="21" t="s">
        <v>166</v>
      </c>
      <c r="I18" s="138" t="s">
        <v>3</v>
      </c>
      <c r="J18" s="164">
        <f t="shared" si="3"/>
        <v>15</v>
      </c>
      <c r="K18" s="47">
        <f t="shared" si="4"/>
        <v>0</v>
      </c>
      <c r="L18" s="164"/>
      <c r="M18" s="40" t="s">
        <v>8</v>
      </c>
      <c r="N18" s="41" t="s">
        <v>8</v>
      </c>
      <c r="O18" s="40" t="s">
        <v>8</v>
      </c>
      <c r="P18" s="41" t="s">
        <v>8</v>
      </c>
      <c r="Q18" s="40" t="s">
        <v>8</v>
      </c>
      <c r="R18" s="155" t="s">
        <v>3</v>
      </c>
      <c r="S18" s="27">
        <v>45450</v>
      </c>
      <c r="T18" s="27">
        <v>45450</v>
      </c>
      <c r="U18" s="187">
        <v>45453</v>
      </c>
      <c r="V18" s="29">
        <v>45467</v>
      </c>
      <c r="W18" s="188">
        <v>45468</v>
      </c>
      <c r="X18" s="235" t="s">
        <v>136</v>
      </c>
      <c r="Y18" s="230">
        <v>45469</v>
      </c>
      <c r="Z18" s="227">
        <v>45470</v>
      </c>
      <c r="AA18" s="29" t="str">
        <f t="shared" si="5"/>
        <v/>
      </c>
      <c r="AB18" s="229">
        <v>45973</v>
      </c>
      <c r="AC18" s="229" t="str">
        <f t="shared" si="6"/>
        <v/>
      </c>
      <c r="AD18" s="337" t="str">
        <f t="shared" si="7"/>
        <v/>
      </c>
      <c r="AE18" s="92"/>
      <c r="AG18" s="238" t="str">
        <f t="shared" si="8"/>
        <v>LTIA-5.10-VIETUR-70000-RFA-MAS-0219</v>
      </c>
      <c r="AH18" s="243" t="b" cm="1">
        <f t="array" ref="AH18">$E18=_xlfn.XLOOKUP(
AG18,
_xlfn._xlws.FILTER($AG$7:$AG$4572,$L$7:$L$4572&lt;&gt;"X"),
_xlfn._xlws.FILTER($E$7:$E$4572,$L$7:$L$4572&lt;&gt;"X"),
"",
0,
-1
)</f>
        <v>0</v>
      </c>
      <c r="AI18" s="75" t="str">
        <f t="shared" si="9"/>
        <v/>
      </c>
    </row>
    <row r="19" spans="1:35" s="9" customFormat="1" ht="47.25">
      <c r="A19" s="33">
        <f t="shared" si="0"/>
        <v>13</v>
      </c>
      <c r="B19" s="330" t="str">
        <f t="shared" si="1"/>
        <v>5.10</v>
      </c>
      <c r="C19" s="137" t="s">
        <v>180</v>
      </c>
      <c r="D19" s="137" t="s">
        <v>30</v>
      </c>
      <c r="E19" s="25" t="s">
        <v>179</v>
      </c>
      <c r="F19" s="174">
        <f t="shared" si="2"/>
        <v>45475</v>
      </c>
      <c r="G19" s="31" t="s">
        <v>181</v>
      </c>
      <c r="H19" s="21" t="s">
        <v>182</v>
      </c>
      <c r="I19" s="138" t="s">
        <v>2</v>
      </c>
      <c r="J19" s="164">
        <f t="shared" si="3"/>
        <v>24</v>
      </c>
      <c r="K19" s="47">
        <f t="shared" si="4"/>
        <v>3</v>
      </c>
      <c r="L19" s="164"/>
      <c r="M19" s="40" t="s">
        <v>8</v>
      </c>
      <c r="N19" s="41" t="s">
        <v>8</v>
      </c>
      <c r="O19" s="40" t="s">
        <v>8</v>
      </c>
      <c r="P19" s="41" t="s">
        <v>8</v>
      </c>
      <c r="Q19" s="40" t="s">
        <v>8</v>
      </c>
      <c r="R19" s="155" t="s">
        <v>2</v>
      </c>
      <c r="S19" s="27">
        <v>45454</v>
      </c>
      <c r="T19" s="27">
        <v>45454</v>
      </c>
      <c r="U19" s="187">
        <v>45454</v>
      </c>
      <c r="V19" s="29">
        <v>45471</v>
      </c>
      <c r="W19" s="188">
        <v>45478</v>
      </c>
      <c r="X19" s="235" t="s">
        <v>136</v>
      </c>
      <c r="Y19" s="230">
        <v>45632</v>
      </c>
      <c r="Z19" s="227">
        <v>45635</v>
      </c>
      <c r="AA19" s="29">
        <f t="shared" si="5"/>
        <v>45642</v>
      </c>
      <c r="AB19" s="229">
        <v>45883</v>
      </c>
      <c r="AC19" s="229" t="str">
        <f t="shared" si="6"/>
        <v>Late Resubmission</v>
      </c>
      <c r="AD19" s="337">
        <f t="shared" si="7"/>
        <v>241</v>
      </c>
      <c r="AE19" s="92"/>
      <c r="AG19" s="238" t="str">
        <f t="shared" si="8"/>
        <v>LTIA-5.10-VIETUR-70000-RFA-MAS-0277</v>
      </c>
      <c r="AH19" s="243" t="b" cm="1">
        <f t="array" ref="AH19">$E19=_xlfn.XLOOKUP(
AG19,
_xlfn._xlws.FILTER($AG$7:$AG$4572,$L$7:$L$4572&lt;&gt;"X"),
_xlfn._xlws.FILTER($E$7:$E$4572,$L$7:$L$4572&lt;&gt;"X"),
"",
0,
-1
)</f>
        <v>0</v>
      </c>
      <c r="AI19" s="75" t="str">
        <f t="shared" si="9"/>
        <v/>
      </c>
    </row>
    <row r="20" spans="1:35" s="9" customFormat="1" ht="47.25">
      <c r="A20" s="33">
        <f t="shared" si="0"/>
        <v>14</v>
      </c>
      <c r="B20" s="330" t="str">
        <f t="shared" si="1"/>
        <v>5.10</v>
      </c>
      <c r="C20" s="137" t="s">
        <v>144</v>
      </c>
      <c r="D20" s="137" t="s">
        <v>30</v>
      </c>
      <c r="E20" s="25" t="s">
        <v>187</v>
      </c>
      <c r="F20" s="174">
        <f t="shared" si="2"/>
        <v>45478</v>
      </c>
      <c r="G20" s="31" t="s">
        <v>188</v>
      </c>
      <c r="H20" s="21" t="s">
        <v>189</v>
      </c>
      <c r="I20" s="138" t="s">
        <v>3</v>
      </c>
      <c r="J20" s="164">
        <f t="shared" si="3"/>
        <v>10</v>
      </c>
      <c r="K20" s="47">
        <f t="shared" si="4"/>
        <v>0</v>
      </c>
      <c r="L20" s="164"/>
      <c r="M20" s="40" t="s">
        <v>8</v>
      </c>
      <c r="N20" s="41" t="s">
        <v>8</v>
      </c>
      <c r="O20" s="40" t="s">
        <v>8</v>
      </c>
      <c r="P20" s="41" t="s">
        <v>8</v>
      </c>
      <c r="Q20" s="40" t="s">
        <v>8</v>
      </c>
      <c r="R20" s="155" t="s">
        <v>3</v>
      </c>
      <c r="S20" s="27">
        <v>45457</v>
      </c>
      <c r="T20" s="27">
        <v>45457</v>
      </c>
      <c r="U20" s="187">
        <v>45457</v>
      </c>
      <c r="V20" s="29">
        <v>45463</v>
      </c>
      <c r="W20" s="188">
        <v>45467</v>
      </c>
      <c r="X20" s="235" t="s">
        <v>136</v>
      </c>
      <c r="Y20" s="230">
        <v>45469</v>
      </c>
      <c r="Z20" s="227">
        <v>45470</v>
      </c>
      <c r="AA20" s="29" t="str">
        <f t="shared" si="5"/>
        <v/>
      </c>
      <c r="AB20" s="229"/>
      <c r="AC20" s="229" t="str">
        <f t="shared" si="6"/>
        <v/>
      </c>
      <c r="AD20" s="337" t="str">
        <f t="shared" si="7"/>
        <v/>
      </c>
      <c r="AE20" s="92"/>
      <c r="AG20" s="238" t="str">
        <f t="shared" si="8"/>
        <v>LTIA-5.10-VIETUR-70000-RFA-MAS-0271</v>
      </c>
      <c r="AH20" s="243" t="b" cm="1">
        <f t="array" ref="AH20">$E20=_xlfn.XLOOKUP(
AG20,
_xlfn._xlws.FILTER($AG$7:$AG$4572,$L$7:$L$4572&lt;&gt;"X"),
_xlfn._xlws.FILTER($E$7:$E$4572,$L$7:$L$4572&lt;&gt;"X"),
"",
0,
-1
)</f>
        <v>1</v>
      </c>
      <c r="AI20" s="75" t="str">
        <f t="shared" si="9"/>
        <v/>
      </c>
    </row>
    <row r="21" spans="1:35" s="9" customFormat="1" ht="47.25">
      <c r="A21" s="33">
        <f t="shared" si="0"/>
        <v>15</v>
      </c>
      <c r="B21" s="330" t="str">
        <f t="shared" si="1"/>
        <v>5.10</v>
      </c>
      <c r="C21" s="137" t="s">
        <v>195</v>
      </c>
      <c r="D21" s="137" t="s">
        <v>30</v>
      </c>
      <c r="E21" s="25" t="s">
        <v>192</v>
      </c>
      <c r="F21" s="174">
        <f t="shared" si="2"/>
        <v>45492</v>
      </c>
      <c r="G21" s="31" t="s">
        <v>193</v>
      </c>
      <c r="H21" s="21" t="s">
        <v>194</v>
      </c>
      <c r="I21" s="138" t="s">
        <v>1</v>
      </c>
      <c r="J21" s="164">
        <f t="shared" si="3"/>
        <v>33</v>
      </c>
      <c r="K21" s="47">
        <f t="shared" si="4"/>
        <v>12</v>
      </c>
      <c r="L21" s="164"/>
      <c r="M21" s="40" t="s">
        <v>8</v>
      </c>
      <c r="N21" s="41" t="s">
        <v>8</v>
      </c>
      <c r="O21" s="40" t="s">
        <v>8</v>
      </c>
      <c r="P21" s="41" t="s">
        <v>8</v>
      </c>
      <c r="Q21" s="40" t="s">
        <v>8</v>
      </c>
      <c r="R21" s="155" t="s">
        <v>1</v>
      </c>
      <c r="S21" s="27">
        <v>45471</v>
      </c>
      <c r="T21" s="27">
        <v>45471</v>
      </c>
      <c r="U21" s="187">
        <v>45471</v>
      </c>
      <c r="V21" s="29">
        <v>45484</v>
      </c>
      <c r="W21" s="188">
        <v>45504</v>
      </c>
      <c r="X21" s="235" t="s">
        <v>191</v>
      </c>
      <c r="Y21" s="230">
        <v>45524</v>
      </c>
      <c r="Z21" s="227">
        <v>45525</v>
      </c>
      <c r="AA21" s="29">
        <f t="shared" si="5"/>
        <v>45532</v>
      </c>
      <c r="AB21" s="229">
        <v>45562</v>
      </c>
      <c r="AC21" s="229" t="str">
        <f t="shared" si="6"/>
        <v>Late Resubmission</v>
      </c>
      <c r="AD21" s="337">
        <f t="shared" si="7"/>
        <v>30</v>
      </c>
      <c r="AE21" s="92"/>
      <c r="AG21" s="238" t="str">
        <f t="shared" si="8"/>
        <v>LTIA-5.10-VIETUR-70000-RFA-MAS-0305</v>
      </c>
      <c r="AH21" s="243" t="b" cm="1">
        <f t="array" ref="AH21">$E21=_xlfn.XLOOKUP(
AG21,
_xlfn._xlws.FILTER($AG$7:$AG$4572,$L$7:$L$4572&lt;&gt;"X"),
_xlfn._xlws.FILTER($E$7:$E$4572,$L$7:$L$4572&lt;&gt;"X"),
"",
0,
-1
)</f>
        <v>0</v>
      </c>
      <c r="AI21" s="75" t="str">
        <f t="shared" si="9"/>
        <v/>
      </c>
    </row>
    <row r="22" spans="1:35" s="9" customFormat="1" ht="47.25">
      <c r="A22" s="33">
        <f t="shared" si="0"/>
        <v>16</v>
      </c>
      <c r="B22" s="330" t="str">
        <f t="shared" si="1"/>
        <v>5.10</v>
      </c>
      <c r="C22" s="137" t="s">
        <v>197</v>
      </c>
      <c r="D22" s="137" t="s">
        <v>30</v>
      </c>
      <c r="E22" s="25" t="s">
        <v>196</v>
      </c>
      <c r="F22" s="174">
        <f t="shared" si="2"/>
        <v>45497</v>
      </c>
      <c r="G22" s="31" t="s">
        <v>198</v>
      </c>
      <c r="H22" s="21" t="s">
        <v>199</v>
      </c>
      <c r="I22" s="138" t="s">
        <v>1</v>
      </c>
      <c r="J22" s="164">
        <f t="shared" si="3"/>
        <v>22</v>
      </c>
      <c r="K22" s="47">
        <f t="shared" si="4"/>
        <v>1</v>
      </c>
      <c r="L22" s="164"/>
      <c r="M22" s="40" t="s">
        <v>8</v>
      </c>
      <c r="N22" s="41" t="s">
        <v>8</v>
      </c>
      <c r="O22" s="40" t="s">
        <v>8</v>
      </c>
      <c r="P22" s="41" t="s">
        <v>8</v>
      </c>
      <c r="Q22" s="40" t="s">
        <v>8</v>
      </c>
      <c r="R22" s="155" t="s">
        <v>1</v>
      </c>
      <c r="S22" s="27">
        <v>45476</v>
      </c>
      <c r="T22" s="27">
        <v>45476</v>
      </c>
      <c r="U22" s="187">
        <v>45476</v>
      </c>
      <c r="V22" s="29">
        <v>45491</v>
      </c>
      <c r="W22" s="188">
        <v>45498</v>
      </c>
      <c r="X22" s="235" t="s">
        <v>190</v>
      </c>
      <c r="Y22" s="230">
        <v>45506</v>
      </c>
      <c r="Z22" s="227">
        <v>45511</v>
      </c>
      <c r="AA22" s="29">
        <f t="shared" si="5"/>
        <v>45518</v>
      </c>
      <c r="AB22" s="229">
        <v>45595</v>
      </c>
      <c r="AC22" s="229" t="str">
        <f t="shared" si="6"/>
        <v>Late Resubmission</v>
      </c>
      <c r="AD22" s="337">
        <f t="shared" si="7"/>
        <v>77</v>
      </c>
      <c r="AE22" s="92"/>
      <c r="AG22" s="238" t="str">
        <f t="shared" si="8"/>
        <v>LTIA-5.10-VIETUR-70000-RFA-MAS-0307</v>
      </c>
      <c r="AH22" s="243" t="b" cm="1">
        <f t="array" ref="AH22">$E22=_xlfn.XLOOKUP(
AG22,
_xlfn._xlws.FILTER($AG$7:$AG$4572,$L$7:$L$4572&lt;&gt;"X"),
_xlfn._xlws.FILTER($E$7:$E$4572,$L$7:$L$4572&lt;&gt;"X"),
"",
0,
-1
)</f>
        <v>0</v>
      </c>
      <c r="AI22" s="75" t="str">
        <f t="shared" si="9"/>
        <v/>
      </c>
    </row>
    <row r="23" spans="1:35" s="9" customFormat="1" ht="47.25">
      <c r="A23" s="33">
        <f t="shared" si="0"/>
        <v>17</v>
      </c>
      <c r="B23" s="330" t="str">
        <f t="shared" si="1"/>
        <v>5.10</v>
      </c>
      <c r="C23" s="137" t="s">
        <v>131</v>
      </c>
      <c r="D23" s="137" t="s">
        <v>30</v>
      </c>
      <c r="E23" s="25" t="s">
        <v>209</v>
      </c>
      <c r="F23" s="174">
        <f t="shared" si="2"/>
        <v>45516</v>
      </c>
      <c r="G23" s="31" t="s">
        <v>158</v>
      </c>
      <c r="H23" s="21" t="s">
        <v>159</v>
      </c>
      <c r="I23" s="138" t="s">
        <v>3</v>
      </c>
      <c r="J23" s="164">
        <f t="shared" si="3"/>
        <v>22</v>
      </c>
      <c r="K23" s="47">
        <f t="shared" si="4"/>
        <v>1</v>
      </c>
      <c r="L23" s="164"/>
      <c r="M23" s="40" t="s">
        <v>8</v>
      </c>
      <c r="N23" s="41" t="s">
        <v>8</v>
      </c>
      <c r="O23" s="40" t="s">
        <v>8</v>
      </c>
      <c r="P23" s="41" t="s">
        <v>8</v>
      </c>
      <c r="Q23" s="40" t="s">
        <v>8</v>
      </c>
      <c r="R23" s="155" t="s">
        <v>3</v>
      </c>
      <c r="S23" s="27">
        <v>45492</v>
      </c>
      <c r="T23" s="27">
        <v>45492</v>
      </c>
      <c r="U23" s="187">
        <v>45495</v>
      </c>
      <c r="V23" s="29">
        <v>45506</v>
      </c>
      <c r="W23" s="188">
        <v>45517</v>
      </c>
      <c r="X23" s="235" t="s">
        <v>136</v>
      </c>
      <c r="Y23" s="230">
        <v>45524</v>
      </c>
      <c r="Z23" s="227">
        <v>45492</v>
      </c>
      <c r="AA23" s="29" t="str">
        <f t="shared" si="5"/>
        <v/>
      </c>
      <c r="AB23" s="229"/>
      <c r="AC23" s="229" t="str">
        <f t="shared" si="6"/>
        <v/>
      </c>
      <c r="AD23" s="337" t="str">
        <f t="shared" si="7"/>
        <v/>
      </c>
      <c r="AE23" s="92"/>
      <c r="AG23" s="238" t="str">
        <f t="shared" si="8"/>
        <v>LTIA-5.10-VIETUR-72160-RFA-MSS-0082</v>
      </c>
      <c r="AH23" s="243" t="b" cm="1">
        <f t="array" ref="AH23">$E23=_xlfn.XLOOKUP(
AG23,
_xlfn._xlws.FILTER($AG$7:$AG$4572,$L$7:$L$4572&lt;&gt;"X"),
_xlfn._xlws.FILTER($E$7:$E$4572,$L$7:$L$4572&lt;&gt;"X"),
"",
0,
-1
)</f>
        <v>1</v>
      </c>
      <c r="AI23" s="75" t="str">
        <f t="shared" si="9"/>
        <v/>
      </c>
    </row>
    <row r="24" spans="1:35" s="9" customFormat="1" ht="47.25">
      <c r="A24" s="33">
        <f t="shared" si="0"/>
        <v>18</v>
      </c>
      <c r="B24" s="330" t="str">
        <f t="shared" si="1"/>
        <v>5.10</v>
      </c>
      <c r="C24" s="137" t="s">
        <v>131</v>
      </c>
      <c r="D24" s="137" t="s">
        <v>30</v>
      </c>
      <c r="E24" s="25" t="s">
        <v>210</v>
      </c>
      <c r="F24" s="174">
        <f t="shared" si="2"/>
        <v>45518</v>
      </c>
      <c r="G24" s="31" t="s">
        <v>211</v>
      </c>
      <c r="H24" s="21" t="s">
        <v>212</v>
      </c>
      <c r="I24" s="138" t="s">
        <v>3</v>
      </c>
      <c r="J24" s="164">
        <f t="shared" si="3"/>
        <v>7</v>
      </c>
      <c r="K24" s="47">
        <f t="shared" si="4"/>
        <v>0</v>
      </c>
      <c r="L24" s="164" t="s">
        <v>13</v>
      </c>
      <c r="M24" s="40" t="s">
        <v>8</v>
      </c>
      <c r="N24" s="41" t="s">
        <v>8</v>
      </c>
      <c r="O24" s="40" t="s">
        <v>8</v>
      </c>
      <c r="P24" s="41" t="s">
        <v>8</v>
      </c>
      <c r="Q24" s="40" t="s">
        <v>8</v>
      </c>
      <c r="R24" s="155" t="s">
        <v>3</v>
      </c>
      <c r="S24" s="27">
        <v>45496</v>
      </c>
      <c r="T24" s="27">
        <v>45496</v>
      </c>
      <c r="U24" s="187">
        <v>45497</v>
      </c>
      <c r="V24" s="29">
        <v>45503</v>
      </c>
      <c r="W24" s="188">
        <v>45504</v>
      </c>
      <c r="X24" s="235" t="s">
        <v>191</v>
      </c>
      <c r="Y24" s="230">
        <v>45516</v>
      </c>
      <c r="Z24" s="227">
        <v>45517</v>
      </c>
      <c r="AA24" s="29" t="str">
        <f t="shared" si="5"/>
        <v/>
      </c>
      <c r="AB24" s="229"/>
      <c r="AC24" s="229" t="str">
        <f t="shared" si="6"/>
        <v/>
      </c>
      <c r="AD24" s="337" t="str">
        <f t="shared" si="7"/>
        <v/>
      </c>
      <c r="AE24" s="92" t="s">
        <v>874</v>
      </c>
      <c r="AG24" s="238" t="str">
        <f t="shared" si="8"/>
        <v>LTIA-5.10-VIETUR-70000-RFA-MAS-0318</v>
      </c>
      <c r="AH24" s="243" t="b" cm="1">
        <f t="array" ref="AH24">$E24=_xlfn.XLOOKUP(
AG24,
_xlfn._xlws.FILTER($AG$7:$AG$4572,$L$7:$L$4572&lt;&gt;"X"),
_xlfn._xlws.FILTER($E$7:$E$4572,$L$7:$L$4572&lt;&gt;"X"),
"",
0,
-1
)</f>
        <v>0</v>
      </c>
      <c r="AI24" s="75" t="str">
        <f t="shared" si="9"/>
        <v/>
      </c>
    </row>
    <row r="25" spans="1:35" s="9" customFormat="1" ht="63">
      <c r="A25" s="33">
        <f t="shared" si="0"/>
        <v>19</v>
      </c>
      <c r="B25" s="330" t="str">
        <f t="shared" si="1"/>
        <v>5.10</v>
      </c>
      <c r="C25" s="137" t="s">
        <v>131</v>
      </c>
      <c r="D25" s="137" t="s">
        <v>30</v>
      </c>
      <c r="E25" s="25" t="s">
        <v>213</v>
      </c>
      <c r="F25" s="174">
        <f t="shared" si="2"/>
        <v>45518</v>
      </c>
      <c r="G25" s="31" t="s">
        <v>214</v>
      </c>
      <c r="H25" s="21" t="s">
        <v>215</v>
      </c>
      <c r="I25" s="138" t="s">
        <v>3</v>
      </c>
      <c r="J25" s="164">
        <f t="shared" si="3"/>
        <v>12</v>
      </c>
      <c r="K25" s="47">
        <f t="shared" si="4"/>
        <v>0</v>
      </c>
      <c r="L25" s="164"/>
      <c r="M25" s="40" t="s">
        <v>8</v>
      </c>
      <c r="N25" s="41" t="s">
        <v>8</v>
      </c>
      <c r="O25" s="40" t="s">
        <v>8</v>
      </c>
      <c r="P25" s="41" t="s">
        <v>8</v>
      </c>
      <c r="Q25" s="40" t="s">
        <v>8</v>
      </c>
      <c r="R25" s="155" t="s">
        <v>3</v>
      </c>
      <c r="S25" s="27">
        <v>45496</v>
      </c>
      <c r="T25" s="27">
        <v>45496</v>
      </c>
      <c r="U25" s="187">
        <v>45497</v>
      </c>
      <c r="V25" s="29">
        <v>45504</v>
      </c>
      <c r="W25" s="188">
        <v>45509</v>
      </c>
      <c r="X25" s="235" t="s">
        <v>136</v>
      </c>
      <c r="Y25" s="230">
        <v>45519</v>
      </c>
      <c r="Z25" s="227">
        <v>45520</v>
      </c>
      <c r="AA25" s="29" t="str">
        <f t="shared" si="5"/>
        <v/>
      </c>
      <c r="AB25" s="229"/>
      <c r="AC25" s="229" t="str">
        <f t="shared" si="6"/>
        <v/>
      </c>
      <c r="AD25" s="337" t="str">
        <f t="shared" si="7"/>
        <v/>
      </c>
      <c r="AE25" s="92"/>
      <c r="AG25" s="238" t="str">
        <f t="shared" si="8"/>
        <v>LTIA-5.10-VIETUR-70000-RFA-MAS-0320</v>
      </c>
      <c r="AH25" s="243" t="b" cm="1">
        <f t="array" ref="AH25">$E25=_xlfn.XLOOKUP(
AG25,
_xlfn._xlws.FILTER($AG$7:$AG$4572,$L$7:$L$4572&lt;&gt;"X"),
_xlfn._xlws.FILTER($E$7:$E$4572,$L$7:$L$4572&lt;&gt;"X"),
"",
0,
-1
)</f>
        <v>1</v>
      </c>
      <c r="AI25" s="75" t="str">
        <f t="shared" si="9"/>
        <v/>
      </c>
    </row>
    <row r="26" spans="1:35" s="9" customFormat="1" ht="47.25">
      <c r="A26" s="33">
        <f t="shared" si="0"/>
        <v>20</v>
      </c>
      <c r="B26" s="330" t="str">
        <f t="shared" si="1"/>
        <v>5.10</v>
      </c>
      <c r="C26" s="137" t="s">
        <v>131</v>
      </c>
      <c r="D26" s="137" t="s">
        <v>30</v>
      </c>
      <c r="E26" s="25" t="s">
        <v>228</v>
      </c>
      <c r="F26" s="174">
        <f t="shared" si="2"/>
        <v>45533</v>
      </c>
      <c r="G26" s="31" t="s">
        <v>162</v>
      </c>
      <c r="H26" s="21" t="s">
        <v>163</v>
      </c>
      <c r="I26" s="138" t="s">
        <v>3</v>
      </c>
      <c r="J26" s="164">
        <f t="shared" si="3"/>
        <v>18</v>
      </c>
      <c r="K26" s="47">
        <f t="shared" si="4"/>
        <v>0</v>
      </c>
      <c r="L26" s="164"/>
      <c r="M26" s="40" t="s">
        <v>8</v>
      </c>
      <c r="N26" s="41" t="s">
        <v>8</v>
      </c>
      <c r="O26" s="40" t="s">
        <v>8</v>
      </c>
      <c r="P26" s="41" t="s">
        <v>8</v>
      </c>
      <c r="Q26" s="40" t="s">
        <v>8</v>
      </c>
      <c r="R26" s="155" t="s">
        <v>3</v>
      </c>
      <c r="S26" s="27">
        <v>45512</v>
      </c>
      <c r="T26" s="27">
        <v>45512</v>
      </c>
      <c r="U26" s="187">
        <v>45512</v>
      </c>
      <c r="V26" s="29">
        <v>45530</v>
      </c>
      <c r="W26" s="188">
        <v>45530</v>
      </c>
      <c r="X26" s="235" t="s">
        <v>136</v>
      </c>
      <c r="Y26" s="230">
        <v>45545</v>
      </c>
      <c r="Z26" s="227">
        <v>45546</v>
      </c>
      <c r="AA26" s="29" t="str">
        <f t="shared" si="5"/>
        <v/>
      </c>
      <c r="AB26" s="229"/>
      <c r="AC26" s="229" t="str">
        <f t="shared" si="6"/>
        <v/>
      </c>
      <c r="AD26" s="337" t="str">
        <f t="shared" si="7"/>
        <v/>
      </c>
      <c r="AE26" s="92"/>
      <c r="AG26" s="238" t="str">
        <f t="shared" si="8"/>
        <v>LTIA-5.10-VIETUR-70000-RFA-MAS-0208</v>
      </c>
      <c r="AH26" s="243" t="b" cm="1">
        <f t="array" ref="AH26">$E26=_xlfn.XLOOKUP(
AG26,
_xlfn._xlws.FILTER($AG$7:$AG$4572,$L$7:$L$4572&lt;&gt;"X"),
_xlfn._xlws.FILTER($E$7:$E$4572,$L$7:$L$4572&lt;&gt;"X"),
"",
0,
-1
)</f>
        <v>1</v>
      </c>
      <c r="AI26" s="75" t="str">
        <f t="shared" si="9"/>
        <v/>
      </c>
    </row>
    <row r="27" spans="1:35" s="9" customFormat="1" ht="47.25">
      <c r="A27" s="33">
        <f t="shared" si="0"/>
        <v>21</v>
      </c>
      <c r="B27" s="330" t="str">
        <f t="shared" si="1"/>
        <v>5.10</v>
      </c>
      <c r="C27" s="137" t="s">
        <v>151</v>
      </c>
      <c r="D27" s="137" t="s">
        <v>32</v>
      </c>
      <c r="E27" s="25" t="s">
        <v>229</v>
      </c>
      <c r="F27" s="174">
        <f t="shared" si="2"/>
        <v>45540</v>
      </c>
      <c r="G27" s="31" t="s">
        <v>230</v>
      </c>
      <c r="H27" s="21" t="s">
        <v>231</v>
      </c>
      <c r="I27" s="138" t="s">
        <v>2</v>
      </c>
      <c r="J27" s="164">
        <f t="shared" si="3"/>
        <v>15</v>
      </c>
      <c r="K27" s="47">
        <f t="shared" si="4"/>
        <v>0</v>
      </c>
      <c r="L27" s="164"/>
      <c r="M27" s="40" t="s">
        <v>8</v>
      </c>
      <c r="N27" s="41" t="s">
        <v>8</v>
      </c>
      <c r="O27" s="40" t="s">
        <v>8</v>
      </c>
      <c r="P27" s="41" t="s">
        <v>8</v>
      </c>
      <c r="Q27" s="40" t="s">
        <v>8</v>
      </c>
      <c r="R27" s="155" t="s">
        <v>2</v>
      </c>
      <c r="S27" s="27">
        <v>45518</v>
      </c>
      <c r="T27" s="27">
        <v>45518</v>
      </c>
      <c r="U27" s="187">
        <v>45519</v>
      </c>
      <c r="V27" s="29">
        <v>45533</v>
      </c>
      <c r="W27" s="188">
        <v>45534</v>
      </c>
      <c r="X27" s="235" t="s">
        <v>220</v>
      </c>
      <c r="Y27" s="230">
        <v>45548</v>
      </c>
      <c r="Z27" s="227">
        <v>45548</v>
      </c>
      <c r="AA27" s="29">
        <f t="shared" si="5"/>
        <v>45555</v>
      </c>
      <c r="AB27" s="229">
        <v>45581</v>
      </c>
      <c r="AC27" s="229" t="str">
        <f t="shared" si="6"/>
        <v>Late Resubmission</v>
      </c>
      <c r="AD27" s="337">
        <f t="shared" si="7"/>
        <v>26</v>
      </c>
      <c r="AE27" s="92"/>
      <c r="AG27" s="238" t="str">
        <f t="shared" si="8"/>
        <v>LTIA-5.10-VIETUR-70000-RFA-MSS-0123</v>
      </c>
      <c r="AH27" s="243" t="b" cm="1">
        <f t="array" ref="AH27">$E27=_xlfn.XLOOKUP(
AG27,
_xlfn._xlws.FILTER($AG$7:$AG$4572,$L$7:$L$4572&lt;&gt;"X"),
_xlfn._xlws.FILTER($E$7:$E$4572,$L$7:$L$4572&lt;&gt;"X"),
"",
0,
-1
)</f>
        <v>0</v>
      </c>
      <c r="AI27" s="75" t="str">
        <f t="shared" si="9"/>
        <v/>
      </c>
    </row>
    <row r="28" spans="1:35" s="9" customFormat="1" ht="47.25">
      <c r="A28" s="33">
        <f t="shared" si="0"/>
        <v>22</v>
      </c>
      <c r="B28" s="330" t="str">
        <f t="shared" si="1"/>
        <v>5.10</v>
      </c>
      <c r="C28" s="137" t="s">
        <v>144</v>
      </c>
      <c r="D28" s="137" t="s">
        <v>30</v>
      </c>
      <c r="E28" s="25" t="s">
        <v>232</v>
      </c>
      <c r="F28" s="174">
        <f t="shared" si="2"/>
        <v>45546</v>
      </c>
      <c r="G28" s="31" t="s">
        <v>233</v>
      </c>
      <c r="H28" s="21" t="s">
        <v>149</v>
      </c>
      <c r="I28" s="138" t="s">
        <v>1</v>
      </c>
      <c r="J28" s="164">
        <f t="shared" si="3"/>
        <v>58</v>
      </c>
      <c r="K28" s="47">
        <f t="shared" si="4"/>
        <v>37</v>
      </c>
      <c r="L28" s="164"/>
      <c r="M28" s="40" t="s">
        <v>8</v>
      </c>
      <c r="N28" s="41" t="s">
        <v>8</v>
      </c>
      <c r="O28" s="40" t="s">
        <v>8</v>
      </c>
      <c r="P28" s="41" t="s">
        <v>8</v>
      </c>
      <c r="Q28" s="40" t="s">
        <v>8</v>
      </c>
      <c r="R28" s="155" t="s">
        <v>1</v>
      </c>
      <c r="S28" s="27">
        <v>45525</v>
      </c>
      <c r="T28" s="27">
        <v>45525</v>
      </c>
      <c r="U28" s="187">
        <v>45525</v>
      </c>
      <c r="V28" s="29">
        <v>45539</v>
      </c>
      <c r="W28" s="188">
        <v>45583</v>
      </c>
      <c r="X28" s="235" t="s">
        <v>136</v>
      </c>
      <c r="Y28" s="230">
        <v>45588</v>
      </c>
      <c r="Z28" s="227">
        <v>45590</v>
      </c>
      <c r="AA28" s="29">
        <f t="shared" si="5"/>
        <v>45597</v>
      </c>
      <c r="AB28" s="229">
        <v>45603</v>
      </c>
      <c r="AC28" s="229" t="str">
        <f t="shared" si="6"/>
        <v>Late Resubmission</v>
      </c>
      <c r="AD28" s="337">
        <f t="shared" si="7"/>
        <v>6</v>
      </c>
      <c r="AE28" s="92"/>
      <c r="AG28" s="238" t="str">
        <f t="shared" si="8"/>
        <v>LTIA-5.10-VIETUR-70000-RFA-MAS-0158</v>
      </c>
      <c r="AH28" s="243" t="b" cm="1">
        <f t="array" ref="AH28">$E28=_xlfn.XLOOKUP(
AG28,
_xlfn._xlws.FILTER($AG$7:$AG$4572,$L$7:$L$4572&lt;&gt;"X"),
_xlfn._xlws.FILTER($E$7:$E$4572,$L$7:$L$4572&lt;&gt;"X"),
"",
0,
-1
)</f>
        <v>0</v>
      </c>
      <c r="AI28" s="75" t="str">
        <f t="shared" si="9"/>
        <v/>
      </c>
    </row>
    <row r="29" spans="1:35" s="9" customFormat="1" ht="47.25">
      <c r="A29" s="33">
        <f t="shared" si="0"/>
        <v>23</v>
      </c>
      <c r="B29" s="330" t="str">
        <f t="shared" si="1"/>
        <v>5.10</v>
      </c>
      <c r="C29" s="137" t="s">
        <v>197</v>
      </c>
      <c r="D29" s="137" t="s">
        <v>30</v>
      </c>
      <c r="E29" s="25" t="s">
        <v>234</v>
      </c>
      <c r="F29" s="174">
        <f t="shared" si="2"/>
        <v>45616</v>
      </c>
      <c r="G29" s="31" t="s">
        <v>198</v>
      </c>
      <c r="H29" s="21" t="s">
        <v>199</v>
      </c>
      <c r="I29" s="138" t="s">
        <v>3</v>
      </c>
      <c r="J29" s="164">
        <f t="shared" si="3"/>
        <v>21</v>
      </c>
      <c r="K29" s="47">
        <f t="shared" si="4"/>
        <v>0</v>
      </c>
      <c r="L29" s="164"/>
      <c r="M29" s="40" t="s">
        <v>8</v>
      </c>
      <c r="N29" s="41" t="s">
        <v>8</v>
      </c>
      <c r="O29" s="40" t="s">
        <v>8</v>
      </c>
      <c r="P29" s="41" t="s">
        <v>8</v>
      </c>
      <c r="Q29" s="40" t="s">
        <v>8</v>
      </c>
      <c r="R29" s="155" t="s">
        <v>3</v>
      </c>
      <c r="S29" s="27">
        <v>45595</v>
      </c>
      <c r="T29" s="27">
        <v>45595</v>
      </c>
      <c r="U29" s="187">
        <v>45595</v>
      </c>
      <c r="V29" s="29">
        <v>45609</v>
      </c>
      <c r="W29" s="188">
        <v>45616</v>
      </c>
      <c r="X29" s="235" t="s">
        <v>136</v>
      </c>
      <c r="Y29" s="230">
        <v>45985</v>
      </c>
      <c r="Z29" s="227">
        <v>45621</v>
      </c>
      <c r="AA29" s="29" t="str">
        <f t="shared" si="5"/>
        <v/>
      </c>
      <c r="AB29" s="229"/>
      <c r="AC29" s="229" t="str">
        <f t="shared" si="6"/>
        <v/>
      </c>
      <c r="AD29" s="337" t="str">
        <f t="shared" si="7"/>
        <v/>
      </c>
      <c r="AE29" s="92"/>
      <c r="AG29" s="238" t="str">
        <f t="shared" si="8"/>
        <v>LTIA-5.10-VIETUR-70000-RFA-MAS-0307</v>
      </c>
      <c r="AH29" s="243" t="b" cm="1">
        <f t="array" ref="AH29">$E29=_xlfn.XLOOKUP(
AG29,
_xlfn._xlws.FILTER($AG$7:$AG$4572,$L$7:$L$4572&lt;&gt;"X"),
_xlfn._xlws.FILTER($E$7:$E$4572,$L$7:$L$4572&lt;&gt;"X"),
"",
0,
-1
)</f>
        <v>1</v>
      </c>
      <c r="AI29" s="75" t="str">
        <f t="shared" si="9"/>
        <v/>
      </c>
    </row>
    <row r="30" spans="1:35" s="9" customFormat="1" ht="47.25">
      <c r="A30" s="33">
        <f t="shared" si="0"/>
        <v>24</v>
      </c>
      <c r="B30" s="330" t="str">
        <f t="shared" si="1"/>
        <v>5.10</v>
      </c>
      <c r="C30" s="137" t="s">
        <v>144</v>
      </c>
      <c r="D30" s="137" t="s">
        <v>30</v>
      </c>
      <c r="E30" s="25" t="s">
        <v>235</v>
      </c>
      <c r="F30" s="174">
        <f t="shared" si="2"/>
        <v>45575</v>
      </c>
      <c r="G30" s="31" t="s">
        <v>173</v>
      </c>
      <c r="H30" s="21" t="s">
        <v>174</v>
      </c>
      <c r="I30" s="138" t="s">
        <v>1</v>
      </c>
      <c r="J30" s="164">
        <f t="shared" si="3"/>
        <v>50</v>
      </c>
      <c r="K30" s="47">
        <f t="shared" si="4"/>
        <v>29</v>
      </c>
      <c r="L30" s="164"/>
      <c r="M30" s="40" t="s">
        <v>8</v>
      </c>
      <c r="N30" s="41" t="s">
        <v>8</v>
      </c>
      <c r="O30" s="40" t="s">
        <v>8</v>
      </c>
      <c r="P30" s="41" t="s">
        <v>8</v>
      </c>
      <c r="Q30" s="40" t="s">
        <v>8</v>
      </c>
      <c r="R30" s="155" t="s">
        <v>1</v>
      </c>
      <c r="S30" s="27">
        <v>45553</v>
      </c>
      <c r="T30" s="27">
        <v>45553</v>
      </c>
      <c r="U30" s="187">
        <v>45554</v>
      </c>
      <c r="V30" s="29">
        <v>45567</v>
      </c>
      <c r="W30" s="188">
        <v>45604</v>
      </c>
      <c r="X30" s="235" t="s">
        <v>136</v>
      </c>
      <c r="Y30" s="230">
        <v>45617</v>
      </c>
      <c r="Z30" s="227">
        <v>45617</v>
      </c>
      <c r="AA30" s="29">
        <f t="shared" si="5"/>
        <v>45624</v>
      </c>
      <c r="AB30" s="229">
        <v>45719</v>
      </c>
      <c r="AC30" s="229" t="str">
        <f t="shared" si="6"/>
        <v>Late Resubmission</v>
      </c>
      <c r="AD30" s="337">
        <f t="shared" si="7"/>
        <v>95</v>
      </c>
      <c r="AE30" s="92"/>
      <c r="AG30" s="238" t="str">
        <f t="shared" si="8"/>
        <v>LTIA-5.10-VIETUR-70000-RFA-MAS-0258</v>
      </c>
      <c r="AH30" s="243" t="b" cm="1">
        <f t="array" ref="AH30">$E30=_xlfn.XLOOKUP(
AG30,
_xlfn._xlws.FILTER($AG$7:$AG$4572,$L$7:$L$4572&lt;&gt;"X"),
_xlfn._xlws.FILTER($E$7:$E$4572,$L$7:$L$4572&lt;&gt;"X"),
"",
0,
-1
)</f>
        <v>0</v>
      </c>
      <c r="AI30" s="75" t="str">
        <f t="shared" si="9"/>
        <v/>
      </c>
    </row>
    <row r="31" spans="1:35" s="9" customFormat="1" ht="47.25">
      <c r="A31" s="33">
        <f t="shared" si="0"/>
        <v>25</v>
      </c>
      <c r="B31" s="330" t="str">
        <f t="shared" si="1"/>
        <v>5.10</v>
      </c>
      <c r="C31" s="137" t="s">
        <v>195</v>
      </c>
      <c r="D31" s="137" t="s">
        <v>30</v>
      </c>
      <c r="E31" s="25" t="s">
        <v>236</v>
      </c>
      <c r="F31" s="174">
        <f t="shared" si="2"/>
        <v>45586</v>
      </c>
      <c r="G31" s="31" t="s">
        <v>193</v>
      </c>
      <c r="H31" s="21" t="s">
        <v>194</v>
      </c>
      <c r="I31" s="138" t="s">
        <v>2</v>
      </c>
      <c r="J31" s="164">
        <f t="shared" si="3"/>
        <v>29</v>
      </c>
      <c r="K31" s="47">
        <f t="shared" si="4"/>
        <v>8</v>
      </c>
      <c r="L31" s="164"/>
      <c r="M31" s="40" t="s">
        <v>8</v>
      </c>
      <c r="N31" s="41" t="s">
        <v>8</v>
      </c>
      <c r="O31" s="40" t="s">
        <v>8</v>
      </c>
      <c r="P31" s="41" t="s">
        <v>8</v>
      </c>
      <c r="Q31" s="40" t="s">
        <v>8</v>
      </c>
      <c r="R31" s="155" t="s">
        <v>2</v>
      </c>
      <c r="S31" s="27">
        <v>45562</v>
      </c>
      <c r="T31" s="27">
        <v>45562</v>
      </c>
      <c r="U31" s="187">
        <v>45565</v>
      </c>
      <c r="V31" s="29">
        <v>45576</v>
      </c>
      <c r="W31" s="188">
        <v>45594</v>
      </c>
      <c r="X31" s="235" t="s">
        <v>220</v>
      </c>
      <c r="Y31" s="230">
        <v>45609</v>
      </c>
      <c r="Z31" s="227">
        <v>45609</v>
      </c>
      <c r="AA31" s="29">
        <f t="shared" si="5"/>
        <v>45616</v>
      </c>
      <c r="AB31" s="229">
        <v>45630</v>
      </c>
      <c r="AC31" s="229" t="str">
        <f t="shared" si="6"/>
        <v>Late Resubmission</v>
      </c>
      <c r="AD31" s="337">
        <f t="shared" si="7"/>
        <v>14</v>
      </c>
      <c r="AE31" s="92"/>
      <c r="AG31" s="238" t="str">
        <f t="shared" si="8"/>
        <v>LTIA-5.10-VIETUR-70000-RFA-MAS-0305</v>
      </c>
      <c r="AH31" s="243" t="b" cm="1">
        <f t="array" ref="AH31">$E31=_xlfn.XLOOKUP(
AG31,
_xlfn._xlws.FILTER($AG$7:$AG$4572,$L$7:$L$4572&lt;&gt;"X"),
_xlfn._xlws.FILTER($E$7:$E$4572,$L$7:$L$4572&lt;&gt;"X"),
"",
0,
-1
)</f>
        <v>0</v>
      </c>
      <c r="AI31" s="75" t="str">
        <f t="shared" si="9"/>
        <v/>
      </c>
    </row>
    <row r="32" spans="1:35" s="9" customFormat="1" ht="47.25">
      <c r="A32" s="33">
        <f t="shared" si="0"/>
        <v>26</v>
      </c>
      <c r="B32" s="330" t="str">
        <f t="shared" si="1"/>
        <v>5.10</v>
      </c>
      <c r="C32" s="137" t="s">
        <v>151</v>
      </c>
      <c r="D32" s="137" t="s">
        <v>32</v>
      </c>
      <c r="E32" s="25" t="s">
        <v>253</v>
      </c>
      <c r="F32" s="174">
        <f t="shared" si="2"/>
        <v>45602</v>
      </c>
      <c r="G32" s="31" t="s">
        <v>230</v>
      </c>
      <c r="H32" s="21" t="s">
        <v>231</v>
      </c>
      <c r="I32" s="138" t="s">
        <v>3</v>
      </c>
      <c r="J32" s="164">
        <f t="shared" si="3"/>
        <v>9</v>
      </c>
      <c r="K32" s="47">
        <f t="shared" si="4"/>
        <v>0</v>
      </c>
      <c r="L32" s="164"/>
      <c r="M32" s="40" t="s">
        <v>8</v>
      </c>
      <c r="N32" s="41" t="s">
        <v>8</v>
      </c>
      <c r="O32" s="40" t="s">
        <v>8</v>
      </c>
      <c r="P32" s="41" t="s">
        <v>8</v>
      </c>
      <c r="Q32" s="40" t="s">
        <v>8</v>
      </c>
      <c r="R32" s="155" t="s">
        <v>3</v>
      </c>
      <c r="S32" s="27">
        <v>45581</v>
      </c>
      <c r="T32" s="27">
        <v>45581</v>
      </c>
      <c r="U32" s="187">
        <v>45581</v>
      </c>
      <c r="V32" s="29">
        <v>45589</v>
      </c>
      <c r="W32" s="188">
        <v>45590</v>
      </c>
      <c r="X32" s="235" t="s">
        <v>220</v>
      </c>
      <c r="Y32" s="230">
        <v>45594</v>
      </c>
      <c r="Z32" s="227">
        <v>45595</v>
      </c>
      <c r="AA32" s="29" t="str">
        <f t="shared" si="5"/>
        <v/>
      </c>
      <c r="AB32" s="229"/>
      <c r="AC32" s="229" t="str">
        <f t="shared" si="6"/>
        <v/>
      </c>
      <c r="AD32" s="337" t="str">
        <f t="shared" si="7"/>
        <v/>
      </c>
      <c r="AE32" s="92"/>
      <c r="AG32" s="238" t="str">
        <f t="shared" si="8"/>
        <v>LTIA-5.10-VIETUR-70000-RFA-MSS-0123</v>
      </c>
      <c r="AH32" s="243" t="b" cm="1">
        <f t="array" ref="AH32">$E32=_xlfn.XLOOKUP(
AG32,
_xlfn._xlws.FILTER($AG$7:$AG$4572,$L$7:$L$4572&lt;&gt;"X"),
_xlfn._xlws.FILTER($E$7:$E$4572,$L$7:$L$4572&lt;&gt;"X"),
"",
0,
-1
)</f>
        <v>1</v>
      </c>
      <c r="AI32" s="75" t="str">
        <f t="shared" si="9"/>
        <v/>
      </c>
    </row>
    <row r="33" spans="1:35" s="9" customFormat="1" ht="47.25">
      <c r="A33" s="33">
        <f t="shared" si="0"/>
        <v>27</v>
      </c>
      <c r="B33" s="330" t="str">
        <f t="shared" si="1"/>
        <v>5.10</v>
      </c>
      <c r="C33" s="137" t="s">
        <v>144</v>
      </c>
      <c r="D33" s="137" t="s">
        <v>30</v>
      </c>
      <c r="E33" s="25" t="s">
        <v>254</v>
      </c>
      <c r="F33" s="174">
        <f t="shared" si="2"/>
        <v>45624</v>
      </c>
      <c r="G33" s="31" t="s">
        <v>233</v>
      </c>
      <c r="H33" s="21" t="s">
        <v>149</v>
      </c>
      <c r="I33" s="138" t="s">
        <v>1</v>
      </c>
      <c r="J33" s="164">
        <f t="shared" si="3"/>
        <v>35</v>
      </c>
      <c r="K33" s="47">
        <f t="shared" si="4"/>
        <v>14</v>
      </c>
      <c r="L33" s="164"/>
      <c r="M33" s="40" t="s">
        <v>8</v>
      </c>
      <c r="N33" s="41" t="s">
        <v>8</v>
      </c>
      <c r="O33" s="40" t="s">
        <v>8</v>
      </c>
      <c r="P33" s="41" t="s">
        <v>8</v>
      </c>
      <c r="Q33" s="40" t="s">
        <v>8</v>
      </c>
      <c r="R33" s="155" t="s">
        <v>1</v>
      </c>
      <c r="S33" s="27">
        <v>45603</v>
      </c>
      <c r="T33" s="27">
        <v>45603</v>
      </c>
      <c r="U33" s="187">
        <v>45603</v>
      </c>
      <c r="V33" s="29">
        <v>45618</v>
      </c>
      <c r="W33" s="188">
        <v>45638</v>
      </c>
      <c r="X33" s="235" t="s">
        <v>255</v>
      </c>
      <c r="Y33" s="230">
        <v>45652</v>
      </c>
      <c r="Z33" s="227">
        <v>45656</v>
      </c>
      <c r="AA33" s="29">
        <f t="shared" si="5"/>
        <v>45663</v>
      </c>
      <c r="AB33" s="229">
        <v>45666</v>
      </c>
      <c r="AC33" s="229" t="str">
        <f t="shared" si="6"/>
        <v>Late Resubmission</v>
      </c>
      <c r="AD33" s="337">
        <f t="shared" si="7"/>
        <v>3</v>
      </c>
      <c r="AE33" s="92"/>
      <c r="AG33" s="238" t="str">
        <f t="shared" si="8"/>
        <v>LTIA-5.10-VIETUR-70000-RFA-MAS-0158</v>
      </c>
      <c r="AH33" s="243" t="b" cm="1">
        <f t="array" ref="AH33">$E33=_xlfn.XLOOKUP(
AG33,
_xlfn._xlws.FILTER($AG$7:$AG$4572,$L$7:$L$4572&lt;&gt;"X"),
_xlfn._xlws.FILTER($E$7:$E$4572,$L$7:$L$4572&lt;&gt;"X"),
"",
0,
-1
)</f>
        <v>0</v>
      </c>
      <c r="AI33" s="75" t="str">
        <f t="shared" si="9"/>
        <v/>
      </c>
    </row>
    <row r="34" spans="1:35" s="9" customFormat="1" ht="47.25">
      <c r="A34" s="33">
        <f t="shared" si="0"/>
        <v>28</v>
      </c>
      <c r="B34" s="330" t="str">
        <f t="shared" si="1"/>
        <v>5.10</v>
      </c>
      <c r="C34" s="164" t="s">
        <v>259</v>
      </c>
      <c r="D34" s="137" t="s">
        <v>30</v>
      </c>
      <c r="E34" s="25" t="s">
        <v>256</v>
      </c>
      <c r="F34" s="174">
        <f t="shared" si="2"/>
        <v>45635</v>
      </c>
      <c r="G34" s="31" t="s">
        <v>257</v>
      </c>
      <c r="H34" s="21" t="s">
        <v>258</v>
      </c>
      <c r="I34" s="138" t="s">
        <v>3</v>
      </c>
      <c r="J34" s="164">
        <f t="shared" si="3"/>
        <v>14</v>
      </c>
      <c r="K34" s="47">
        <f t="shared" si="4"/>
        <v>0</v>
      </c>
      <c r="L34" s="164"/>
      <c r="M34" s="40" t="s">
        <v>8</v>
      </c>
      <c r="N34" s="41" t="s">
        <v>8</v>
      </c>
      <c r="O34" s="40" t="s">
        <v>8</v>
      </c>
      <c r="P34" s="41" t="s">
        <v>8</v>
      </c>
      <c r="Q34" s="40" t="s">
        <v>8</v>
      </c>
      <c r="R34" s="155" t="s">
        <v>3</v>
      </c>
      <c r="S34" s="27">
        <v>45614</v>
      </c>
      <c r="T34" s="27">
        <v>45614</v>
      </c>
      <c r="U34" s="187">
        <v>45614</v>
      </c>
      <c r="V34" s="29">
        <v>45628</v>
      </c>
      <c r="W34" s="188">
        <v>45628</v>
      </c>
      <c r="X34" s="235" t="s">
        <v>136</v>
      </c>
      <c r="Y34" s="230">
        <v>45646</v>
      </c>
      <c r="Z34" s="227">
        <v>45649</v>
      </c>
      <c r="AA34" s="29" t="str">
        <f t="shared" si="5"/>
        <v/>
      </c>
      <c r="AB34" s="229"/>
      <c r="AC34" s="229" t="str">
        <f t="shared" si="6"/>
        <v/>
      </c>
      <c r="AD34" s="337" t="str">
        <f t="shared" si="7"/>
        <v/>
      </c>
      <c r="AE34" s="92"/>
      <c r="AG34" s="238" t="str">
        <f t="shared" si="8"/>
        <v>LTIA-5.10-VIETUR-70000-RFA-MAS-0409</v>
      </c>
      <c r="AH34" s="243" t="b" cm="1">
        <f t="array" ref="AH34">$E34=_xlfn.XLOOKUP(
AG34,
_xlfn._xlws.FILTER($AG$7:$AG$4572,$L$7:$L$4572&lt;&gt;"X"),
_xlfn._xlws.FILTER($E$7:$E$4572,$L$7:$L$4572&lt;&gt;"X"),
"",
0,
-1
)</f>
        <v>1</v>
      </c>
      <c r="AI34" s="75" t="str">
        <f t="shared" si="9"/>
        <v/>
      </c>
    </row>
    <row r="35" spans="1:35" s="9" customFormat="1" ht="47.25">
      <c r="A35" s="33">
        <f t="shared" si="0"/>
        <v>29</v>
      </c>
      <c r="B35" s="330" t="str">
        <f t="shared" si="1"/>
        <v>5.10</v>
      </c>
      <c r="C35" s="137" t="s">
        <v>195</v>
      </c>
      <c r="D35" s="137" t="s">
        <v>30</v>
      </c>
      <c r="E35" s="25" t="s">
        <v>260</v>
      </c>
      <c r="F35" s="174">
        <f t="shared" si="2"/>
        <v>45651</v>
      </c>
      <c r="G35" s="31" t="s">
        <v>193</v>
      </c>
      <c r="H35" s="21" t="s">
        <v>194</v>
      </c>
      <c r="I35" s="138" t="s">
        <v>3</v>
      </c>
      <c r="J35" s="164">
        <f t="shared" si="3"/>
        <v>17</v>
      </c>
      <c r="K35" s="47">
        <f t="shared" si="4"/>
        <v>0</v>
      </c>
      <c r="L35" s="164"/>
      <c r="M35" s="40" t="s">
        <v>8</v>
      </c>
      <c r="N35" s="41" t="s">
        <v>8</v>
      </c>
      <c r="O35" s="40" t="s">
        <v>8</v>
      </c>
      <c r="P35" s="41" t="s">
        <v>8</v>
      </c>
      <c r="Q35" s="40" t="s">
        <v>8</v>
      </c>
      <c r="R35" s="155" t="s">
        <v>3</v>
      </c>
      <c r="S35" s="27">
        <v>45630</v>
      </c>
      <c r="T35" s="27">
        <v>45630</v>
      </c>
      <c r="U35" s="187">
        <v>45630</v>
      </c>
      <c r="V35" s="29">
        <v>45643</v>
      </c>
      <c r="W35" s="188">
        <v>45647</v>
      </c>
      <c r="X35" s="235" t="s">
        <v>240</v>
      </c>
      <c r="Y35" s="230">
        <v>45665</v>
      </c>
      <c r="Z35" s="227">
        <v>45670</v>
      </c>
      <c r="AA35" s="29" t="str">
        <f t="shared" si="5"/>
        <v/>
      </c>
      <c r="AB35" s="229"/>
      <c r="AC35" s="229" t="str">
        <f t="shared" si="6"/>
        <v/>
      </c>
      <c r="AD35" s="337" t="str">
        <f t="shared" si="7"/>
        <v/>
      </c>
      <c r="AE35" s="92"/>
      <c r="AG35" s="238" t="str">
        <f t="shared" si="8"/>
        <v>LTIA-5.10-VIETUR-70000-RFA-MAS-0305</v>
      </c>
      <c r="AH35" s="243" t="b" cm="1">
        <f t="array" ref="AH35">$E35=_xlfn.XLOOKUP(
AG35,
_xlfn._xlws.FILTER($AG$7:$AG$4572,$L$7:$L$4572&lt;&gt;"X"),
_xlfn._xlws.FILTER($E$7:$E$4572,$L$7:$L$4572&lt;&gt;"X"),
"",
0,
-1
)</f>
        <v>1</v>
      </c>
      <c r="AI35" s="75" t="str">
        <f t="shared" si="9"/>
        <v/>
      </c>
    </row>
    <row r="36" spans="1:35" s="9" customFormat="1" ht="47.25">
      <c r="A36" s="33">
        <f t="shared" si="0"/>
        <v>30</v>
      </c>
      <c r="B36" s="330" t="str">
        <f t="shared" si="1"/>
        <v>5.10</v>
      </c>
      <c r="C36" s="137" t="s">
        <v>131</v>
      </c>
      <c r="D36" s="137" t="s">
        <v>30</v>
      </c>
      <c r="E36" s="25" t="s">
        <v>264</v>
      </c>
      <c r="F36" s="174">
        <f t="shared" si="2"/>
        <v>45680</v>
      </c>
      <c r="G36" s="31" t="s">
        <v>211</v>
      </c>
      <c r="H36" s="21" t="s">
        <v>212</v>
      </c>
      <c r="I36" s="138" t="s">
        <v>3</v>
      </c>
      <c r="J36" s="164">
        <f t="shared" si="3"/>
        <v>7</v>
      </c>
      <c r="K36" s="47">
        <f t="shared" si="4"/>
        <v>0</v>
      </c>
      <c r="L36" s="164"/>
      <c r="M36" s="40" t="s">
        <v>8</v>
      </c>
      <c r="N36" s="41" t="s">
        <v>8</v>
      </c>
      <c r="O36" s="40" t="s">
        <v>8</v>
      </c>
      <c r="P36" s="41" t="s">
        <v>8</v>
      </c>
      <c r="Q36" s="40" t="s">
        <v>8</v>
      </c>
      <c r="R36" s="155" t="s">
        <v>3</v>
      </c>
      <c r="S36" s="27">
        <v>45659</v>
      </c>
      <c r="T36" s="27">
        <v>45659</v>
      </c>
      <c r="U36" s="187">
        <v>45659</v>
      </c>
      <c r="V36" s="29">
        <v>45665</v>
      </c>
      <c r="W36" s="188">
        <v>45666</v>
      </c>
      <c r="X36" s="235" t="s">
        <v>136</v>
      </c>
      <c r="Y36" s="230">
        <v>45695</v>
      </c>
      <c r="Z36" s="227">
        <v>45700</v>
      </c>
      <c r="AA36" s="29" t="str">
        <f t="shared" si="5"/>
        <v/>
      </c>
      <c r="AB36" s="229"/>
      <c r="AC36" s="229" t="str">
        <f t="shared" si="6"/>
        <v/>
      </c>
      <c r="AD36" s="337" t="str">
        <f t="shared" si="7"/>
        <v/>
      </c>
      <c r="AE36" s="92"/>
      <c r="AG36" s="238" t="str">
        <f t="shared" si="8"/>
        <v>LTIA-5.10-VIETUR-70000-RFA-MAS-0318</v>
      </c>
      <c r="AH36" s="243" t="b" cm="1">
        <f t="array" ref="AH36">$E36=_xlfn.XLOOKUP(
AG36,
_xlfn._xlws.FILTER($AG$7:$AG$4572,$L$7:$L$4572&lt;&gt;"X"),
_xlfn._xlws.FILTER($E$7:$E$4572,$L$7:$L$4572&lt;&gt;"X"),
"",
0,
-1
)</f>
        <v>1</v>
      </c>
      <c r="AI36" s="75" t="str">
        <f t="shared" si="9"/>
        <v/>
      </c>
    </row>
    <row r="37" spans="1:35" s="9" customFormat="1" ht="47.25">
      <c r="A37" s="33">
        <f t="shared" si="0"/>
        <v>31</v>
      </c>
      <c r="B37" s="330" t="str">
        <f t="shared" si="1"/>
        <v>5.10</v>
      </c>
      <c r="C37" s="164" t="s">
        <v>144</v>
      </c>
      <c r="D37" s="164" t="s">
        <v>28</v>
      </c>
      <c r="E37" s="25" t="s">
        <v>261</v>
      </c>
      <c r="F37" s="174">
        <f t="shared" si="2"/>
        <v>45656</v>
      </c>
      <c r="G37" s="31" t="s">
        <v>262</v>
      </c>
      <c r="H37" s="21" t="s">
        <v>263</v>
      </c>
      <c r="I37" s="138" t="s">
        <v>3</v>
      </c>
      <c r="J37" s="164">
        <f t="shared" si="3"/>
        <v>12</v>
      </c>
      <c r="K37" s="47">
        <f t="shared" si="4"/>
        <v>0</v>
      </c>
      <c r="L37" s="164"/>
      <c r="M37" s="40" t="s">
        <v>8</v>
      </c>
      <c r="N37" s="41" t="s">
        <v>8</v>
      </c>
      <c r="O37" s="40" t="s">
        <v>8</v>
      </c>
      <c r="P37" s="41" t="s">
        <v>8</v>
      </c>
      <c r="Q37" s="40" t="s">
        <v>8</v>
      </c>
      <c r="R37" s="155" t="s">
        <v>3</v>
      </c>
      <c r="S37" s="27">
        <v>45635</v>
      </c>
      <c r="T37" s="27">
        <v>45635</v>
      </c>
      <c r="U37" s="187">
        <v>45635</v>
      </c>
      <c r="V37" s="29">
        <v>45646</v>
      </c>
      <c r="W37" s="188">
        <v>45647</v>
      </c>
      <c r="X37" s="235" t="s">
        <v>190</v>
      </c>
      <c r="Y37" s="230">
        <v>45659</v>
      </c>
      <c r="Z37" s="227">
        <v>45660</v>
      </c>
      <c r="AA37" s="29" t="str">
        <f t="shared" si="5"/>
        <v/>
      </c>
      <c r="AB37" s="229"/>
      <c r="AC37" s="229" t="str">
        <f t="shared" si="6"/>
        <v/>
      </c>
      <c r="AD37" s="337" t="str">
        <f t="shared" si="7"/>
        <v/>
      </c>
      <c r="AE37" s="92"/>
      <c r="AG37" s="238" t="str">
        <f t="shared" si="8"/>
        <v>LTIA-5.10-VIETUR-70000-RFA-OTH-0328</v>
      </c>
      <c r="AH37" s="243" t="b" cm="1">
        <f t="array" ref="AH37">$E37=_xlfn.XLOOKUP(
AG37,
_xlfn._xlws.FILTER($AG$7:$AG$4572,$L$7:$L$4572&lt;&gt;"X"),
_xlfn._xlws.FILTER($E$7:$E$4572,$L$7:$L$4572&lt;&gt;"X"),
"",
0,
-1
)</f>
        <v>1</v>
      </c>
      <c r="AI37" s="75" t="str">
        <f t="shared" si="9"/>
        <v/>
      </c>
    </row>
    <row r="38" spans="1:35" s="9" customFormat="1" ht="47.25">
      <c r="A38" s="33">
        <f t="shared" si="0"/>
        <v>32</v>
      </c>
      <c r="B38" s="330" t="str">
        <f t="shared" si="1"/>
        <v>5.10</v>
      </c>
      <c r="C38" s="137" t="s">
        <v>144</v>
      </c>
      <c r="D38" s="137" t="s">
        <v>30</v>
      </c>
      <c r="E38" s="25" t="s">
        <v>300</v>
      </c>
      <c r="F38" s="174">
        <f t="shared" si="2"/>
        <v>45688</v>
      </c>
      <c r="G38" s="31" t="s">
        <v>233</v>
      </c>
      <c r="H38" s="21" t="s">
        <v>149</v>
      </c>
      <c r="I38" s="138" t="s">
        <v>3</v>
      </c>
      <c r="J38" s="164">
        <f t="shared" si="3"/>
        <v>27</v>
      </c>
      <c r="K38" s="47">
        <f t="shared" si="4"/>
        <v>6</v>
      </c>
      <c r="L38" s="164"/>
      <c r="M38" s="40" t="s">
        <v>8</v>
      </c>
      <c r="N38" s="41" t="s">
        <v>8</v>
      </c>
      <c r="O38" s="40" t="s">
        <v>8</v>
      </c>
      <c r="P38" s="41" t="s">
        <v>8</v>
      </c>
      <c r="Q38" s="40" t="s">
        <v>8</v>
      </c>
      <c r="R38" s="155" t="s">
        <v>3</v>
      </c>
      <c r="S38" s="27">
        <v>45666</v>
      </c>
      <c r="T38" s="27">
        <v>45666</v>
      </c>
      <c r="U38" s="187">
        <v>45667</v>
      </c>
      <c r="V38" s="29">
        <v>45681</v>
      </c>
      <c r="W38" s="188">
        <v>45694</v>
      </c>
      <c r="X38" s="235" t="s">
        <v>301</v>
      </c>
      <c r="Y38" s="230">
        <v>45695</v>
      </c>
      <c r="Z38" s="227">
        <v>45700</v>
      </c>
      <c r="AA38" s="29" t="str">
        <f t="shared" si="5"/>
        <v/>
      </c>
      <c r="AB38" s="229"/>
      <c r="AC38" s="229" t="str">
        <f t="shared" si="6"/>
        <v/>
      </c>
      <c r="AD38" s="337" t="str">
        <f t="shared" si="7"/>
        <v/>
      </c>
      <c r="AE38" s="92"/>
      <c r="AG38" s="238" t="str">
        <f t="shared" si="8"/>
        <v>LTIA-5.10-VIETUR-70000-RFA-MAS-0158</v>
      </c>
      <c r="AH38" s="243" t="b" cm="1">
        <f t="array" ref="AH38">$E38=_xlfn.XLOOKUP(
AG38,
_xlfn._xlws.FILTER($AG$7:$AG$4572,$L$7:$L$4572&lt;&gt;"X"),
_xlfn._xlws.FILTER($E$7:$E$4572,$L$7:$L$4572&lt;&gt;"X"),
"",
0,
-1
)</f>
        <v>1</v>
      </c>
      <c r="AI38" s="75" t="str">
        <f t="shared" si="9"/>
        <v/>
      </c>
    </row>
    <row r="39" spans="1:35" s="9" customFormat="1" ht="63">
      <c r="A39" s="33">
        <f t="shared" ref="A39:A70" si="10">A38+1</f>
        <v>33</v>
      </c>
      <c r="B39" s="330" t="str">
        <f t="shared" ref="B39:B70" si="11">MID(E39, FIND("-", E39) + 1, 4)</f>
        <v>5.10</v>
      </c>
      <c r="C39" s="164" t="s">
        <v>305</v>
      </c>
      <c r="D39" s="137" t="s">
        <v>32</v>
      </c>
      <c r="E39" s="25" t="s">
        <v>302</v>
      </c>
      <c r="F39" s="174">
        <f t="shared" si="2"/>
        <v>45698</v>
      </c>
      <c r="G39" s="31" t="s">
        <v>303</v>
      </c>
      <c r="H39" s="21" t="s">
        <v>304</v>
      </c>
      <c r="I39" s="138" t="s">
        <v>3</v>
      </c>
      <c r="J39" s="164">
        <f t="shared" si="3"/>
        <v>29</v>
      </c>
      <c r="K39" s="47">
        <f t="shared" si="4"/>
        <v>8</v>
      </c>
      <c r="L39" s="164"/>
      <c r="M39" s="40" t="s">
        <v>8</v>
      </c>
      <c r="N39" s="41" t="s">
        <v>8</v>
      </c>
      <c r="O39" s="40" t="s">
        <v>8</v>
      </c>
      <c r="P39" s="41" t="s">
        <v>8</v>
      </c>
      <c r="Q39" s="40" t="s">
        <v>8</v>
      </c>
      <c r="R39" s="155" t="s">
        <v>3</v>
      </c>
      <c r="S39" s="27">
        <v>45677</v>
      </c>
      <c r="T39" s="27">
        <v>45677</v>
      </c>
      <c r="U39" s="187">
        <v>45677</v>
      </c>
      <c r="V39" s="29">
        <v>45692</v>
      </c>
      <c r="W39" s="188">
        <v>45706</v>
      </c>
      <c r="X39" s="235" t="s">
        <v>136</v>
      </c>
      <c r="Y39" s="230">
        <v>45730</v>
      </c>
      <c r="Z39" s="227">
        <v>45737</v>
      </c>
      <c r="AA39" s="29" t="str">
        <f t="shared" si="5"/>
        <v/>
      </c>
      <c r="AB39" s="229"/>
      <c r="AC39" s="229" t="str">
        <f t="shared" ref="AC39:AC70" si="12">IF(OR($R39="B",$R39="C"),IF($AA39="","",IF($AB39="",IF($AA39&gt;=$J$1,"In progress","Not submit yet"),IF($AA39&gt;=$AB39,"Timely Response","Late Resubmission"))),"")</f>
        <v/>
      </c>
      <c r="AD39" s="337" t="str">
        <f t="shared" ref="AD39:AD70" si="13">IF(AC39="Late Resubmission",IF(AB39="","",AB39-AA39),IF(AC39="Not submit yet",IF(AA39="","",$J$1-AA39),""))</f>
        <v/>
      </c>
      <c r="AE39" s="92"/>
      <c r="AG39" s="238" t="str">
        <f t="shared" ref="AG39:AG124" si="14">IF(AND(RIGHT($E39,1)&gt;="A",RIGHT($E39,1)&lt;="Z"),LEFT($E39,LEN($E39)-1),$E39)</f>
        <v>LTIA-5.10-VIETUR-70000-RFA-MSS-0153</v>
      </c>
      <c r="AH39" s="243" t="b" cm="1">
        <f t="array" ref="AH39">$E39=_xlfn.XLOOKUP(
AG39,
_xlfn._xlws.FILTER($AG$7:$AG$4572,$L$7:$L$4572&lt;&gt;"X"),
_xlfn._xlws.FILTER($E$7:$E$4572,$L$7:$L$4572&lt;&gt;"X"),
"",
0,
-1
)</f>
        <v>1</v>
      </c>
      <c r="AI39" s="75" t="str">
        <f t="shared" si="9"/>
        <v/>
      </c>
    </row>
    <row r="40" spans="1:35" s="9" customFormat="1" ht="47.25">
      <c r="A40" s="33">
        <f t="shared" si="10"/>
        <v>34</v>
      </c>
      <c r="B40" s="330" t="str">
        <f t="shared" si="11"/>
        <v>5.10</v>
      </c>
      <c r="C40" s="137" t="s">
        <v>131</v>
      </c>
      <c r="D40" s="137" t="s">
        <v>30</v>
      </c>
      <c r="E40" s="25" t="s">
        <v>306</v>
      </c>
      <c r="F40" s="174">
        <f t="shared" si="2"/>
        <v>45713</v>
      </c>
      <c r="G40" s="31" t="s">
        <v>307</v>
      </c>
      <c r="H40" s="21" t="s">
        <v>308</v>
      </c>
      <c r="I40" s="138" t="s">
        <v>3</v>
      </c>
      <c r="J40" s="164">
        <f t="shared" si="3"/>
        <v>8</v>
      </c>
      <c r="K40" s="47">
        <f t="shared" si="4"/>
        <v>0</v>
      </c>
      <c r="L40" s="164"/>
      <c r="M40" s="40" t="s">
        <v>8</v>
      </c>
      <c r="N40" s="41" t="s">
        <v>8</v>
      </c>
      <c r="O40" s="40" t="s">
        <v>8</v>
      </c>
      <c r="P40" s="41" t="s">
        <v>8</v>
      </c>
      <c r="Q40" s="40" t="s">
        <v>8</v>
      </c>
      <c r="R40" s="155" t="s">
        <v>3</v>
      </c>
      <c r="S40" s="27">
        <v>45678</v>
      </c>
      <c r="T40" s="27">
        <v>45678</v>
      </c>
      <c r="U40" s="187">
        <v>45692</v>
      </c>
      <c r="V40" s="29">
        <v>45700</v>
      </c>
      <c r="W40" s="188">
        <v>45700</v>
      </c>
      <c r="X40" s="235" t="s">
        <v>190</v>
      </c>
      <c r="Y40" s="230">
        <v>45730</v>
      </c>
      <c r="Z40" s="227">
        <v>45737</v>
      </c>
      <c r="AA40" s="29" t="str">
        <f t="shared" si="5"/>
        <v/>
      </c>
      <c r="AB40" s="229"/>
      <c r="AC40" s="229" t="str">
        <f t="shared" si="12"/>
        <v/>
      </c>
      <c r="AD40" s="337" t="str">
        <f t="shared" si="13"/>
        <v/>
      </c>
      <c r="AE40" s="92"/>
      <c r="AG40" s="238" t="str">
        <f t="shared" si="14"/>
        <v>LTIA-5.10-VIETUR-70000-RFA-MAS-0468</v>
      </c>
      <c r="AH40" s="243" t="b" cm="1">
        <f t="array" ref="AH40">$E40=_xlfn.XLOOKUP(
AG40,
_xlfn._xlws.FILTER($AG$7:$AG$4572,$L$7:$L$4572&lt;&gt;"X"),
_xlfn._xlws.FILTER($E$7:$E$4572,$L$7:$L$4572&lt;&gt;"X"),
"",
0,
-1
)</f>
        <v>1</v>
      </c>
      <c r="AI40" s="75" t="str">
        <f t="shared" si="9"/>
        <v/>
      </c>
    </row>
    <row r="41" spans="1:35" s="9" customFormat="1" ht="47.25">
      <c r="A41" s="33">
        <f t="shared" si="10"/>
        <v>35</v>
      </c>
      <c r="B41" s="330" t="str">
        <f t="shared" si="11"/>
        <v>5.10</v>
      </c>
      <c r="C41" s="137" t="s">
        <v>144</v>
      </c>
      <c r="D41" s="137" t="s">
        <v>30</v>
      </c>
      <c r="E41" s="25" t="s">
        <v>311</v>
      </c>
      <c r="F41" s="174">
        <f t="shared" si="2"/>
        <v>45741</v>
      </c>
      <c r="G41" s="31" t="s">
        <v>173</v>
      </c>
      <c r="H41" s="21" t="s">
        <v>174</v>
      </c>
      <c r="I41" s="138" t="s">
        <v>3</v>
      </c>
      <c r="J41" s="164">
        <f t="shared" si="3"/>
        <v>10</v>
      </c>
      <c r="K41" s="47">
        <f t="shared" si="4"/>
        <v>0</v>
      </c>
      <c r="L41" s="164"/>
      <c r="M41" s="40" t="s">
        <v>8</v>
      </c>
      <c r="N41" s="41" t="s">
        <v>8</v>
      </c>
      <c r="O41" s="40" t="s">
        <v>8</v>
      </c>
      <c r="P41" s="41" t="s">
        <v>8</v>
      </c>
      <c r="Q41" s="40" t="s">
        <v>8</v>
      </c>
      <c r="R41" s="155" t="s">
        <v>3</v>
      </c>
      <c r="S41" s="27">
        <v>45719</v>
      </c>
      <c r="T41" s="27">
        <v>45719</v>
      </c>
      <c r="U41" s="187">
        <v>45720</v>
      </c>
      <c r="V41" s="29">
        <v>45729</v>
      </c>
      <c r="W41" s="188">
        <v>45730</v>
      </c>
      <c r="X41" s="235" t="s">
        <v>190</v>
      </c>
      <c r="Y41" s="230">
        <v>45736</v>
      </c>
      <c r="Z41" s="227">
        <v>45737</v>
      </c>
      <c r="AA41" s="29" t="str">
        <f t="shared" si="5"/>
        <v/>
      </c>
      <c r="AB41" s="229"/>
      <c r="AC41" s="229" t="str">
        <f t="shared" si="12"/>
        <v/>
      </c>
      <c r="AD41" s="337" t="str">
        <f t="shared" si="13"/>
        <v/>
      </c>
      <c r="AE41" s="92"/>
      <c r="AG41" s="238" t="str">
        <f t="shared" si="14"/>
        <v>LTIA-5.10-VIETUR-70000-RFA-MAS-0258</v>
      </c>
      <c r="AH41" s="243" t="b" cm="1">
        <f t="array" ref="AH41">$E41=_xlfn.XLOOKUP(
AG41,
_xlfn._xlws.FILTER($AG$7:$AG$4572,$L$7:$L$4572&lt;&gt;"X"),
_xlfn._xlws.FILTER($E$7:$E$4572,$L$7:$L$4572&lt;&gt;"X"),
"",
0,
-1
)</f>
        <v>1</v>
      </c>
      <c r="AI41" s="75" t="str">
        <f t="shared" si="9"/>
        <v/>
      </c>
    </row>
    <row r="42" spans="1:35" s="9" customFormat="1" ht="47.25">
      <c r="A42" s="33">
        <f t="shared" si="10"/>
        <v>36</v>
      </c>
      <c r="B42" s="330" t="str">
        <f t="shared" si="11"/>
        <v>5.10</v>
      </c>
      <c r="C42" s="137" t="s">
        <v>131</v>
      </c>
      <c r="D42" s="137" t="s">
        <v>30</v>
      </c>
      <c r="E42" s="25" t="s">
        <v>312</v>
      </c>
      <c r="F42" s="174">
        <f t="shared" si="2"/>
        <v>45770</v>
      </c>
      <c r="G42" s="31" t="s">
        <v>313</v>
      </c>
      <c r="H42" s="21" t="s">
        <v>314</v>
      </c>
      <c r="I42" s="138" t="s">
        <v>3</v>
      </c>
      <c r="J42" s="164">
        <f t="shared" si="3"/>
        <v>7</v>
      </c>
      <c r="K42" s="47">
        <f t="shared" si="4"/>
        <v>0</v>
      </c>
      <c r="L42" s="164"/>
      <c r="M42" s="40" t="s">
        <v>8</v>
      </c>
      <c r="N42" s="41" t="s">
        <v>8</v>
      </c>
      <c r="O42" s="40" t="s">
        <v>8</v>
      </c>
      <c r="P42" s="41" t="s">
        <v>8</v>
      </c>
      <c r="Q42" s="40" t="s">
        <v>8</v>
      </c>
      <c r="R42" s="155" t="s">
        <v>3</v>
      </c>
      <c r="S42" s="27">
        <v>45748</v>
      </c>
      <c r="T42" s="27">
        <v>45748</v>
      </c>
      <c r="U42" s="187">
        <v>45749</v>
      </c>
      <c r="V42" s="29">
        <v>45756</v>
      </c>
      <c r="W42" s="188">
        <v>45756</v>
      </c>
      <c r="X42" s="235" t="s">
        <v>136</v>
      </c>
      <c r="Y42" s="230">
        <v>45772</v>
      </c>
      <c r="Z42" s="227">
        <v>45772</v>
      </c>
      <c r="AA42" s="29" t="str">
        <f t="shared" si="5"/>
        <v/>
      </c>
      <c r="AB42" s="229"/>
      <c r="AC42" s="229" t="str">
        <f t="shared" si="12"/>
        <v/>
      </c>
      <c r="AD42" s="337" t="str">
        <f t="shared" si="13"/>
        <v/>
      </c>
      <c r="AE42" s="92"/>
      <c r="AG42" s="238" t="str">
        <f t="shared" si="14"/>
        <v>LTIA-5.10-VIETUR-70000-RFA-MAS-0519</v>
      </c>
      <c r="AH42" s="243" t="b" cm="1">
        <f t="array" ref="AH42">$E42=_xlfn.XLOOKUP(
AG42,
_xlfn._xlws.FILTER($AG$7:$AG$4572,$L$7:$L$4572&lt;&gt;"X"),
_xlfn._xlws.FILTER($E$7:$E$4572,$L$7:$L$4572&lt;&gt;"X"),
"",
0,
-1
)</f>
        <v>1</v>
      </c>
      <c r="AI42" s="75" t="str">
        <f t="shared" si="9"/>
        <v/>
      </c>
    </row>
    <row r="43" spans="1:35" s="9" customFormat="1" ht="47.25">
      <c r="A43" s="33">
        <f t="shared" si="10"/>
        <v>37</v>
      </c>
      <c r="B43" s="330" t="str">
        <f t="shared" si="11"/>
        <v>5.10</v>
      </c>
      <c r="C43" s="137" t="s">
        <v>195</v>
      </c>
      <c r="D43" s="137" t="s">
        <v>30</v>
      </c>
      <c r="E43" s="25" t="s">
        <v>322</v>
      </c>
      <c r="F43" s="174">
        <f t="shared" si="2"/>
        <v>45778</v>
      </c>
      <c r="G43" s="31" t="s">
        <v>323</v>
      </c>
      <c r="H43" s="21" t="s">
        <v>324</v>
      </c>
      <c r="I43" s="138" t="s">
        <v>3</v>
      </c>
      <c r="J43" s="164">
        <f t="shared" si="3"/>
        <v>19</v>
      </c>
      <c r="K43" s="47">
        <f t="shared" si="4"/>
        <v>0</v>
      </c>
      <c r="L43" s="164"/>
      <c r="M43" s="40" t="s">
        <v>8</v>
      </c>
      <c r="N43" s="41" t="s">
        <v>8</v>
      </c>
      <c r="O43" s="40" t="s">
        <v>8</v>
      </c>
      <c r="P43" s="41" t="s">
        <v>8</v>
      </c>
      <c r="Q43" s="40" t="s">
        <v>8</v>
      </c>
      <c r="R43" s="155" t="s">
        <v>3</v>
      </c>
      <c r="S43" s="27">
        <v>45757</v>
      </c>
      <c r="T43" s="27">
        <v>45757</v>
      </c>
      <c r="U43" s="187">
        <v>45757</v>
      </c>
      <c r="V43" s="29">
        <v>45769</v>
      </c>
      <c r="W43" s="188">
        <v>45776</v>
      </c>
      <c r="X43" s="235" t="s">
        <v>190</v>
      </c>
      <c r="Y43" s="230">
        <v>45790</v>
      </c>
      <c r="Z43" s="227">
        <v>45790</v>
      </c>
      <c r="AA43" s="29" t="str">
        <f t="shared" si="5"/>
        <v/>
      </c>
      <c r="AB43" s="229"/>
      <c r="AC43" s="229" t="str">
        <f t="shared" si="12"/>
        <v/>
      </c>
      <c r="AD43" s="337" t="str">
        <f t="shared" si="13"/>
        <v/>
      </c>
      <c r="AE43" s="92"/>
      <c r="AG43" s="238" t="str">
        <f t="shared" si="14"/>
        <v>LTIA-5.10-VIETUR-70000-RFA-MAS-0535</v>
      </c>
      <c r="AH43" s="243" t="b" cm="1">
        <f t="array" ref="AH43">$E43=_xlfn.XLOOKUP(
AG43,
_xlfn._xlws.FILTER($AG$7:$AG$4572,$L$7:$L$4572&lt;&gt;"X"),
_xlfn._xlws.FILTER($E$7:$E$4572,$L$7:$L$4572&lt;&gt;"X"),
"",
0,
-1
)</f>
        <v>1</v>
      </c>
      <c r="AI43" s="75" t="str">
        <f t="shared" si="9"/>
        <v/>
      </c>
    </row>
    <row r="44" spans="1:35" s="9" customFormat="1" ht="47.25">
      <c r="A44" s="33">
        <f t="shared" si="10"/>
        <v>38</v>
      </c>
      <c r="B44" s="330" t="str">
        <f t="shared" si="11"/>
        <v>5.10</v>
      </c>
      <c r="C44" s="164" t="s">
        <v>328</v>
      </c>
      <c r="D44" s="137" t="s">
        <v>28</v>
      </c>
      <c r="E44" s="25" t="s">
        <v>325</v>
      </c>
      <c r="F44" s="174">
        <f t="shared" si="2"/>
        <v>45784</v>
      </c>
      <c r="G44" s="31" t="s">
        <v>326</v>
      </c>
      <c r="H44" s="21" t="s">
        <v>327</v>
      </c>
      <c r="I44" s="138" t="s">
        <v>1</v>
      </c>
      <c r="J44" s="164">
        <f t="shared" si="3"/>
        <v>20</v>
      </c>
      <c r="K44" s="47">
        <f t="shared" si="4"/>
        <v>0</v>
      </c>
      <c r="L44" s="164"/>
      <c r="M44" s="40" t="s">
        <v>8</v>
      </c>
      <c r="N44" s="41" t="s">
        <v>8</v>
      </c>
      <c r="O44" s="40" t="s">
        <v>8</v>
      </c>
      <c r="P44" s="41" t="s">
        <v>8</v>
      </c>
      <c r="Q44" s="40" t="s">
        <v>8</v>
      </c>
      <c r="R44" s="155" t="s">
        <v>1</v>
      </c>
      <c r="S44" s="27">
        <v>45763</v>
      </c>
      <c r="T44" s="27">
        <v>45763</v>
      </c>
      <c r="U44" s="188">
        <v>45763</v>
      </c>
      <c r="V44" s="29">
        <v>45776</v>
      </c>
      <c r="W44" s="188">
        <v>45783</v>
      </c>
      <c r="X44" s="235" t="s">
        <v>190</v>
      </c>
      <c r="Y44" s="230">
        <v>45790</v>
      </c>
      <c r="Z44" s="227">
        <v>45793</v>
      </c>
      <c r="AA44" s="29">
        <f t="shared" si="5"/>
        <v>45800</v>
      </c>
      <c r="AB44" s="229"/>
      <c r="AC44" s="229" t="str">
        <f t="shared" ca="1" si="12"/>
        <v>Not submit yet</v>
      </c>
      <c r="AD44" s="337">
        <f t="shared" ca="1" si="13"/>
        <v>509</v>
      </c>
      <c r="AE44" s="92"/>
      <c r="AG44" s="238" t="str">
        <f t="shared" si="14"/>
        <v>LTIA-5.10-VIETUR-70000-RFA-OTH-0432</v>
      </c>
      <c r="AH44" s="243" t="b" cm="1">
        <f t="array" ref="AH44">$E44=_xlfn.XLOOKUP(
AG44,
_xlfn._xlws.FILTER($AG$7:$AG$4572,$L$7:$L$4572&lt;&gt;"X"),
_xlfn._xlws.FILTER($E$7:$E$4572,$L$7:$L$4572&lt;&gt;"X"),
"",
0,
-1
)</f>
        <v>1</v>
      </c>
      <c r="AI44" s="75" t="str">
        <f t="shared" si="9"/>
        <v>YES</v>
      </c>
    </row>
    <row r="45" spans="1:35" s="9" customFormat="1" ht="94.5">
      <c r="A45" s="33">
        <f t="shared" si="10"/>
        <v>39</v>
      </c>
      <c r="B45" s="330" t="str">
        <f t="shared" si="11"/>
        <v>5.10</v>
      </c>
      <c r="C45" s="137" t="s">
        <v>184</v>
      </c>
      <c r="D45" s="137" t="s">
        <v>30</v>
      </c>
      <c r="E45" s="25" t="s">
        <v>329</v>
      </c>
      <c r="F45" s="174">
        <f t="shared" si="2"/>
        <v>45796</v>
      </c>
      <c r="G45" s="31" t="s">
        <v>330</v>
      </c>
      <c r="H45" s="21" t="s">
        <v>331</v>
      </c>
      <c r="I45" s="138" t="s">
        <v>1</v>
      </c>
      <c r="J45" s="164">
        <f t="shared" si="3"/>
        <v>26</v>
      </c>
      <c r="K45" s="47">
        <f t="shared" si="4"/>
        <v>5</v>
      </c>
      <c r="L45" s="164"/>
      <c r="M45" s="40" t="s">
        <v>8</v>
      </c>
      <c r="N45" s="41" t="s">
        <v>8</v>
      </c>
      <c r="O45" s="40" t="s">
        <v>8</v>
      </c>
      <c r="P45" s="41" t="s">
        <v>8</v>
      </c>
      <c r="Q45" s="40" t="s">
        <v>8</v>
      </c>
      <c r="R45" s="155" t="s">
        <v>1</v>
      </c>
      <c r="S45" s="27">
        <v>45775</v>
      </c>
      <c r="T45" s="27">
        <v>45775</v>
      </c>
      <c r="U45" s="188">
        <v>45775</v>
      </c>
      <c r="V45" s="29">
        <v>45793</v>
      </c>
      <c r="W45" s="188">
        <v>45801</v>
      </c>
      <c r="X45" s="235" t="s">
        <v>190</v>
      </c>
      <c r="Y45" s="230">
        <v>45812</v>
      </c>
      <c r="Z45" s="227">
        <v>45814</v>
      </c>
      <c r="AA45" s="29">
        <f t="shared" si="5"/>
        <v>45821</v>
      </c>
      <c r="AB45" s="229">
        <v>45854</v>
      </c>
      <c r="AC45" s="229" t="str">
        <f t="shared" si="12"/>
        <v>Late Resubmission</v>
      </c>
      <c r="AD45" s="337">
        <f t="shared" si="13"/>
        <v>33</v>
      </c>
      <c r="AE45" s="92"/>
      <c r="AG45" s="238" t="str">
        <f t="shared" si="14"/>
        <v>LTIA-5.10-VIETUR-70000-RFA-MAS-0556</v>
      </c>
      <c r="AH45" s="243" t="b" cm="1">
        <f t="array" ref="AH45">$E45=_xlfn.XLOOKUP(
AG45,
_xlfn._xlws.FILTER($AG$7:$AG$4572,$L$7:$L$4572&lt;&gt;"X"),
_xlfn._xlws.FILTER($E$7:$E$4572,$L$7:$L$4572&lt;&gt;"X"),
"",
0,
-1
)</f>
        <v>0</v>
      </c>
      <c r="AI45" s="75" t="str">
        <f t="shared" si="9"/>
        <v/>
      </c>
    </row>
    <row r="46" spans="1:35" s="9" customFormat="1" ht="47.25">
      <c r="A46" s="33">
        <f t="shared" si="10"/>
        <v>40</v>
      </c>
      <c r="B46" s="330" t="str">
        <f t="shared" si="11"/>
        <v>5.10</v>
      </c>
      <c r="C46" s="137" t="s">
        <v>180</v>
      </c>
      <c r="D46" s="137" t="s">
        <v>30</v>
      </c>
      <c r="E46" s="25" t="s">
        <v>332</v>
      </c>
      <c r="F46" s="174">
        <f t="shared" si="2"/>
        <v>45904</v>
      </c>
      <c r="G46" s="31" t="s">
        <v>181</v>
      </c>
      <c r="H46" s="21" t="s">
        <v>182</v>
      </c>
      <c r="I46" s="138" t="s">
        <v>3</v>
      </c>
      <c r="J46" s="164">
        <f t="shared" si="3"/>
        <v>5</v>
      </c>
      <c r="K46" s="47">
        <f t="shared" si="4"/>
        <v>0</v>
      </c>
      <c r="L46" s="164"/>
      <c r="M46" s="40" t="s">
        <v>8</v>
      </c>
      <c r="N46" s="41" t="s">
        <v>8</v>
      </c>
      <c r="O46" s="40" t="s">
        <v>8</v>
      </c>
      <c r="P46" s="41" t="s">
        <v>8</v>
      </c>
      <c r="Q46" s="40" t="s">
        <v>8</v>
      </c>
      <c r="R46" s="155" t="s">
        <v>2</v>
      </c>
      <c r="S46" s="27">
        <v>45883</v>
      </c>
      <c r="T46" s="27">
        <v>45883</v>
      </c>
      <c r="U46" s="188">
        <v>45883</v>
      </c>
      <c r="V46" s="29">
        <v>45888</v>
      </c>
      <c r="W46" s="188">
        <v>45888</v>
      </c>
      <c r="X46" s="235" t="s">
        <v>190</v>
      </c>
      <c r="Y46" s="230">
        <v>45910</v>
      </c>
      <c r="Z46" s="227">
        <v>45912</v>
      </c>
      <c r="AA46" s="29">
        <f t="shared" si="5"/>
        <v>45919</v>
      </c>
      <c r="AB46" s="229"/>
      <c r="AC46" s="229" t="str">
        <f t="shared" ca="1" si="12"/>
        <v>Not submit yet</v>
      </c>
      <c r="AD46" s="337">
        <f t="shared" ca="1" si="13"/>
        <v>390</v>
      </c>
      <c r="AE46" s="92"/>
      <c r="AG46" s="238" t="str">
        <f t="shared" si="14"/>
        <v>LTIA-5.10-VIETUR-70000-RFA-MAS-0277</v>
      </c>
      <c r="AH46" s="243" t="b" cm="1">
        <f t="array" ref="AH46">$E46=_xlfn.XLOOKUP(
AG46,
_xlfn._xlws.FILTER($AG$7:$AG$4572,$L$7:$L$4572&lt;&gt;"X"),
_xlfn._xlws.FILTER($E$7:$E$4572,$L$7:$L$4572&lt;&gt;"X"),
"",
0,
-1
)</f>
        <v>1</v>
      </c>
      <c r="AI46" s="75" t="str">
        <f t="shared" si="9"/>
        <v>YES</v>
      </c>
    </row>
    <row r="47" spans="1:35" s="9" customFormat="1" ht="47.25">
      <c r="A47" s="33">
        <f t="shared" si="10"/>
        <v>41</v>
      </c>
      <c r="B47" s="330" t="str">
        <f t="shared" si="11"/>
        <v>5.10</v>
      </c>
      <c r="C47" s="137" t="s">
        <v>195</v>
      </c>
      <c r="D47" s="137" t="s">
        <v>28</v>
      </c>
      <c r="E47" s="25" t="s">
        <v>333</v>
      </c>
      <c r="F47" s="174">
        <f t="shared" si="2"/>
        <v>45852</v>
      </c>
      <c r="G47" s="31" t="s">
        <v>334</v>
      </c>
      <c r="H47" s="21" t="s">
        <v>335</v>
      </c>
      <c r="I47" s="138" t="s">
        <v>3</v>
      </c>
      <c r="J47" s="164">
        <f t="shared" si="3"/>
        <v>4</v>
      </c>
      <c r="K47" s="47">
        <f t="shared" si="4"/>
        <v>0</v>
      </c>
      <c r="L47" s="164"/>
      <c r="M47" s="40" t="s">
        <v>8</v>
      </c>
      <c r="N47" s="41" t="s">
        <v>8</v>
      </c>
      <c r="O47" s="40" t="s">
        <v>8</v>
      </c>
      <c r="P47" s="41" t="s">
        <v>8</v>
      </c>
      <c r="Q47" s="40" t="s">
        <v>8</v>
      </c>
      <c r="R47" s="155" t="s">
        <v>3</v>
      </c>
      <c r="S47" s="27">
        <v>45831</v>
      </c>
      <c r="T47" s="27">
        <v>45831</v>
      </c>
      <c r="U47" s="188">
        <v>45831</v>
      </c>
      <c r="V47" s="29">
        <v>45835</v>
      </c>
      <c r="W47" s="188">
        <v>45835</v>
      </c>
      <c r="X47" s="235" t="s">
        <v>190</v>
      </c>
      <c r="Y47" s="230">
        <v>45845</v>
      </c>
      <c r="Z47" s="227">
        <v>45846</v>
      </c>
      <c r="AA47" s="29" t="str">
        <f t="shared" si="5"/>
        <v/>
      </c>
      <c r="AB47" s="229"/>
      <c r="AC47" s="229" t="str">
        <f t="shared" si="12"/>
        <v/>
      </c>
      <c r="AD47" s="337" t="str">
        <f t="shared" si="13"/>
        <v/>
      </c>
      <c r="AE47" s="92"/>
      <c r="AG47" s="238" t="str">
        <f t="shared" si="14"/>
        <v>LTIA-5.10-VIETUR-70000-RFA-OTH-0440</v>
      </c>
      <c r="AH47" s="243" t="b" cm="1">
        <f t="array" ref="AH47">$E47=_xlfn.XLOOKUP(
AG47,
_xlfn._xlws.FILTER($AG$7:$AG$4572,$L$7:$L$4572&lt;&gt;"X"),
_xlfn._xlws.FILTER($E$7:$E$4572,$L$7:$L$4572&lt;&gt;"X"),
"",
0,
-1
)</f>
        <v>1</v>
      </c>
      <c r="AI47" s="75" t="str">
        <f t="shared" si="9"/>
        <v/>
      </c>
    </row>
    <row r="48" spans="1:35" s="9" customFormat="1" ht="47.25">
      <c r="A48" s="33">
        <f t="shared" si="10"/>
        <v>42</v>
      </c>
      <c r="B48" s="330" t="str">
        <f t="shared" si="11"/>
        <v>5.10</v>
      </c>
      <c r="C48" s="137" t="s">
        <v>144</v>
      </c>
      <c r="D48" s="137" t="s">
        <v>30</v>
      </c>
      <c r="E48" s="25" t="s">
        <v>355</v>
      </c>
      <c r="F48" s="174">
        <f t="shared" si="2"/>
        <v>45824</v>
      </c>
      <c r="G48" s="31" t="s">
        <v>356</v>
      </c>
      <c r="H48" s="21" t="s">
        <v>357</v>
      </c>
      <c r="I48" s="138" t="s">
        <v>3</v>
      </c>
      <c r="J48" s="164">
        <f t="shared" si="3"/>
        <v>31</v>
      </c>
      <c r="K48" s="47">
        <f t="shared" si="4"/>
        <v>10</v>
      </c>
      <c r="L48" s="164"/>
      <c r="M48" s="40" t="s">
        <v>8</v>
      </c>
      <c r="N48" s="41" t="s">
        <v>8</v>
      </c>
      <c r="O48" s="40" t="s">
        <v>8</v>
      </c>
      <c r="P48" s="41" t="s">
        <v>8</v>
      </c>
      <c r="Q48" s="40" t="s">
        <v>8</v>
      </c>
      <c r="R48" s="155" t="s">
        <v>3</v>
      </c>
      <c r="S48" s="27">
        <v>45801</v>
      </c>
      <c r="T48" s="27">
        <v>45801</v>
      </c>
      <c r="U48" s="188">
        <v>45803</v>
      </c>
      <c r="V48" s="29">
        <v>45814</v>
      </c>
      <c r="W48" s="188">
        <v>45834</v>
      </c>
      <c r="X48" s="235" t="s">
        <v>136</v>
      </c>
      <c r="Y48" s="230">
        <v>45849</v>
      </c>
      <c r="Z48" s="227">
        <v>45853</v>
      </c>
      <c r="AA48" s="29" t="str">
        <f t="shared" si="5"/>
        <v/>
      </c>
      <c r="AB48" s="229"/>
      <c r="AC48" s="229" t="str">
        <f t="shared" si="12"/>
        <v/>
      </c>
      <c r="AD48" s="337" t="str">
        <f t="shared" si="13"/>
        <v/>
      </c>
      <c r="AE48" s="92"/>
      <c r="AG48" s="238" t="str">
        <f t="shared" si="14"/>
        <v>LTIA-5.10-VIETUR-70000-RFA-MAS-0584</v>
      </c>
      <c r="AH48" s="243" t="b" cm="1">
        <f t="array" ref="AH48">$E48=_xlfn.XLOOKUP(
AG48,
_xlfn._xlws.FILTER($AG$7:$AG$4572,$L$7:$L$4572&lt;&gt;"X"),
_xlfn._xlws.FILTER($E$7:$E$4572,$L$7:$L$4572&lt;&gt;"X"),
"",
0,
-1
)</f>
        <v>1</v>
      </c>
      <c r="AI48" s="75" t="str">
        <f t="shared" si="9"/>
        <v/>
      </c>
    </row>
    <row r="49" spans="1:35" s="9" customFormat="1" ht="94.5">
      <c r="A49" s="33">
        <f t="shared" si="10"/>
        <v>43</v>
      </c>
      <c r="B49" s="330" t="str">
        <f t="shared" si="11"/>
        <v>5.10</v>
      </c>
      <c r="C49" s="137" t="s">
        <v>184</v>
      </c>
      <c r="D49" s="137" t="s">
        <v>30</v>
      </c>
      <c r="E49" s="25" t="s">
        <v>392</v>
      </c>
      <c r="F49" s="174">
        <f t="shared" si="2"/>
        <v>45875</v>
      </c>
      <c r="G49" s="31" t="s">
        <v>330</v>
      </c>
      <c r="H49" s="21" t="s">
        <v>331</v>
      </c>
      <c r="I49" s="138" t="s">
        <v>1</v>
      </c>
      <c r="J49" s="164">
        <f t="shared" si="3"/>
        <v>41</v>
      </c>
      <c r="K49" s="47">
        <f t="shared" si="4"/>
        <v>20</v>
      </c>
      <c r="L49" s="164"/>
      <c r="M49" s="40" t="s">
        <v>8</v>
      </c>
      <c r="N49" s="41" t="s">
        <v>8</v>
      </c>
      <c r="O49" s="40" t="s">
        <v>8</v>
      </c>
      <c r="P49" s="41" t="s">
        <v>8</v>
      </c>
      <c r="Q49" s="40" t="s">
        <v>8</v>
      </c>
      <c r="R49" s="155" t="s">
        <v>1</v>
      </c>
      <c r="S49" s="27">
        <v>45854</v>
      </c>
      <c r="T49" s="27">
        <v>45854</v>
      </c>
      <c r="U49" s="188">
        <v>45854</v>
      </c>
      <c r="V49" s="29">
        <v>45867</v>
      </c>
      <c r="W49" s="188">
        <v>45895</v>
      </c>
      <c r="X49" s="235" t="s">
        <v>190</v>
      </c>
      <c r="Y49" s="230">
        <v>45989</v>
      </c>
      <c r="Z49" s="227">
        <v>45993</v>
      </c>
      <c r="AA49" s="29">
        <f t="shared" si="5"/>
        <v>46000</v>
      </c>
      <c r="AB49" s="229">
        <v>46097</v>
      </c>
      <c r="AC49" s="229" t="str">
        <f t="shared" si="12"/>
        <v>Late Resubmission</v>
      </c>
      <c r="AD49" s="337">
        <f t="shared" si="13"/>
        <v>97</v>
      </c>
      <c r="AE49" s="92"/>
      <c r="AG49" s="238" t="str">
        <f t="shared" si="14"/>
        <v>LTIA-5.10-VIETUR-70000-RFA-MAS-0556</v>
      </c>
      <c r="AH49" s="243" t="b" cm="1">
        <f t="array" ref="AH49">$E49=_xlfn.XLOOKUP(
AG49,
_xlfn._xlws.FILTER($AG$7:$AG$4572,$L$7:$L$4572&lt;&gt;"X"),
_xlfn._xlws.FILTER($E$7:$E$4572,$L$7:$L$4572&lt;&gt;"X"),
"",
0,
-1
)</f>
        <v>0</v>
      </c>
      <c r="AI49" s="75" t="str">
        <f t="shared" si="9"/>
        <v/>
      </c>
    </row>
    <row r="50" spans="1:35" s="9" customFormat="1" ht="78.75">
      <c r="A50" s="33">
        <f t="shared" si="10"/>
        <v>44</v>
      </c>
      <c r="B50" s="330" t="str">
        <f t="shared" si="11"/>
        <v>5.10</v>
      </c>
      <c r="C50" s="137" t="s">
        <v>131</v>
      </c>
      <c r="D50" s="137" t="s">
        <v>28</v>
      </c>
      <c r="E50" s="25" t="s">
        <v>393</v>
      </c>
      <c r="F50" s="174">
        <f t="shared" si="2"/>
        <v>45888</v>
      </c>
      <c r="G50" s="31" t="s">
        <v>394</v>
      </c>
      <c r="H50" s="21" t="s">
        <v>395</v>
      </c>
      <c r="I50" s="138" t="s">
        <v>3</v>
      </c>
      <c r="J50" s="164">
        <f t="shared" si="3"/>
        <v>85</v>
      </c>
      <c r="K50" s="47">
        <f t="shared" si="4"/>
        <v>64</v>
      </c>
      <c r="L50" s="164"/>
      <c r="M50" s="40" t="s">
        <v>8</v>
      </c>
      <c r="N50" s="41" t="s">
        <v>8</v>
      </c>
      <c r="O50" s="40" t="s">
        <v>8</v>
      </c>
      <c r="P50" s="41" t="s">
        <v>8</v>
      </c>
      <c r="Q50" s="40" t="s">
        <v>8</v>
      </c>
      <c r="R50" s="155" t="s">
        <v>2</v>
      </c>
      <c r="S50" s="27">
        <v>45863</v>
      </c>
      <c r="T50" s="27">
        <v>45863</v>
      </c>
      <c r="U50" s="188">
        <v>45867</v>
      </c>
      <c r="V50" s="29">
        <v>45877</v>
      </c>
      <c r="W50" s="188">
        <v>45952</v>
      </c>
      <c r="X50" s="235" t="s">
        <v>190</v>
      </c>
      <c r="Y50" s="230">
        <v>45968</v>
      </c>
      <c r="Z50" s="227">
        <v>45972</v>
      </c>
      <c r="AA50" s="29">
        <f t="shared" si="5"/>
        <v>45979</v>
      </c>
      <c r="AB50" s="229"/>
      <c r="AC50" s="229" t="str">
        <f t="shared" ca="1" si="12"/>
        <v>Not submit yet</v>
      </c>
      <c r="AD50" s="337">
        <f t="shared" ca="1" si="13"/>
        <v>330</v>
      </c>
      <c r="AE50" s="92"/>
      <c r="AG50" s="238" t="str">
        <f t="shared" si="14"/>
        <v>LTIA-5.10-VIETUR-70000-RFA-OTH-0523</v>
      </c>
      <c r="AH50" s="243" t="b" cm="1">
        <f t="array" ref="AH50">$E50=_xlfn.XLOOKUP(
AG50,
_xlfn._xlws.FILTER($AG$7:$AG$4572,$L$7:$L$4572&lt;&gt;"X"),
_xlfn._xlws.FILTER($E$7:$E$4572,$L$7:$L$4572&lt;&gt;"X"),
"",
0,
-1
)</f>
        <v>1</v>
      </c>
      <c r="AI50" s="75" t="str">
        <f t="shared" si="9"/>
        <v>YES</v>
      </c>
    </row>
    <row r="51" spans="1:35" s="9" customFormat="1" ht="47.25">
      <c r="A51" s="33">
        <f t="shared" si="10"/>
        <v>45</v>
      </c>
      <c r="B51" s="330" t="str">
        <f t="shared" si="11"/>
        <v>5.10</v>
      </c>
      <c r="C51" s="137" t="s">
        <v>342</v>
      </c>
      <c r="D51" s="137" t="s">
        <v>32</v>
      </c>
      <c r="E51" s="25" t="s">
        <v>396</v>
      </c>
      <c r="F51" s="174"/>
      <c r="G51" s="31" t="s">
        <v>397</v>
      </c>
      <c r="H51" s="21" t="s">
        <v>398</v>
      </c>
      <c r="I51" s="138"/>
      <c r="J51" s="164">
        <f t="shared" ca="1" si="3"/>
        <v>427</v>
      </c>
      <c r="K51" s="47"/>
      <c r="L51" s="164" t="s">
        <v>13</v>
      </c>
      <c r="M51" s="40"/>
      <c r="N51" s="41"/>
      <c r="O51" s="40"/>
      <c r="P51" s="41"/>
      <c r="Q51" s="40"/>
      <c r="R51" s="155"/>
      <c r="S51" s="27">
        <v>45876</v>
      </c>
      <c r="T51" s="27">
        <v>45876</v>
      </c>
      <c r="U51" s="188">
        <v>45882</v>
      </c>
      <c r="V51" s="29"/>
      <c r="W51" s="188"/>
      <c r="X51" s="227"/>
      <c r="Y51" s="230"/>
      <c r="Z51" s="227"/>
      <c r="AA51" s="29" t="str">
        <f t="shared" si="5"/>
        <v/>
      </c>
      <c r="AB51" s="229"/>
      <c r="AC51" s="229" t="str">
        <f t="shared" si="12"/>
        <v/>
      </c>
      <c r="AD51" s="337" t="str">
        <f t="shared" si="13"/>
        <v/>
      </c>
      <c r="AE51" s="92" t="s">
        <v>399</v>
      </c>
      <c r="AG51" s="238" t="str">
        <f t="shared" si="14"/>
        <v>LTIA-5.10-VIETUR-70000-RFA-MSS-0203</v>
      </c>
      <c r="AH51" s="243" t="b" cm="1">
        <f t="array" ref="AH51">$E51=_xlfn.XLOOKUP(
AG51,
_xlfn._xlws.FILTER($AG$7:$AG$4572,$L$7:$L$4572&lt;&gt;"X"),
_xlfn._xlws.FILTER($E$7:$E$4572,$L$7:$L$4572&lt;&gt;"X"),
"",
0,
-1
)</f>
        <v>0</v>
      </c>
      <c r="AI51" s="75" t="str">
        <f t="shared" si="9"/>
        <v/>
      </c>
    </row>
    <row r="52" spans="1:35" s="9" customFormat="1" ht="63">
      <c r="A52" s="33">
        <f t="shared" si="10"/>
        <v>46</v>
      </c>
      <c r="B52" s="330" t="str">
        <f t="shared" si="11"/>
        <v>5.10</v>
      </c>
      <c r="C52" s="137" t="s">
        <v>144</v>
      </c>
      <c r="D52" s="137" t="s">
        <v>30</v>
      </c>
      <c r="E52" s="25" t="s">
        <v>409</v>
      </c>
      <c r="F52" s="174">
        <f t="shared" ref="F52:F58" si="15">IF($U52=0,$T52+22,$U52+21)</f>
        <v>45945</v>
      </c>
      <c r="G52" s="31" t="s">
        <v>410</v>
      </c>
      <c r="H52" s="21" t="s">
        <v>411</v>
      </c>
      <c r="I52" s="138" t="s">
        <v>3</v>
      </c>
      <c r="J52" s="164">
        <f t="shared" si="3"/>
        <v>9</v>
      </c>
      <c r="K52" s="47">
        <f t="shared" ref="K52:K58" si="16">IF(($J52-21)&gt;0,$J52-21,0)</f>
        <v>0</v>
      </c>
      <c r="L52" s="164"/>
      <c r="M52" s="40" t="s">
        <v>8</v>
      </c>
      <c r="N52" s="41" t="s">
        <v>8</v>
      </c>
      <c r="O52" s="40" t="s">
        <v>8</v>
      </c>
      <c r="P52" s="41" t="s">
        <v>8</v>
      </c>
      <c r="Q52" s="40" t="s">
        <v>8</v>
      </c>
      <c r="R52" s="155" t="s">
        <v>3</v>
      </c>
      <c r="S52" s="27">
        <v>45887</v>
      </c>
      <c r="T52" s="27">
        <v>45887</v>
      </c>
      <c r="U52" s="188">
        <v>45924</v>
      </c>
      <c r="V52" s="29">
        <v>45903</v>
      </c>
      <c r="W52" s="188">
        <v>45933</v>
      </c>
      <c r="X52" s="235" t="s">
        <v>190</v>
      </c>
      <c r="Y52" s="230">
        <v>45959</v>
      </c>
      <c r="Z52" s="227">
        <v>45965</v>
      </c>
      <c r="AA52" s="29" t="str">
        <f t="shared" si="5"/>
        <v/>
      </c>
      <c r="AB52" s="229"/>
      <c r="AC52" s="229" t="str">
        <f t="shared" si="12"/>
        <v/>
      </c>
      <c r="AD52" s="337" t="str">
        <f t="shared" si="13"/>
        <v/>
      </c>
      <c r="AE52" s="92" t="s">
        <v>875</v>
      </c>
      <c r="AG52" s="238" t="str">
        <f t="shared" si="14"/>
        <v>LTIA-5.10-VIETUR-70000-RFA-MAS-0655</v>
      </c>
      <c r="AH52" s="243" t="b" cm="1">
        <f t="array" ref="AH52">$E52=_xlfn.XLOOKUP(
AG52,
_xlfn._xlws.FILTER($AG$7:$AG$4572,$L$7:$L$4572&lt;&gt;"X"),
_xlfn._xlws.FILTER($E$7:$E$4572,$L$7:$L$4572&lt;&gt;"X"),
"",
0,
-1
)</f>
        <v>1</v>
      </c>
      <c r="AI52" s="75" t="str">
        <f t="shared" si="9"/>
        <v/>
      </c>
    </row>
    <row r="53" spans="1:35" s="9" customFormat="1" ht="47.25">
      <c r="A53" s="33">
        <f t="shared" si="10"/>
        <v>47</v>
      </c>
      <c r="B53" s="330" t="str">
        <f t="shared" si="11"/>
        <v>5.10</v>
      </c>
      <c r="C53" s="137" t="s">
        <v>144</v>
      </c>
      <c r="D53" s="137" t="s">
        <v>30</v>
      </c>
      <c r="E53" s="25" t="s">
        <v>412</v>
      </c>
      <c r="F53" s="174">
        <f t="shared" si="15"/>
        <v>45924</v>
      </c>
      <c r="G53" s="31" t="s">
        <v>413</v>
      </c>
      <c r="H53" s="21" t="s">
        <v>414</v>
      </c>
      <c r="I53" s="138" t="s">
        <v>3</v>
      </c>
      <c r="J53" s="164">
        <f t="shared" si="3"/>
        <v>12</v>
      </c>
      <c r="K53" s="47">
        <f t="shared" si="16"/>
        <v>0</v>
      </c>
      <c r="L53" s="164"/>
      <c r="M53" s="40" t="s">
        <v>8</v>
      </c>
      <c r="N53" s="41" t="s">
        <v>8</v>
      </c>
      <c r="O53" s="40" t="s">
        <v>8</v>
      </c>
      <c r="P53" s="41" t="s">
        <v>8</v>
      </c>
      <c r="Q53" s="40" t="s">
        <v>8</v>
      </c>
      <c r="R53" s="155" t="s">
        <v>3</v>
      </c>
      <c r="S53" s="27">
        <v>45870</v>
      </c>
      <c r="T53" s="27">
        <v>45870</v>
      </c>
      <c r="U53" s="188">
        <v>45903</v>
      </c>
      <c r="V53" s="29">
        <v>45903</v>
      </c>
      <c r="W53" s="188">
        <v>45915</v>
      </c>
      <c r="X53" s="235" t="s">
        <v>190</v>
      </c>
      <c r="Y53" s="230">
        <v>45929</v>
      </c>
      <c r="Z53" s="227">
        <v>45930</v>
      </c>
      <c r="AA53" s="29" t="str">
        <f t="shared" si="5"/>
        <v/>
      </c>
      <c r="AB53" s="229"/>
      <c r="AC53" s="229" t="str">
        <f t="shared" si="12"/>
        <v/>
      </c>
      <c r="AD53" s="337" t="str">
        <f t="shared" si="13"/>
        <v/>
      </c>
      <c r="AE53" s="92" t="s">
        <v>876</v>
      </c>
      <c r="AG53" s="238" t="str">
        <f t="shared" si="14"/>
        <v>LTIA-5.10-VIETUR-70000-RFA-MAS-0660</v>
      </c>
      <c r="AH53" s="243" t="b" cm="1">
        <f t="array" ref="AH53">$E53=_xlfn.XLOOKUP(
AG53,
_xlfn._xlws.FILTER($AG$7:$AG$4572,$L$7:$L$4572&lt;&gt;"X"),
_xlfn._xlws.FILTER($E$7:$E$4572,$L$7:$L$4572&lt;&gt;"X"),
"",
0,
-1
)</f>
        <v>1</v>
      </c>
      <c r="AI53" s="75" t="str">
        <f t="shared" si="9"/>
        <v/>
      </c>
    </row>
    <row r="54" spans="1:35" s="9" customFormat="1" ht="47.25">
      <c r="A54" s="33">
        <f t="shared" si="10"/>
        <v>48</v>
      </c>
      <c r="B54" s="330" t="str">
        <f t="shared" si="11"/>
        <v>5.10</v>
      </c>
      <c r="C54" s="137" t="s">
        <v>195</v>
      </c>
      <c r="D54" s="137" t="s">
        <v>28</v>
      </c>
      <c r="E54" s="25" t="s">
        <v>415</v>
      </c>
      <c r="F54" s="174">
        <f t="shared" si="15"/>
        <v>45912</v>
      </c>
      <c r="G54" s="31" t="s">
        <v>416</v>
      </c>
      <c r="H54" s="21" t="s">
        <v>417</v>
      </c>
      <c r="I54" s="138" t="s">
        <v>3</v>
      </c>
      <c r="J54" s="164">
        <f t="shared" si="3"/>
        <v>25</v>
      </c>
      <c r="K54" s="47">
        <f t="shared" si="16"/>
        <v>4</v>
      </c>
      <c r="L54" s="164"/>
      <c r="M54" s="40" t="s">
        <v>8</v>
      </c>
      <c r="N54" s="41" t="s">
        <v>8</v>
      </c>
      <c r="O54" s="40" t="s">
        <v>8</v>
      </c>
      <c r="P54" s="41" t="s">
        <v>8</v>
      </c>
      <c r="Q54" s="40" t="s">
        <v>8</v>
      </c>
      <c r="R54" s="155" t="s">
        <v>3</v>
      </c>
      <c r="S54" s="27">
        <v>45891</v>
      </c>
      <c r="T54" s="27">
        <v>45891</v>
      </c>
      <c r="U54" s="188">
        <v>45891</v>
      </c>
      <c r="V54" s="29">
        <v>45904</v>
      </c>
      <c r="W54" s="188">
        <v>45916</v>
      </c>
      <c r="X54" s="235" t="s">
        <v>190</v>
      </c>
      <c r="Y54" s="230">
        <v>45937</v>
      </c>
      <c r="Z54" s="227">
        <v>45944</v>
      </c>
      <c r="AA54" s="29" t="str">
        <f t="shared" si="5"/>
        <v/>
      </c>
      <c r="AB54" s="229"/>
      <c r="AC54" s="229" t="str">
        <f t="shared" si="12"/>
        <v/>
      </c>
      <c r="AD54" s="337" t="str">
        <f t="shared" si="13"/>
        <v/>
      </c>
      <c r="AE54" s="92"/>
      <c r="AG54" s="238" t="str">
        <f t="shared" si="14"/>
        <v>LTIA-5.10-VIETUR-70000-RFA-OTH-0565</v>
      </c>
      <c r="AH54" s="243" t="b" cm="1">
        <f t="array" ref="AH54">$E54=_xlfn.XLOOKUP(
AG54,
_xlfn._xlws.FILTER($AG$7:$AG$4572,$L$7:$L$4572&lt;&gt;"X"),
_xlfn._xlws.FILTER($E$7:$E$4572,$L$7:$L$4572&lt;&gt;"X"),
"",
0,
-1
)</f>
        <v>1</v>
      </c>
      <c r="AI54" s="75" t="str">
        <f t="shared" si="9"/>
        <v/>
      </c>
    </row>
    <row r="55" spans="1:35" s="9" customFormat="1" ht="47.25">
      <c r="A55" s="33">
        <f t="shared" si="10"/>
        <v>49</v>
      </c>
      <c r="B55" s="330" t="str">
        <f t="shared" si="11"/>
        <v>5.10</v>
      </c>
      <c r="C55" s="137" t="s">
        <v>195</v>
      </c>
      <c r="D55" s="137" t="s">
        <v>28</v>
      </c>
      <c r="E55" s="25" t="s">
        <v>421</v>
      </c>
      <c r="F55" s="174">
        <f t="shared" si="15"/>
        <v>45929</v>
      </c>
      <c r="G55" s="31" t="s">
        <v>422</v>
      </c>
      <c r="H55" s="21" t="s">
        <v>423</v>
      </c>
      <c r="I55" s="138" t="s">
        <v>3</v>
      </c>
      <c r="J55" s="164">
        <f t="shared" si="3"/>
        <v>16</v>
      </c>
      <c r="K55" s="47">
        <f t="shared" si="16"/>
        <v>0</v>
      </c>
      <c r="L55" s="164"/>
      <c r="M55" s="40" t="s">
        <v>8</v>
      </c>
      <c r="N55" s="41" t="s">
        <v>8</v>
      </c>
      <c r="O55" s="40" t="s">
        <v>8</v>
      </c>
      <c r="P55" s="41" t="s">
        <v>8</v>
      </c>
      <c r="Q55" s="40" t="s">
        <v>8</v>
      </c>
      <c r="R55" s="155" t="s">
        <v>3</v>
      </c>
      <c r="S55" s="27">
        <v>45906</v>
      </c>
      <c r="T55" s="27">
        <v>45906</v>
      </c>
      <c r="U55" s="188">
        <v>45908</v>
      </c>
      <c r="V55" s="29">
        <v>45919</v>
      </c>
      <c r="W55" s="188">
        <v>45924</v>
      </c>
      <c r="X55" s="235" t="s">
        <v>190</v>
      </c>
      <c r="Y55" s="230">
        <v>45937</v>
      </c>
      <c r="Z55" s="227">
        <v>45946</v>
      </c>
      <c r="AA55" s="29" t="str">
        <f t="shared" si="5"/>
        <v/>
      </c>
      <c r="AB55" s="229"/>
      <c r="AC55" s="229" t="str">
        <f t="shared" si="12"/>
        <v/>
      </c>
      <c r="AD55" s="337" t="str">
        <f t="shared" si="13"/>
        <v/>
      </c>
      <c r="AE55" s="92"/>
      <c r="AG55" s="238" t="str">
        <f t="shared" si="14"/>
        <v>LTIA-5.10-VIETUR-70000-RFA-OTH-0568</v>
      </c>
      <c r="AH55" s="243" t="b" cm="1">
        <f t="array" ref="AH55">$E55=_xlfn.XLOOKUP(
AG55,
_xlfn._xlws.FILTER($AG$7:$AG$4572,$L$7:$L$4572&lt;&gt;"X"),
_xlfn._xlws.FILTER($E$7:$E$4572,$L$7:$L$4572&lt;&gt;"X"),
"",
0,
-1
)</f>
        <v>1</v>
      </c>
      <c r="AI55" s="75" t="str">
        <f t="shared" si="9"/>
        <v/>
      </c>
    </row>
    <row r="56" spans="1:35" s="9" customFormat="1" ht="47.25">
      <c r="A56" s="33">
        <f t="shared" si="10"/>
        <v>50</v>
      </c>
      <c r="B56" s="330" t="str">
        <f t="shared" si="11"/>
        <v>5.10</v>
      </c>
      <c r="C56" s="137" t="s">
        <v>151</v>
      </c>
      <c r="D56" s="137" t="s">
        <v>30</v>
      </c>
      <c r="E56" s="25" t="s">
        <v>424</v>
      </c>
      <c r="F56" s="174">
        <f t="shared" si="15"/>
        <v>45994</v>
      </c>
      <c r="G56" s="31" t="s">
        <v>165</v>
      </c>
      <c r="H56" s="21" t="s">
        <v>166</v>
      </c>
      <c r="I56" s="138" t="s">
        <v>3</v>
      </c>
      <c r="J56" s="164">
        <f t="shared" si="3"/>
        <v>2</v>
      </c>
      <c r="K56" s="47">
        <f t="shared" si="16"/>
        <v>0</v>
      </c>
      <c r="L56" s="164"/>
      <c r="M56" s="40" t="s">
        <v>8</v>
      </c>
      <c r="N56" s="41" t="s">
        <v>8</v>
      </c>
      <c r="O56" s="40" t="s">
        <v>8</v>
      </c>
      <c r="P56" s="41" t="s">
        <v>8</v>
      </c>
      <c r="Q56" s="40" t="s">
        <v>8</v>
      </c>
      <c r="R56" s="155" t="s">
        <v>3</v>
      </c>
      <c r="S56" s="27">
        <v>45908</v>
      </c>
      <c r="T56" s="27">
        <v>45908</v>
      </c>
      <c r="U56" s="188">
        <v>45973</v>
      </c>
      <c r="V56" s="29">
        <v>45848</v>
      </c>
      <c r="W56" s="188">
        <v>45975</v>
      </c>
      <c r="X56" s="235" t="s">
        <v>240</v>
      </c>
      <c r="Y56" s="230">
        <v>46002</v>
      </c>
      <c r="Z56" s="227">
        <v>45972</v>
      </c>
      <c r="AA56" s="29" t="str">
        <f t="shared" si="5"/>
        <v/>
      </c>
      <c r="AB56" s="229"/>
      <c r="AC56" s="229" t="str">
        <f t="shared" si="12"/>
        <v/>
      </c>
      <c r="AD56" s="337" t="str">
        <f t="shared" si="13"/>
        <v/>
      </c>
      <c r="AE56" s="92" t="s">
        <v>877</v>
      </c>
      <c r="AG56" s="238" t="str">
        <f t="shared" si="14"/>
        <v>LTIA-5.10-VIETUR-70000-RFA-MAS-0219</v>
      </c>
      <c r="AH56" s="243" t="b" cm="1">
        <f t="array" ref="AH56">$E56=_xlfn.XLOOKUP(
AG56,
_xlfn._xlws.FILTER($AG$7:$AG$4572,$L$7:$L$4572&lt;&gt;"X"),
_xlfn._xlws.FILTER($E$7:$E$4572,$L$7:$L$4572&lt;&gt;"X"),
"",
0,
-1
)</f>
        <v>1</v>
      </c>
      <c r="AI56" s="75" t="str">
        <f t="shared" si="9"/>
        <v/>
      </c>
    </row>
    <row r="57" spans="1:35" s="9" customFormat="1" ht="47.25">
      <c r="A57" s="33">
        <f t="shared" si="10"/>
        <v>51</v>
      </c>
      <c r="B57" s="330" t="str">
        <f t="shared" si="11"/>
        <v>5.10</v>
      </c>
      <c r="C57" s="137" t="s">
        <v>195</v>
      </c>
      <c r="D57" s="137" t="s">
        <v>30</v>
      </c>
      <c r="E57" s="25" t="s">
        <v>425</v>
      </c>
      <c r="F57" s="174">
        <f t="shared" si="15"/>
        <v>45932</v>
      </c>
      <c r="G57" s="31" t="s">
        <v>323</v>
      </c>
      <c r="H57" s="21" t="s">
        <v>426</v>
      </c>
      <c r="I57" s="138" t="s">
        <v>3</v>
      </c>
      <c r="J57" s="164">
        <f t="shared" si="3"/>
        <v>7</v>
      </c>
      <c r="K57" s="47">
        <f t="shared" si="16"/>
        <v>0</v>
      </c>
      <c r="L57" s="164"/>
      <c r="M57" s="40" t="s">
        <v>8</v>
      </c>
      <c r="N57" s="41" t="s">
        <v>8</v>
      </c>
      <c r="O57" s="40" t="s">
        <v>8</v>
      </c>
      <c r="P57" s="41" t="s">
        <v>8</v>
      </c>
      <c r="Q57" s="40" t="s">
        <v>8</v>
      </c>
      <c r="R57" s="155" t="s">
        <v>3</v>
      </c>
      <c r="S57" s="27">
        <v>45911</v>
      </c>
      <c r="T57" s="27">
        <v>45911</v>
      </c>
      <c r="U57" s="188">
        <v>45911</v>
      </c>
      <c r="V57" s="29">
        <v>45918</v>
      </c>
      <c r="W57" s="188">
        <v>45918</v>
      </c>
      <c r="X57" s="235" t="s">
        <v>190</v>
      </c>
      <c r="Y57" s="230">
        <v>45931</v>
      </c>
      <c r="Z57" s="227">
        <v>45933</v>
      </c>
      <c r="AA57" s="29" t="str">
        <f t="shared" si="5"/>
        <v/>
      </c>
      <c r="AB57" s="229"/>
      <c r="AC57" s="229" t="str">
        <f t="shared" si="12"/>
        <v/>
      </c>
      <c r="AD57" s="337" t="str">
        <f t="shared" si="13"/>
        <v/>
      </c>
      <c r="AE57" s="92"/>
      <c r="AG57" s="238" t="str">
        <f t="shared" si="14"/>
        <v>LTIA-5.10-VIETUR-70000-RFA-MAS-0675</v>
      </c>
      <c r="AH57" s="243" t="b" cm="1">
        <f t="array" ref="AH57">$E57=_xlfn.XLOOKUP(
AG57,
_xlfn._xlws.FILTER($AG$7:$AG$4572,$L$7:$L$4572&lt;&gt;"X"),
_xlfn._xlws.FILTER($E$7:$E$4572,$L$7:$L$4572&lt;&gt;"X"),
"",
0,
-1
)</f>
        <v>1</v>
      </c>
      <c r="AI57" s="75" t="str">
        <f t="shared" si="9"/>
        <v/>
      </c>
    </row>
    <row r="58" spans="1:35" s="9" customFormat="1" ht="47.25">
      <c r="A58" s="33">
        <f t="shared" si="10"/>
        <v>52</v>
      </c>
      <c r="B58" s="330" t="str">
        <f t="shared" si="11"/>
        <v>5.10</v>
      </c>
      <c r="C58" s="137" t="s">
        <v>195</v>
      </c>
      <c r="D58" s="137" t="s">
        <v>85</v>
      </c>
      <c r="E58" s="25" t="s">
        <v>443</v>
      </c>
      <c r="F58" s="174">
        <f t="shared" si="15"/>
        <v>45940</v>
      </c>
      <c r="G58" s="31" t="s">
        <v>444</v>
      </c>
      <c r="H58" s="21" t="s">
        <v>445</v>
      </c>
      <c r="I58" s="138" t="s">
        <v>1</v>
      </c>
      <c r="J58" s="164">
        <f t="shared" si="3"/>
        <v>62</v>
      </c>
      <c r="K58" s="47">
        <f t="shared" si="16"/>
        <v>41</v>
      </c>
      <c r="L58" s="164"/>
      <c r="M58" s="40" t="s">
        <v>8</v>
      </c>
      <c r="N58" s="41" t="s">
        <v>8</v>
      </c>
      <c r="O58" s="40" t="s">
        <v>8</v>
      </c>
      <c r="P58" s="41" t="s">
        <v>8</v>
      </c>
      <c r="Q58" s="40" t="s">
        <v>8</v>
      </c>
      <c r="R58" s="155" t="s">
        <v>1</v>
      </c>
      <c r="S58" s="27">
        <v>45919</v>
      </c>
      <c r="T58" s="27">
        <v>45919</v>
      </c>
      <c r="U58" s="188">
        <v>45919</v>
      </c>
      <c r="V58" s="29">
        <v>45932</v>
      </c>
      <c r="W58" s="188">
        <v>45981</v>
      </c>
      <c r="X58" s="235" t="s">
        <v>190</v>
      </c>
      <c r="Y58" s="230">
        <v>45995</v>
      </c>
      <c r="Z58" s="227">
        <v>45995</v>
      </c>
      <c r="AA58" s="29">
        <f t="shared" si="5"/>
        <v>46002</v>
      </c>
      <c r="AB58" s="229"/>
      <c r="AC58" s="229" t="str">
        <f t="shared" ca="1" si="12"/>
        <v>Not submit yet</v>
      </c>
      <c r="AD58" s="337">
        <f t="shared" ca="1" si="13"/>
        <v>307</v>
      </c>
      <c r="AE58" s="92"/>
      <c r="AG58" s="238" t="str">
        <f t="shared" si="14"/>
        <v>LTIA-5.10-VIETUR-70000-RFA-OTH-0589</v>
      </c>
      <c r="AH58" s="243" t="b" cm="1">
        <f t="array" ref="AH58">$E58=_xlfn.XLOOKUP(
AG58,
_xlfn._xlws.FILTER($AG$7:$AG$4572,$L$7:$L$4572&lt;&gt;"X"),
_xlfn._xlws.FILTER($E$7:$E$4572,$L$7:$L$4572&lt;&gt;"X"),
"",
0,
-1
)</f>
        <v>1</v>
      </c>
      <c r="AI58" s="75" t="str">
        <f t="shared" si="9"/>
        <v>YES</v>
      </c>
    </row>
    <row r="59" spans="1:35" s="9" customFormat="1" ht="47.25">
      <c r="A59" s="33">
        <f t="shared" si="10"/>
        <v>53</v>
      </c>
      <c r="B59" s="330" t="str">
        <f t="shared" si="11"/>
        <v>5.10</v>
      </c>
      <c r="C59" s="137" t="s">
        <v>151</v>
      </c>
      <c r="D59" s="137" t="s">
        <v>30</v>
      </c>
      <c r="E59" s="25" t="s">
        <v>446</v>
      </c>
      <c r="F59" s="174"/>
      <c r="G59" s="31" t="s">
        <v>447</v>
      </c>
      <c r="H59" s="21" t="s">
        <v>448</v>
      </c>
      <c r="I59" s="138"/>
      <c r="J59" s="164">
        <f t="shared" ca="1" si="3"/>
        <v>358</v>
      </c>
      <c r="K59" s="47"/>
      <c r="L59" s="164" t="s">
        <v>13</v>
      </c>
      <c r="M59" s="40"/>
      <c r="N59" s="41"/>
      <c r="O59" s="16"/>
      <c r="P59" s="41"/>
      <c r="Q59" s="40"/>
      <c r="R59" s="155"/>
      <c r="S59" s="27">
        <v>45951</v>
      </c>
      <c r="T59" s="27">
        <v>45951</v>
      </c>
      <c r="U59" s="188">
        <v>45951</v>
      </c>
      <c r="V59" s="29"/>
      <c r="W59" s="188"/>
      <c r="X59" s="227"/>
      <c r="Y59" s="230"/>
      <c r="Z59" s="227"/>
      <c r="AA59" s="29" t="str">
        <f t="shared" si="5"/>
        <v/>
      </c>
      <c r="AB59" s="229"/>
      <c r="AC59" s="229" t="str">
        <f t="shared" si="12"/>
        <v/>
      </c>
      <c r="AD59" s="337" t="str">
        <f t="shared" si="13"/>
        <v/>
      </c>
      <c r="AE59" s="92" t="s">
        <v>449</v>
      </c>
      <c r="AG59" s="238" t="str">
        <f t="shared" si="14"/>
        <v>LTIA-5.10-VIETUR-70000-RFA-MAS-0700</v>
      </c>
      <c r="AH59" s="243" t="b" cm="1">
        <f t="array" ref="AH59">$E59=_xlfn.XLOOKUP(
AG59,
_xlfn._xlws.FILTER($AG$7:$AG$4572,$L$7:$L$4572&lt;&gt;"X"),
_xlfn._xlws.FILTER($E$7:$E$4572,$L$7:$L$4572&lt;&gt;"X"),
"",
0,
-1
)</f>
        <v>0</v>
      </c>
      <c r="AI59" s="75" t="str">
        <f t="shared" si="9"/>
        <v/>
      </c>
    </row>
    <row r="60" spans="1:35" s="9" customFormat="1" ht="47.25">
      <c r="A60" s="33">
        <f t="shared" si="10"/>
        <v>54</v>
      </c>
      <c r="B60" s="330" t="str">
        <f t="shared" si="11"/>
        <v>5.10</v>
      </c>
      <c r="C60" s="137" t="s">
        <v>131</v>
      </c>
      <c r="D60" s="137" t="s">
        <v>30</v>
      </c>
      <c r="E60" s="25" t="s">
        <v>450</v>
      </c>
      <c r="F60" s="174">
        <f t="shared" ref="F60:F82" si="17">IF($U60=0,$T60+22,$U60+21)</f>
        <v>46052</v>
      </c>
      <c r="G60" s="31" t="s">
        <v>451</v>
      </c>
      <c r="H60" s="21" t="s">
        <v>452</v>
      </c>
      <c r="I60" s="138" t="s">
        <v>3</v>
      </c>
      <c r="J60" s="164">
        <f t="shared" si="3"/>
        <v>1</v>
      </c>
      <c r="K60" s="47">
        <f t="shared" ref="K60:K82" si="18">IF(($J60-21)&gt;0,$J60-21,0)</f>
        <v>0</v>
      </c>
      <c r="L60" s="164"/>
      <c r="M60" s="40" t="s">
        <v>8</v>
      </c>
      <c r="N60" s="41" t="s">
        <v>8</v>
      </c>
      <c r="O60" s="40" t="s">
        <v>8</v>
      </c>
      <c r="P60" s="41" t="s">
        <v>8</v>
      </c>
      <c r="Q60" s="40" t="s">
        <v>8</v>
      </c>
      <c r="R60" s="155" t="s">
        <v>1</v>
      </c>
      <c r="S60" s="27">
        <v>45951</v>
      </c>
      <c r="T60" s="27">
        <v>45951</v>
      </c>
      <c r="U60" s="188">
        <v>46031</v>
      </c>
      <c r="V60" s="29">
        <v>45965</v>
      </c>
      <c r="W60" s="188">
        <v>46032</v>
      </c>
      <c r="X60" s="235" t="s">
        <v>190</v>
      </c>
      <c r="Y60" s="230">
        <v>46084</v>
      </c>
      <c r="Z60" s="227">
        <v>46085</v>
      </c>
      <c r="AA60" s="29">
        <f t="shared" si="5"/>
        <v>46092</v>
      </c>
      <c r="AB60" s="229">
        <v>46295</v>
      </c>
      <c r="AC60" s="229" t="str">
        <f t="shared" si="12"/>
        <v>Late Resubmission</v>
      </c>
      <c r="AD60" s="337">
        <f t="shared" si="13"/>
        <v>203</v>
      </c>
      <c r="AE60" s="92" t="s">
        <v>878</v>
      </c>
      <c r="AG60" s="238" t="str">
        <f t="shared" si="14"/>
        <v>LTIA-5.10-VIETUR-70000-RFA-MAS-0696</v>
      </c>
      <c r="AH60" s="243" t="b" cm="1">
        <f t="array" ref="AH60">$E60=_xlfn.XLOOKUP(
AG60,
_xlfn._xlws.FILTER($AG$7:$AG$4572,$L$7:$L$4572&lt;&gt;"X"),
_xlfn._xlws.FILTER($E$7:$E$4572,$L$7:$L$4572&lt;&gt;"X"),
"",
0,
-1
)</f>
        <v>0</v>
      </c>
      <c r="AI60" s="75" t="str">
        <f t="shared" si="9"/>
        <v/>
      </c>
    </row>
    <row r="61" spans="1:35" s="9" customFormat="1" ht="47.25">
      <c r="A61" s="33">
        <f t="shared" si="10"/>
        <v>55</v>
      </c>
      <c r="B61" s="330" t="str">
        <f t="shared" si="11"/>
        <v>5.10</v>
      </c>
      <c r="C61" s="137" t="s">
        <v>144</v>
      </c>
      <c r="D61" s="137" t="s">
        <v>30</v>
      </c>
      <c r="E61" s="25" t="s">
        <v>453</v>
      </c>
      <c r="F61" s="174">
        <f t="shared" si="17"/>
        <v>45981</v>
      </c>
      <c r="G61" s="31" t="s">
        <v>454</v>
      </c>
      <c r="H61" s="21" t="s">
        <v>455</v>
      </c>
      <c r="I61" s="138" t="s">
        <v>3</v>
      </c>
      <c r="J61" s="164">
        <f t="shared" si="3"/>
        <v>25</v>
      </c>
      <c r="K61" s="47">
        <f t="shared" si="18"/>
        <v>4</v>
      </c>
      <c r="L61" s="164"/>
      <c r="M61" s="40" t="s">
        <v>8</v>
      </c>
      <c r="N61" s="41" t="s">
        <v>8</v>
      </c>
      <c r="O61" s="40" t="s">
        <v>8</v>
      </c>
      <c r="P61" s="41" t="s">
        <v>8</v>
      </c>
      <c r="Q61" s="40" t="s">
        <v>8</v>
      </c>
      <c r="R61" s="155" t="s">
        <v>1</v>
      </c>
      <c r="S61" s="27">
        <v>45960</v>
      </c>
      <c r="T61" s="27">
        <v>45960</v>
      </c>
      <c r="U61" s="188">
        <v>45960</v>
      </c>
      <c r="V61" s="29">
        <v>45973</v>
      </c>
      <c r="W61" s="193">
        <v>45985</v>
      </c>
      <c r="X61" s="235" t="s">
        <v>190</v>
      </c>
      <c r="Y61" s="230">
        <v>45999</v>
      </c>
      <c r="Z61" s="227">
        <v>46000</v>
      </c>
      <c r="AA61" s="29">
        <f t="shared" si="5"/>
        <v>46007</v>
      </c>
      <c r="AB61" s="229"/>
      <c r="AC61" s="229" t="str">
        <f t="shared" ca="1" si="12"/>
        <v>Not submit yet</v>
      </c>
      <c r="AD61" s="337">
        <f t="shared" ca="1" si="13"/>
        <v>302</v>
      </c>
      <c r="AE61" s="92"/>
      <c r="AG61" s="238" t="str">
        <f t="shared" si="14"/>
        <v>LTIA-5.10-VIETUR-70000-RFA-MAS-0706</v>
      </c>
      <c r="AH61" s="243" t="b" cm="1">
        <f t="array" ref="AH61">$E61=_xlfn.XLOOKUP(
AG61,
_xlfn._xlws.FILTER($AG$7:$AG$4572,$L$7:$L$4572&lt;&gt;"X"),
_xlfn._xlws.FILTER($E$7:$E$4572,$L$7:$L$4572&lt;&gt;"X"),
"",
0,
-1
)</f>
        <v>1</v>
      </c>
      <c r="AI61" s="75" t="str">
        <f t="shared" si="9"/>
        <v>YES</v>
      </c>
    </row>
    <row r="62" spans="1:35" s="9" customFormat="1" ht="78.75">
      <c r="A62" s="33">
        <f t="shared" si="10"/>
        <v>56</v>
      </c>
      <c r="B62" s="330" t="str">
        <f t="shared" si="11"/>
        <v>5.10</v>
      </c>
      <c r="C62" s="137" t="s">
        <v>195</v>
      </c>
      <c r="D62" s="137" t="s">
        <v>28</v>
      </c>
      <c r="E62" s="25" t="s">
        <v>456</v>
      </c>
      <c r="F62" s="174">
        <f t="shared" si="17"/>
        <v>45995</v>
      </c>
      <c r="G62" s="31" t="s">
        <v>457</v>
      </c>
      <c r="H62" s="21" t="s">
        <v>458</v>
      </c>
      <c r="I62" s="138" t="s">
        <v>2</v>
      </c>
      <c r="J62" s="164">
        <f t="shared" si="3"/>
        <v>12</v>
      </c>
      <c r="K62" s="47">
        <f t="shared" si="18"/>
        <v>0</v>
      </c>
      <c r="L62" s="164"/>
      <c r="M62" s="40" t="s">
        <v>8</v>
      </c>
      <c r="N62" s="41" t="s">
        <v>8</v>
      </c>
      <c r="O62" s="40" t="s">
        <v>8</v>
      </c>
      <c r="P62" s="41" t="s">
        <v>8</v>
      </c>
      <c r="Q62" s="40" t="s">
        <v>8</v>
      </c>
      <c r="R62" s="155" t="s">
        <v>2</v>
      </c>
      <c r="S62" s="27">
        <v>45974</v>
      </c>
      <c r="T62" s="27">
        <v>45974</v>
      </c>
      <c r="U62" s="188">
        <v>45974</v>
      </c>
      <c r="V62" s="29">
        <v>45985</v>
      </c>
      <c r="W62" s="188">
        <v>45986</v>
      </c>
      <c r="X62" s="235" t="s">
        <v>190</v>
      </c>
      <c r="Y62" s="230">
        <v>45995</v>
      </c>
      <c r="Z62" s="227">
        <v>45999</v>
      </c>
      <c r="AA62" s="29">
        <f t="shared" si="5"/>
        <v>46006</v>
      </c>
      <c r="AB62" s="229">
        <v>46006</v>
      </c>
      <c r="AC62" s="229" t="str">
        <f t="shared" si="12"/>
        <v>Timely Response</v>
      </c>
      <c r="AD62" s="337" t="str">
        <f t="shared" si="13"/>
        <v/>
      </c>
      <c r="AE62" s="92"/>
      <c r="AG62" s="238" t="str">
        <f t="shared" si="14"/>
        <v>LTIA-5.10-VIETUR-70000-RFA-OTH-0631</v>
      </c>
      <c r="AH62" s="243" t="b" cm="1">
        <f t="array" ref="AH62">$E62=_xlfn.XLOOKUP(
AG62,
_xlfn._xlws.FILTER($AG$7:$AG$4572,$L$7:$L$4572&lt;&gt;"X"),
_xlfn._xlws.FILTER($E$7:$E$4572,$L$7:$L$4572&lt;&gt;"X"),
"",
0,
-1
)</f>
        <v>0</v>
      </c>
      <c r="AI62" s="75" t="str">
        <f t="shared" si="9"/>
        <v/>
      </c>
    </row>
    <row r="63" spans="1:35" s="9" customFormat="1" ht="47.25">
      <c r="A63" s="33">
        <f t="shared" si="10"/>
        <v>57</v>
      </c>
      <c r="B63" s="330" t="str">
        <f t="shared" si="11"/>
        <v>5.10</v>
      </c>
      <c r="C63" s="137" t="s">
        <v>180</v>
      </c>
      <c r="D63" s="137" t="s">
        <v>30</v>
      </c>
      <c r="E63" s="25" t="s">
        <v>459</v>
      </c>
      <c r="F63" s="174">
        <f t="shared" si="17"/>
        <v>46037</v>
      </c>
      <c r="G63" s="31" t="s">
        <v>460</v>
      </c>
      <c r="H63" s="21" t="s">
        <v>461</v>
      </c>
      <c r="I63" s="138" t="s">
        <v>3</v>
      </c>
      <c r="J63" s="164">
        <f t="shared" si="3"/>
        <v>1</v>
      </c>
      <c r="K63" s="47">
        <f t="shared" si="18"/>
        <v>0</v>
      </c>
      <c r="L63" s="164"/>
      <c r="M63" s="40" t="s">
        <v>8</v>
      </c>
      <c r="N63" s="41" t="s">
        <v>8</v>
      </c>
      <c r="O63" s="40" t="s">
        <v>8</v>
      </c>
      <c r="P63" s="41" t="s">
        <v>8</v>
      </c>
      <c r="Q63" s="40" t="s">
        <v>8</v>
      </c>
      <c r="R63" s="155" t="s">
        <v>3</v>
      </c>
      <c r="S63" s="27">
        <v>45979</v>
      </c>
      <c r="T63" s="27">
        <v>45979</v>
      </c>
      <c r="U63" s="188">
        <v>46016</v>
      </c>
      <c r="V63" s="29">
        <v>45985</v>
      </c>
      <c r="W63" s="188">
        <v>46017</v>
      </c>
      <c r="X63" s="235" t="s">
        <v>190</v>
      </c>
      <c r="Y63" s="230">
        <v>46028</v>
      </c>
      <c r="Z63" s="227">
        <v>46029</v>
      </c>
      <c r="AA63" s="29" t="str">
        <f t="shared" si="5"/>
        <v/>
      </c>
      <c r="AB63" s="229"/>
      <c r="AC63" s="229" t="str">
        <f t="shared" si="12"/>
        <v/>
      </c>
      <c r="AD63" s="337" t="str">
        <f t="shared" si="13"/>
        <v/>
      </c>
      <c r="AE63" s="92" t="s">
        <v>879</v>
      </c>
      <c r="AG63" s="238" t="str">
        <f t="shared" si="14"/>
        <v>LTIA-5.10-VIETUR-70000-RFA-MAS-0720</v>
      </c>
      <c r="AH63" s="243" t="b" cm="1">
        <f t="array" ref="AH63">$E63=_xlfn.XLOOKUP(
AG63,
_xlfn._xlws.FILTER($AG$7:$AG$4572,$L$7:$L$4572&lt;&gt;"X"),
_xlfn._xlws.FILTER($E$7:$E$4572,$L$7:$L$4572&lt;&gt;"X"),
"",
0,
-1
)</f>
        <v>1</v>
      </c>
      <c r="AI63" s="75" t="str">
        <f t="shared" si="9"/>
        <v/>
      </c>
    </row>
    <row r="64" spans="1:35" s="9" customFormat="1" ht="47.25">
      <c r="A64" s="33">
        <f t="shared" si="10"/>
        <v>58</v>
      </c>
      <c r="B64" s="330" t="str">
        <f t="shared" si="11"/>
        <v>5.10</v>
      </c>
      <c r="C64" s="137" t="s">
        <v>144</v>
      </c>
      <c r="D64" s="137" t="s">
        <v>30</v>
      </c>
      <c r="E64" s="25" t="s">
        <v>462</v>
      </c>
      <c r="F64" s="174">
        <f t="shared" si="17"/>
        <v>46139</v>
      </c>
      <c r="G64" s="31" t="s">
        <v>463</v>
      </c>
      <c r="H64" s="21" t="s">
        <v>464</v>
      </c>
      <c r="I64" s="138" t="s">
        <v>3</v>
      </c>
      <c r="J64" s="164">
        <f t="shared" si="3"/>
        <v>0</v>
      </c>
      <c r="K64" s="47">
        <f t="shared" si="18"/>
        <v>0</v>
      </c>
      <c r="L64" s="164"/>
      <c r="M64" s="40" t="s">
        <v>8</v>
      </c>
      <c r="N64" s="41" t="s">
        <v>8</v>
      </c>
      <c r="O64" s="40" t="s">
        <v>8</v>
      </c>
      <c r="P64" s="41" t="s">
        <v>8</v>
      </c>
      <c r="Q64" s="40" t="s">
        <v>8</v>
      </c>
      <c r="R64" s="155" t="s">
        <v>3</v>
      </c>
      <c r="S64" s="27">
        <v>45982</v>
      </c>
      <c r="T64" s="27">
        <v>45982</v>
      </c>
      <c r="U64" s="188">
        <v>46118</v>
      </c>
      <c r="V64" s="29">
        <v>45993</v>
      </c>
      <c r="W64" s="188">
        <v>46118</v>
      </c>
      <c r="X64" s="235" t="s">
        <v>190</v>
      </c>
      <c r="Y64" s="230">
        <v>46134</v>
      </c>
      <c r="Z64" s="227">
        <v>45999</v>
      </c>
      <c r="AA64" s="29" t="str">
        <f t="shared" si="5"/>
        <v/>
      </c>
      <c r="AB64" s="229"/>
      <c r="AC64" s="229" t="str">
        <f t="shared" si="12"/>
        <v/>
      </c>
      <c r="AD64" s="337" t="str">
        <f t="shared" si="13"/>
        <v/>
      </c>
      <c r="AE64" s="92" t="s">
        <v>880</v>
      </c>
      <c r="AG64" s="238" t="str">
        <f t="shared" si="14"/>
        <v>LTIA-5.10-VIETUR-70000-RFA-MAS-0708</v>
      </c>
      <c r="AH64" s="243" t="b" cm="1">
        <f t="array" ref="AH64">$E64=_xlfn.XLOOKUP(
AG64,
_xlfn._xlws.FILTER($AG$7:$AG$4572,$L$7:$L$4572&lt;&gt;"X"),
_xlfn._xlws.FILTER($E$7:$E$4572,$L$7:$L$4572&lt;&gt;"X"),
"",
0,
-1
)</f>
        <v>1</v>
      </c>
      <c r="AI64" s="75" t="str">
        <f t="shared" si="9"/>
        <v/>
      </c>
    </row>
    <row r="65" spans="1:35" s="9" customFormat="1" ht="47.25">
      <c r="A65" s="33">
        <f t="shared" si="10"/>
        <v>59</v>
      </c>
      <c r="B65" s="330" t="str">
        <f t="shared" si="11"/>
        <v>5.10</v>
      </c>
      <c r="C65" s="137" t="s">
        <v>144</v>
      </c>
      <c r="D65" s="137" t="s">
        <v>30</v>
      </c>
      <c r="E65" s="25" t="s">
        <v>473</v>
      </c>
      <c r="F65" s="174">
        <f t="shared" si="17"/>
        <v>46053</v>
      </c>
      <c r="G65" s="31" t="s">
        <v>474</v>
      </c>
      <c r="H65" s="21" t="s">
        <v>475</v>
      </c>
      <c r="I65" s="138" t="s">
        <v>3</v>
      </c>
      <c r="J65" s="164">
        <f t="shared" si="3"/>
        <v>4</v>
      </c>
      <c r="K65" s="47">
        <f t="shared" si="18"/>
        <v>0</v>
      </c>
      <c r="L65" s="164"/>
      <c r="M65" s="40" t="s">
        <v>8</v>
      </c>
      <c r="N65" s="41" t="s">
        <v>8</v>
      </c>
      <c r="O65" s="40" t="s">
        <v>8</v>
      </c>
      <c r="P65" s="41" t="s">
        <v>8</v>
      </c>
      <c r="Q65" s="40" t="s">
        <v>8</v>
      </c>
      <c r="R65" s="155" t="s">
        <v>3</v>
      </c>
      <c r="S65" s="27">
        <v>45995</v>
      </c>
      <c r="T65" s="27">
        <v>45995</v>
      </c>
      <c r="U65" s="188">
        <v>46032</v>
      </c>
      <c r="V65" s="29">
        <v>46008</v>
      </c>
      <c r="W65" s="188">
        <v>46036</v>
      </c>
      <c r="X65" s="235" t="s">
        <v>190</v>
      </c>
      <c r="Y65" s="230">
        <v>46177</v>
      </c>
      <c r="Z65" s="227">
        <v>46181</v>
      </c>
      <c r="AA65" s="29" t="str">
        <f t="shared" si="5"/>
        <v/>
      </c>
      <c r="AB65" s="229"/>
      <c r="AC65" s="229" t="str">
        <f t="shared" si="12"/>
        <v/>
      </c>
      <c r="AD65" s="337" t="str">
        <f t="shared" si="13"/>
        <v/>
      </c>
      <c r="AE65" s="92" t="s">
        <v>881</v>
      </c>
      <c r="AG65" s="238" t="str">
        <f t="shared" si="14"/>
        <v>LTIA-5.10-VIETUR-70000-RFA-MAS-0734</v>
      </c>
      <c r="AH65" s="243" t="b" cm="1">
        <f t="array" ref="AH65">$E65=_xlfn.XLOOKUP(
AG65,
_xlfn._xlws.FILTER($AG$7:$AG$4572,$L$7:$L$4572&lt;&gt;"X"),
_xlfn._xlws.FILTER($E$7:$E$4572,$L$7:$L$4572&lt;&gt;"X"),
"",
0,
-1
)</f>
        <v>1</v>
      </c>
      <c r="AI65" s="75" t="str">
        <f t="shared" si="9"/>
        <v/>
      </c>
    </row>
    <row r="66" spans="1:35" s="9" customFormat="1" ht="94.5">
      <c r="A66" s="33">
        <f t="shared" si="10"/>
        <v>60</v>
      </c>
      <c r="B66" s="330" t="str">
        <f t="shared" si="11"/>
        <v>5.10</v>
      </c>
      <c r="C66" s="137" t="s">
        <v>184</v>
      </c>
      <c r="D66" s="137" t="s">
        <v>30</v>
      </c>
      <c r="E66" s="25" t="s">
        <v>476</v>
      </c>
      <c r="F66" s="174">
        <f t="shared" si="17"/>
        <v>46118</v>
      </c>
      <c r="G66" s="31" t="s">
        <v>330</v>
      </c>
      <c r="H66" s="21" t="s">
        <v>331</v>
      </c>
      <c r="I66" s="138" t="s">
        <v>3</v>
      </c>
      <c r="J66" s="164">
        <f t="shared" si="3"/>
        <v>1</v>
      </c>
      <c r="K66" s="47">
        <f t="shared" si="18"/>
        <v>0</v>
      </c>
      <c r="L66" s="164"/>
      <c r="M66" s="40" t="s">
        <v>8</v>
      </c>
      <c r="N66" s="41" t="s">
        <v>8</v>
      </c>
      <c r="O66" s="40" t="s">
        <v>8</v>
      </c>
      <c r="P66" s="41" t="s">
        <v>8</v>
      </c>
      <c r="Q66" s="40" t="s">
        <v>8</v>
      </c>
      <c r="R66" s="155" t="s">
        <v>3</v>
      </c>
      <c r="S66" s="27">
        <v>45995</v>
      </c>
      <c r="T66" s="27">
        <v>45995</v>
      </c>
      <c r="U66" s="188">
        <v>46097</v>
      </c>
      <c r="V66" s="29">
        <v>46008</v>
      </c>
      <c r="W66" s="188">
        <v>46098</v>
      </c>
      <c r="X66" s="235" t="s">
        <v>190</v>
      </c>
      <c r="Y66" s="230">
        <v>46175</v>
      </c>
      <c r="Z66" s="227">
        <v>46175</v>
      </c>
      <c r="AA66" s="29" t="str">
        <f t="shared" si="5"/>
        <v/>
      </c>
      <c r="AB66" s="229"/>
      <c r="AC66" s="229" t="str">
        <f t="shared" si="12"/>
        <v/>
      </c>
      <c r="AD66" s="337" t="str">
        <f t="shared" si="13"/>
        <v/>
      </c>
      <c r="AE66" s="92" t="s">
        <v>882</v>
      </c>
      <c r="AG66" s="238" t="str">
        <f t="shared" si="14"/>
        <v>LTIA-5.10-VIETUR-70000-RFA-MAS-0556</v>
      </c>
      <c r="AH66" s="243" t="b" cm="1">
        <f t="array" ref="AH66">$E66=_xlfn.XLOOKUP(
AG66,
_xlfn._xlws.FILTER($AG$7:$AG$4572,$L$7:$L$4572&lt;&gt;"X"),
_xlfn._xlws.FILTER($E$7:$E$4572,$L$7:$L$4572&lt;&gt;"X"),
"",
0,
-1
)</f>
        <v>1</v>
      </c>
      <c r="AI66" s="75" t="str">
        <f t="shared" si="9"/>
        <v/>
      </c>
    </row>
    <row r="67" spans="1:35" s="9" customFormat="1" ht="78.75">
      <c r="A67" s="33">
        <f t="shared" si="10"/>
        <v>61</v>
      </c>
      <c r="B67" s="330" t="str">
        <f t="shared" si="11"/>
        <v>5.10</v>
      </c>
      <c r="C67" s="137" t="s">
        <v>195</v>
      </c>
      <c r="D67" s="137" t="s">
        <v>28</v>
      </c>
      <c r="E67" s="25" t="s">
        <v>477</v>
      </c>
      <c r="F67" s="174">
        <f t="shared" si="17"/>
        <v>46028</v>
      </c>
      <c r="G67" s="31" t="s">
        <v>457</v>
      </c>
      <c r="H67" s="21" t="s">
        <v>458</v>
      </c>
      <c r="I67" s="138" t="s">
        <v>3</v>
      </c>
      <c r="J67" s="164">
        <f t="shared" si="3"/>
        <v>8</v>
      </c>
      <c r="K67" s="47">
        <f t="shared" si="18"/>
        <v>0</v>
      </c>
      <c r="L67" s="164"/>
      <c r="M67" s="40" t="s">
        <v>8</v>
      </c>
      <c r="N67" s="41" t="s">
        <v>8</v>
      </c>
      <c r="O67" s="40" t="s">
        <v>8</v>
      </c>
      <c r="P67" s="41" t="s">
        <v>8</v>
      </c>
      <c r="Q67" s="40" t="s">
        <v>8</v>
      </c>
      <c r="R67" s="155" t="s">
        <v>3</v>
      </c>
      <c r="S67" s="27">
        <v>46006</v>
      </c>
      <c r="T67" s="27">
        <v>46006</v>
      </c>
      <c r="U67" s="188">
        <v>46007</v>
      </c>
      <c r="V67" s="29">
        <v>45999</v>
      </c>
      <c r="W67" s="188">
        <v>46015</v>
      </c>
      <c r="X67" s="235" t="s">
        <v>478</v>
      </c>
      <c r="Y67" s="230">
        <v>46030</v>
      </c>
      <c r="Z67" s="227">
        <v>46031</v>
      </c>
      <c r="AA67" s="29" t="str">
        <f t="shared" si="5"/>
        <v/>
      </c>
      <c r="AB67" s="229"/>
      <c r="AC67" s="229" t="str">
        <f t="shared" si="12"/>
        <v/>
      </c>
      <c r="AD67" s="337" t="str">
        <f t="shared" si="13"/>
        <v/>
      </c>
      <c r="AE67" s="92"/>
      <c r="AG67" s="238" t="str">
        <f t="shared" si="14"/>
        <v>LTIA-5.10-VIETUR-70000-RFA-OTH-0631</v>
      </c>
      <c r="AH67" s="243" t="b" cm="1">
        <f t="array" ref="AH67">$E67=_xlfn.XLOOKUP(
AG67,
_xlfn._xlws.FILTER($AG$7:$AG$4572,$L$7:$L$4572&lt;&gt;"X"),
_xlfn._xlws.FILTER($E$7:$E$4572,$L$7:$L$4572&lt;&gt;"X"),
"",
0,
-1
)</f>
        <v>1</v>
      </c>
      <c r="AI67" s="75" t="str">
        <f t="shared" si="9"/>
        <v/>
      </c>
    </row>
    <row r="68" spans="1:35" s="9" customFormat="1" ht="47.25">
      <c r="A68" s="33">
        <f t="shared" si="10"/>
        <v>62</v>
      </c>
      <c r="B68" s="330" t="str">
        <f t="shared" si="11"/>
        <v>5.10</v>
      </c>
      <c r="C68" s="137" t="s">
        <v>144</v>
      </c>
      <c r="D68" s="137" t="s">
        <v>28</v>
      </c>
      <c r="E68" s="25" t="s">
        <v>479</v>
      </c>
      <c r="F68" s="174">
        <f t="shared" si="17"/>
        <v>46030</v>
      </c>
      <c r="G68" s="31" t="s">
        <v>480</v>
      </c>
      <c r="H68" s="21" t="s">
        <v>481</v>
      </c>
      <c r="I68" s="138" t="s">
        <v>2</v>
      </c>
      <c r="J68" s="164">
        <f t="shared" si="3"/>
        <v>34</v>
      </c>
      <c r="K68" s="47">
        <f t="shared" si="18"/>
        <v>13</v>
      </c>
      <c r="L68" s="164"/>
      <c r="M68" s="40" t="s">
        <v>8</v>
      </c>
      <c r="N68" s="41" t="s">
        <v>8</v>
      </c>
      <c r="O68" s="40" t="s">
        <v>8</v>
      </c>
      <c r="P68" s="41" t="s">
        <v>8</v>
      </c>
      <c r="Q68" s="40" t="s">
        <v>8</v>
      </c>
      <c r="R68" s="155" t="s">
        <v>1</v>
      </c>
      <c r="S68" s="27">
        <v>46009</v>
      </c>
      <c r="T68" s="27">
        <v>46009</v>
      </c>
      <c r="U68" s="188">
        <v>46009</v>
      </c>
      <c r="V68" s="29">
        <v>46022</v>
      </c>
      <c r="W68" s="188">
        <v>46043</v>
      </c>
      <c r="X68" s="235" t="s">
        <v>190</v>
      </c>
      <c r="Y68" s="230">
        <v>46162</v>
      </c>
      <c r="Z68" s="227"/>
      <c r="AA68" s="29">
        <f t="shared" si="5"/>
        <v>46170</v>
      </c>
      <c r="AB68" s="229"/>
      <c r="AC68" s="229" t="str">
        <f t="shared" ca="1" si="12"/>
        <v>Not submit yet</v>
      </c>
      <c r="AD68" s="337">
        <f t="shared" ca="1" si="13"/>
        <v>139</v>
      </c>
      <c r="AE68" s="92"/>
      <c r="AG68" s="238" t="str">
        <f t="shared" si="14"/>
        <v>LTIA-5.10-VIETUR-70000-RFA-OTH-0654</v>
      </c>
      <c r="AH68" s="243" t="b" cm="1">
        <f t="array" ref="AH68">$E68=_xlfn.XLOOKUP(
AG68,
_xlfn._xlws.FILTER($AG$7:$AG$4572,$L$7:$L$4572&lt;&gt;"X"),
_xlfn._xlws.FILTER($E$7:$E$4572,$L$7:$L$4572&lt;&gt;"X"),
"",
0,
-1
)</f>
        <v>1</v>
      </c>
      <c r="AI68" s="75" t="str">
        <f t="shared" si="9"/>
        <v>YES</v>
      </c>
    </row>
    <row r="69" spans="1:35" s="9" customFormat="1" ht="47.25">
      <c r="A69" s="33">
        <f>A68+1</f>
        <v>63</v>
      </c>
      <c r="B69" s="330" t="str">
        <f t="shared" si="11"/>
        <v>5.10</v>
      </c>
      <c r="C69" s="137" t="s">
        <v>180</v>
      </c>
      <c r="D69" s="137" t="s">
        <v>30</v>
      </c>
      <c r="E69" s="25" t="s">
        <v>512</v>
      </c>
      <c r="F69" s="174">
        <f t="shared" si="17"/>
        <v>46161</v>
      </c>
      <c r="G69" s="31" t="s">
        <v>513</v>
      </c>
      <c r="H69" s="21" t="s">
        <v>514</v>
      </c>
      <c r="I69" s="138" t="s">
        <v>3</v>
      </c>
      <c r="J69" s="164">
        <f t="shared" si="3"/>
        <v>15</v>
      </c>
      <c r="K69" s="47">
        <f t="shared" si="18"/>
        <v>0</v>
      </c>
      <c r="L69" s="164"/>
      <c r="M69" s="40" t="s">
        <v>8</v>
      </c>
      <c r="N69" s="41" t="s">
        <v>8</v>
      </c>
      <c r="O69" s="40" t="s">
        <v>8</v>
      </c>
      <c r="P69" s="41" t="s">
        <v>8</v>
      </c>
      <c r="Q69" s="40"/>
      <c r="R69" s="155"/>
      <c r="S69" s="27">
        <v>46140</v>
      </c>
      <c r="T69" s="27">
        <v>46140</v>
      </c>
      <c r="U69" s="188">
        <v>46140</v>
      </c>
      <c r="V69" s="29">
        <v>46153</v>
      </c>
      <c r="W69" s="188">
        <v>46155</v>
      </c>
      <c r="X69" s="235" t="s">
        <v>190</v>
      </c>
      <c r="Y69" s="230"/>
      <c r="Z69" s="227"/>
      <c r="AA69" s="29" t="b">
        <f t="shared" si="5"/>
        <v>0</v>
      </c>
      <c r="AB69" s="229"/>
      <c r="AC69" s="229" t="str">
        <f t="shared" si="12"/>
        <v/>
      </c>
      <c r="AD69" s="337" t="str">
        <f t="shared" si="13"/>
        <v/>
      </c>
      <c r="AE69" s="92"/>
      <c r="AG69" s="238" t="str">
        <f t="shared" si="14"/>
        <v>LTIA-5.10-VIETUR-70000-RFA-MAS-0774</v>
      </c>
      <c r="AH69" s="243" t="b" cm="1">
        <f t="array" ref="AH69">$E69=_xlfn.XLOOKUP(
AG69,
_xlfn._xlws.FILTER($AG$7:$AG$4572,$L$7:$L$4572&lt;&gt;"X"),
_xlfn._xlws.FILTER($E$7:$E$4572,$L$7:$L$4572&lt;&gt;"X"),
"",
0,
-1
)</f>
        <v>1</v>
      </c>
      <c r="AI69" s="75" t="str">
        <f t="shared" si="9"/>
        <v/>
      </c>
    </row>
    <row r="70" spans="1:35" s="9" customFormat="1" ht="47.25">
      <c r="A70" s="33">
        <f t="shared" si="10"/>
        <v>64</v>
      </c>
      <c r="B70" s="330" t="str">
        <f t="shared" si="11"/>
        <v>5.11</v>
      </c>
      <c r="C70" s="137" t="s">
        <v>688</v>
      </c>
      <c r="D70" s="137" t="s">
        <v>30</v>
      </c>
      <c r="E70" s="25" t="s">
        <v>733</v>
      </c>
      <c r="F70" s="174">
        <f t="shared" si="17"/>
        <v>45952</v>
      </c>
      <c r="G70" s="31" t="s">
        <v>734</v>
      </c>
      <c r="H70" s="21" t="s">
        <v>735</v>
      </c>
      <c r="I70" s="138" t="s">
        <v>3</v>
      </c>
      <c r="J70" s="164">
        <f t="shared" si="3"/>
        <v>9</v>
      </c>
      <c r="K70" s="47">
        <f t="shared" si="18"/>
        <v>0</v>
      </c>
      <c r="L70" s="164"/>
      <c r="M70" s="40" t="s">
        <v>8</v>
      </c>
      <c r="N70" s="41" t="s">
        <v>8</v>
      </c>
      <c r="O70" s="40" t="s">
        <v>8</v>
      </c>
      <c r="P70" s="41" t="s">
        <v>8</v>
      </c>
      <c r="Q70" s="40" t="s">
        <v>8</v>
      </c>
      <c r="R70" s="155" t="s">
        <v>3</v>
      </c>
      <c r="S70" s="27">
        <v>45909</v>
      </c>
      <c r="T70" s="27">
        <v>45887</v>
      </c>
      <c r="U70" s="188">
        <v>45931</v>
      </c>
      <c r="V70" s="29">
        <v>45919</v>
      </c>
      <c r="W70" s="188">
        <v>45940</v>
      </c>
      <c r="X70" s="235" t="s">
        <v>190</v>
      </c>
      <c r="Y70" s="230">
        <v>45930</v>
      </c>
      <c r="Z70" s="227"/>
      <c r="AA70" s="29" t="str">
        <f t="shared" si="5"/>
        <v/>
      </c>
      <c r="AB70" s="229"/>
      <c r="AC70" s="229" t="str">
        <f t="shared" si="12"/>
        <v/>
      </c>
      <c r="AD70" s="337" t="str">
        <f t="shared" si="13"/>
        <v/>
      </c>
      <c r="AE70" s="92" t="s">
        <v>736</v>
      </c>
      <c r="AG70" s="238" t="str">
        <f t="shared" si="14"/>
        <v>LTIA-5.11-LTICT-72110-RFA-MAS-0001</v>
      </c>
      <c r="AH70" s="243" t="b" cm="1">
        <f t="array" ref="AH70">$E70=_xlfn.XLOOKUP(
AG70,
_xlfn._xlws.FILTER($AG$7:$AG$4572,$L$7:$L$4572&lt;&gt;"X"),
_xlfn._xlws.FILTER($E$7:$E$4572,$L$7:$L$4572&lt;&gt;"X"),
"",
0,
-1
)</f>
        <v>1</v>
      </c>
      <c r="AI70" s="75" t="str">
        <f t="shared" si="9"/>
        <v/>
      </c>
    </row>
    <row r="71" spans="1:35" s="9" customFormat="1" ht="47.25">
      <c r="A71" s="33">
        <f t="shared" ref="A71:A135" si="19">A70+1</f>
        <v>65</v>
      </c>
      <c r="B71" s="330" t="str">
        <f t="shared" ref="B71:B105" si="20">MID(E71, FIND("-", E71) + 1, 4)</f>
        <v>5.11</v>
      </c>
      <c r="C71" s="137" t="s">
        <v>144</v>
      </c>
      <c r="D71" s="137" t="s">
        <v>30</v>
      </c>
      <c r="E71" s="25" t="s">
        <v>737</v>
      </c>
      <c r="F71" s="174">
        <f t="shared" si="17"/>
        <v>45999</v>
      </c>
      <c r="G71" s="31" t="s">
        <v>738</v>
      </c>
      <c r="H71" s="21" t="s">
        <v>739</v>
      </c>
      <c r="I71" s="138" t="s">
        <v>3</v>
      </c>
      <c r="J71" s="164">
        <f>MAX(0, IF(ISBLANK($W71), _xlfn.DAYS($J$1,$U71), _xlfn.DAYS($W71,$U71)))</f>
        <v>0</v>
      </c>
      <c r="K71" s="47">
        <f t="shared" si="18"/>
        <v>0</v>
      </c>
      <c r="L71" s="164"/>
      <c r="M71" s="40" t="s">
        <v>8</v>
      </c>
      <c r="N71" s="41" t="s">
        <v>8</v>
      </c>
      <c r="O71" s="40" t="s">
        <v>8</v>
      </c>
      <c r="P71" s="41" t="s">
        <v>8</v>
      </c>
      <c r="Q71" s="40" t="s">
        <v>8</v>
      </c>
      <c r="R71" s="155" t="s">
        <v>3</v>
      </c>
      <c r="S71" s="27">
        <v>45910</v>
      </c>
      <c r="T71" s="27">
        <v>45888</v>
      </c>
      <c r="U71" s="188">
        <v>45978</v>
      </c>
      <c r="V71" s="29">
        <v>45922</v>
      </c>
      <c r="W71" s="188">
        <v>45940</v>
      </c>
      <c r="X71" s="235" t="s">
        <v>190</v>
      </c>
      <c r="Y71" s="230">
        <v>45930</v>
      </c>
      <c r="Z71" s="227"/>
      <c r="AA71" s="29" t="str">
        <f t="shared" ref="AA71:AA120" si="21">IF(AND($R71="",$I71=""),"",IF(OR($R71="B",$R71="C"),IF($Z71&lt;&gt;"",$Z71+7,IF($Y71&lt;&gt;"",$Y71+8,"")),IF($R71="",IF(OR($I71="B",$I71="C"),IF($W71&lt;&gt;"",$W71+7,IF($V71&lt;&gt;"",$V71+8,""))),"")))</f>
        <v/>
      </c>
      <c r="AB71" s="229"/>
      <c r="AC71" s="229" t="str">
        <f t="shared" ref="AC71:AC126" si="22">IF(OR($R71="B",$R71="C"),IF($AA71="","",IF($AB71="",IF($AA71&gt;=$J$1,"In progress","Not submit yet"),IF($AA71&gt;=$AB71,"Timely Response","Late Resubmission"))),"")</f>
        <v/>
      </c>
      <c r="AD71" s="337" t="str">
        <f t="shared" ref="AD71:AD101" si="23">IF(AC71="Late Resubmission",IF(AB71="","",AB71-AA71),IF(AC71="Not submit yet",IF(AA71="","",$J$1-AA71),""))</f>
        <v/>
      </c>
      <c r="AE71" s="92" t="s">
        <v>740</v>
      </c>
      <c r="AG71" s="238" t="str">
        <f t="shared" si="14"/>
        <v>LTIA-5.11-LTICT-72110-RFA-MAS-0002</v>
      </c>
      <c r="AH71" s="243" t="b" cm="1">
        <f t="array" ref="AH71">$E71=_xlfn.XLOOKUP(
AG71,
_xlfn._xlws.FILTER($AG$7:$AG$4572,$L$7:$L$4572&lt;&gt;"X"),
_xlfn._xlws.FILTER($E$7:$E$4572,$L$7:$L$4572&lt;&gt;"X"),
"",
0,
-1
)</f>
        <v>1</v>
      </c>
      <c r="AI71" s="75" t="str">
        <f t="shared" ref="AI71:AI119" si="24">IF($AH71,IF(OR($R71="B",$R71="C"),"YES",IF($R71="",IF(OR($I71="B",$I71="C"),"YES",""),"")),"")</f>
        <v/>
      </c>
    </row>
    <row r="72" spans="1:35" s="9" customFormat="1" ht="47.25">
      <c r="A72" s="33">
        <f t="shared" si="19"/>
        <v>66</v>
      </c>
      <c r="B72" s="330" t="str">
        <f t="shared" si="20"/>
        <v>5.11</v>
      </c>
      <c r="C72" s="137" t="s">
        <v>637</v>
      </c>
      <c r="D72" s="137" t="s">
        <v>30</v>
      </c>
      <c r="E72" s="25" t="s">
        <v>741</v>
      </c>
      <c r="F72" s="174">
        <f t="shared" si="17"/>
        <v>45988</v>
      </c>
      <c r="G72" s="31" t="s">
        <v>742</v>
      </c>
      <c r="H72" s="21" t="s">
        <v>743</v>
      </c>
      <c r="I72" s="138" t="s">
        <v>3</v>
      </c>
      <c r="J72" s="164">
        <f t="shared" ref="J72:J82" si="25">MAX(0, IF(ISBLANK($W72), _xlfn.DAYS($J$1,$U72), _xlfn.DAYS($W72,$U72)))</f>
        <v>46</v>
      </c>
      <c r="K72" s="47">
        <f t="shared" si="18"/>
        <v>25</v>
      </c>
      <c r="L72" s="164"/>
      <c r="M72" s="40" t="s">
        <v>8</v>
      </c>
      <c r="N72" s="41" t="s">
        <v>8</v>
      </c>
      <c r="O72" s="40" t="s">
        <v>8</v>
      </c>
      <c r="P72" s="41" t="s">
        <v>8</v>
      </c>
      <c r="Q72" s="40" t="s">
        <v>8</v>
      </c>
      <c r="R72" s="155" t="s">
        <v>3</v>
      </c>
      <c r="S72" s="27">
        <v>45940</v>
      </c>
      <c r="T72" s="27">
        <v>45940</v>
      </c>
      <c r="U72" s="188">
        <v>45967</v>
      </c>
      <c r="V72" s="29">
        <v>45953</v>
      </c>
      <c r="W72" s="188">
        <v>46013</v>
      </c>
      <c r="X72" s="235" t="s">
        <v>744</v>
      </c>
      <c r="Y72" s="230">
        <v>45955</v>
      </c>
      <c r="Z72" s="227"/>
      <c r="AA72" s="29" t="str">
        <f t="shared" si="21"/>
        <v/>
      </c>
      <c r="AB72" s="229"/>
      <c r="AC72" s="229" t="str">
        <f t="shared" si="22"/>
        <v/>
      </c>
      <c r="AD72" s="337" t="str">
        <f t="shared" si="23"/>
        <v/>
      </c>
      <c r="AE72" s="92" t="s">
        <v>745</v>
      </c>
      <c r="AG72" s="238" t="str">
        <f t="shared" si="14"/>
        <v>LTIA-5.11-LTICT-72120-RFA-MAS-0003</v>
      </c>
      <c r="AH72" s="243" t="b" cm="1">
        <f t="array" ref="AH72">$E72=_xlfn.XLOOKUP(
AG72,
_xlfn._xlws.FILTER($AG$7:$AG$4572,$L$7:$L$4572&lt;&gt;"X"),
_xlfn._xlws.FILTER($E$7:$E$4572,$L$7:$L$4572&lt;&gt;"X"),
"",
0,
-1
)</f>
        <v>1</v>
      </c>
      <c r="AI72" s="75" t="str">
        <f t="shared" si="24"/>
        <v/>
      </c>
    </row>
    <row r="73" spans="1:35" s="9" customFormat="1" ht="47.25">
      <c r="A73" s="33">
        <f t="shared" si="19"/>
        <v>67</v>
      </c>
      <c r="B73" s="330" t="str">
        <f t="shared" si="20"/>
        <v>5.11</v>
      </c>
      <c r="C73" s="137" t="s">
        <v>633</v>
      </c>
      <c r="D73" s="137" t="s">
        <v>30</v>
      </c>
      <c r="E73" s="25" t="s">
        <v>746</v>
      </c>
      <c r="F73" s="174">
        <f t="shared" si="17"/>
        <v>45999</v>
      </c>
      <c r="G73" s="31" t="s">
        <v>748</v>
      </c>
      <c r="H73" s="21" t="s">
        <v>747</v>
      </c>
      <c r="I73" s="138" t="s">
        <v>3</v>
      </c>
      <c r="J73" s="164">
        <f t="shared" si="25"/>
        <v>0</v>
      </c>
      <c r="K73" s="47">
        <f t="shared" si="18"/>
        <v>0</v>
      </c>
      <c r="L73" s="164"/>
      <c r="M73" s="40" t="s">
        <v>8</v>
      </c>
      <c r="N73" s="41" t="s">
        <v>8</v>
      </c>
      <c r="O73" s="40" t="s">
        <v>8</v>
      </c>
      <c r="P73" s="41" t="s">
        <v>8</v>
      </c>
      <c r="Q73" s="40" t="s">
        <v>8</v>
      </c>
      <c r="R73" s="155" t="s">
        <v>3</v>
      </c>
      <c r="S73" s="27">
        <v>45944</v>
      </c>
      <c r="T73" s="27">
        <v>45938</v>
      </c>
      <c r="U73" s="188">
        <v>45978</v>
      </c>
      <c r="V73" s="29">
        <v>45957</v>
      </c>
      <c r="W73" s="188">
        <v>45964</v>
      </c>
      <c r="X73" s="235" t="s">
        <v>749</v>
      </c>
      <c r="Y73" s="230">
        <v>45958</v>
      </c>
      <c r="Z73" s="227"/>
      <c r="AA73" s="29" t="str">
        <f t="shared" si="21"/>
        <v/>
      </c>
      <c r="AB73" s="229"/>
      <c r="AC73" s="229" t="str">
        <f t="shared" si="22"/>
        <v/>
      </c>
      <c r="AD73" s="337" t="str">
        <f t="shared" si="23"/>
        <v/>
      </c>
      <c r="AE73" s="92" t="s">
        <v>740</v>
      </c>
      <c r="AG73" s="238" t="str">
        <f t="shared" si="14"/>
        <v>LTIA-5.11-LTICT-72120-RFA-MAS-0004</v>
      </c>
      <c r="AH73" s="243" t="b" cm="1">
        <f t="array" ref="AH73">$E73=_xlfn.XLOOKUP(
AG73,
_xlfn._xlws.FILTER($AG$7:$AG$4572,$L$7:$L$4572&lt;&gt;"X"),
_xlfn._xlws.FILTER($E$7:$E$4572,$L$7:$L$4572&lt;&gt;"X"),
"",
0,
-1
)</f>
        <v>1</v>
      </c>
      <c r="AI73" s="75" t="str">
        <f t="shared" si="24"/>
        <v/>
      </c>
    </row>
    <row r="74" spans="1:35" s="9" customFormat="1" ht="47.25">
      <c r="A74" s="33">
        <f t="shared" si="19"/>
        <v>68</v>
      </c>
      <c r="B74" s="330" t="str">
        <f t="shared" si="20"/>
        <v>5.11</v>
      </c>
      <c r="C74" s="137" t="s">
        <v>751</v>
      </c>
      <c r="D74" s="137" t="s">
        <v>30</v>
      </c>
      <c r="E74" s="25" t="s">
        <v>750</v>
      </c>
      <c r="F74" s="174">
        <f t="shared" si="17"/>
        <v>45951</v>
      </c>
      <c r="G74" s="31" t="s">
        <v>753</v>
      </c>
      <c r="H74" s="21" t="s">
        <v>754</v>
      </c>
      <c r="I74" s="138" t="s">
        <v>3</v>
      </c>
      <c r="J74" s="164">
        <f t="shared" si="25"/>
        <v>1</v>
      </c>
      <c r="K74" s="47">
        <f t="shared" si="18"/>
        <v>0</v>
      </c>
      <c r="L74" s="164"/>
      <c r="M74" s="40" t="s">
        <v>8</v>
      </c>
      <c r="N74" s="41" t="s">
        <v>8</v>
      </c>
      <c r="O74" s="40" t="s">
        <v>8</v>
      </c>
      <c r="P74" s="41" t="s">
        <v>8</v>
      </c>
      <c r="Q74" s="40" t="s">
        <v>8</v>
      </c>
      <c r="R74" s="155" t="s">
        <v>3</v>
      </c>
      <c r="S74" s="27">
        <v>45915</v>
      </c>
      <c r="T74" s="27">
        <v>45909</v>
      </c>
      <c r="U74" s="188">
        <v>45930</v>
      </c>
      <c r="V74" s="29">
        <v>45919</v>
      </c>
      <c r="W74" s="188">
        <v>45931</v>
      </c>
      <c r="X74" s="235" t="s">
        <v>190</v>
      </c>
      <c r="Y74" s="230">
        <v>45918</v>
      </c>
      <c r="Z74" s="227">
        <v>45957</v>
      </c>
      <c r="AA74" s="29" t="str">
        <f t="shared" si="21"/>
        <v/>
      </c>
      <c r="AB74" s="229"/>
      <c r="AC74" s="229" t="str">
        <f t="shared" si="22"/>
        <v/>
      </c>
      <c r="AD74" s="337" t="str">
        <f t="shared" si="23"/>
        <v/>
      </c>
      <c r="AE74" s="92" t="s">
        <v>752</v>
      </c>
      <c r="AG74" s="238" t="str">
        <f t="shared" si="14"/>
        <v>LTIA-5.11-LTICT-72040-RFA-MAS-0005</v>
      </c>
      <c r="AH74" s="243" t="b" cm="1">
        <f t="array" ref="AH74">$E74=_xlfn.XLOOKUP(
AG74,
_xlfn._xlws.FILTER($AG$7:$AG$4572,$L$7:$L$4572&lt;&gt;"X"),
_xlfn._xlws.FILTER($E$7:$E$4572,$L$7:$L$4572&lt;&gt;"X"),
"",
0,
-1
)</f>
        <v>1</v>
      </c>
      <c r="AI74" s="75" t="str">
        <f t="shared" si="24"/>
        <v/>
      </c>
    </row>
    <row r="75" spans="1:35" s="9" customFormat="1" ht="47.25">
      <c r="A75" s="33">
        <f t="shared" si="19"/>
        <v>69</v>
      </c>
      <c r="B75" s="330" t="str">
        <f t="shared" si="20"/>
        <v>5.11</v>
      </c>
      <c r="C75" s="137" t="s">
        <v>342</v>
      </c>
      <c r="D75" s="137" t="s">
        <v>30</v>
      </c>
      <c r="E75" s="25" t="s">
        <v>755</v>
      </c>
      <c r="F75" s="174">
        <f t="shared" si="17"/>
        <v>45951</v>
      </c>
      <c r="G75" s="31" t="s">
        <v>756</v>
      </c>
      <c r="H75" s="21" t="s">
        <v>757</v>
      </c>
      <c r="I75" s="138" t="s">
        <v>3</v>
      </c>
      <c r="J75" s="164">
        <f t="shared" si="25"/>
        <v>1</v>
      </c>
      <c r="K75" s="47">
        <f t="shared" si="18"/>
        <v>0</v>
      </c>
      <c r="L75" s="164"/>
      <c r="M75" s="40" t="s">
        <v>8</v>
      </c>
      <c r="N75" s="41" t="s">
        <v>8</v>
      </c>
      <c r="O75" s="40" t="s">
        <v>8</v>
      </c>
      <c r="P75" s="41" t="s">
        <v>8</v>
      </c>
      <c r="Q75" s="40" t="s">
        <v>8</v>
      </c>
      <c r="R75" s="155" t="s">
        <v>3</v>
      </c>
      <c r="S75" s="27">
        <v>45915</v>
      </c>
      <c r="T75" s="27">
        <v>45909</v>
      </c>
      <c r="U75" s="188">
        <v>45930</v>
      </c>
      <c r="V75" s="29">
        <v>45918</v>
      </c>
      <c r="W75" s="188">
        <v>45931</v>
      </c>
      <c r="X75" s="235" t="s">
        <v>190</v>
      </c>
      <c r="Y75" s="230">
        <v>45918</v>
      </c>
      <c r="Z75" s="227">
        <v>45957</v>
      </c>
      <c r="AA75" s="29" t="str">
        <f t="shared" si="21"/>
        <v/>
      </c>
      <c r="AB75" s="229"/>
      <c r="AC75" s="229" t="str">
        <f t="shared" si="22"/>
        <v/>
      </c>
      <c r="AD75" s="337" t="str">
        <f t="shared" si="23"/>
        <v/>
      </c>
      <c r="AE75" s="92" t="s">
        <v>752</v>
      </c>
      <c r="AG75" s="238" t="str">
        <f t="shared" si="14"/>
        <v>LTIA-5.11-LTICT-72020-RFA-MAS-0006</v>
      </c>
      <c r="AH75" s="243" t="b" cm="1">
        <f t="array" ref="AH75">$E75=_xlfn.XLOOKUP(
AG75,
_xlfn._xlws.FILTER($AG$7:$AG$4572,$L$7:$L$4572&lt;&gt;"X"),
_xlfn._xlws.FILTER($E$7:$E$4572,$L$7:$L$4572&lt;&gt;"X"),
"",
0,
-1
)</f>
        <v>1</v>
      </c>
      <c r="AI75" s="75" t="str">
        <f t="shared" si="24"/>
        <v/>
      </c>
    </row>
    <row r="76" spans="1:35" s="9" customFormat="1" ht="63">
      <c r="A76" s="33">
        <f t="shared" si="19"/>
        <v>70</v>
      </c>
      <c r="B76" s="330" t="str">
        <f t="shared" si="20"/>
        <v>5.11</v>
      </c>
      <c r="C76" s="137" t="s">
        <v>625</v>
      </c>
      <c r="D76" s="137" t="s">
        <v>30</v>
      </c>
      <c r="E76" s="25" t="s">
        <v>758</v>
      </c>
      <c r="F76" s="174">
        <f t="shared" si="17"/>
        <v>45951</v>
      </c>
      <c r="G76" s="31" t="s">
        <v>759</v>
      </c>
      <c r="H76" s="21" t="s">
        <v>760</v>
      </c>
      <c r="I76" s="138" t="s">
        <v>3</v>
      </c>
      <c r="J76" s="164">
        <f t="shared" si="25"/>
        <v>1</v>
      </c>
      <c r="K76" s="47">
        <f t="shared" si="18"/>
        <v>0</v>
      </c>
      <c r="L76" s="164"/>
      <c r="M76" s="40" t="s">
        <v>8</v>
      </c>
      <c r="N76" s="41" t="s">
        <v>8</v>
      </c>
      <c r="O76" s="40" t="s">
        <v>8</v>
      </c>
      <c r="P76" s="41" t="s">
        <v>8</v>
      </c>
      <c r="Q76" s="40" t="s">
        <v>8</v>
      </c>
      <c r="R76" s="155" t="s">
        <v>3</v>
      </c>
      <c r="S76" s="27">
        <v>45915</v>
      </c>
      <c r="T76" s="27">
        <v>45909</v>
      </c>
      <c r="U76" s="188">
        <v>45930</v>
      </c>
      <c r="V76" s="29">
        <v>45918</v>
      </c>
      <c r="W76" s="188">
        <v>45931</v>
      </c>
      <c r="X76" s="235" t="s">
        <v>190</v>
      </c>
      <c r="Y76" s="230">
        <v>45918</v>
      </c>
      <c r="Z76" s="227">
        <v>45957</v>
      </c>
      <c r="AA76" s="29" t="str">
        <f t="shared" si="21"/>
        <v/>
      </c>
      <c r="AB76" s="229"/>
      <c r="AC76" s="229" t="str">
        <f t="shared" si="22"/>
        <v/>
      </c>
      <c r="AD76" s="337" t="str">
        <f t="shared" si="23"/>
        <v/>
      </c>
      <c r="AE76" s="92" t="s">
        <v>752</v>
      </c>
      <c r="AG76" s="238" t="str">
        <f t="shared" si="14"/>
        <v>LTIA-5.11-LTICT-72030-RFA-MAS-0007</v>
      </c>
      <c r="AH76" s="243" t="b" cm="1">
        <f t="array" ref="AH76">$E76=_xlfn.XLOOKUP(
AG76,
_xlfn._xlws.FILTER($AG$7:$AG$4572,$L$7:$L$4572&lt;&gt;"X"),
_xlfn._xlws.FILTER($E$7:$E$4572,$L$7:$L$4572&lt;&gt;"X"),
"",
0,
-1
)</f>
        <v>1</v>
      </c>
      <c r="AI76" s="75" t="str">
        <f t="shared" si="24"/>
        <v/>
      </c>
    </row>
    <row r="77" spans="1:35" s="9" customFormat="1" ht="47.25">
      <c r="A77" s="33">
        <f t="shared" si="19"/>
        <v>71</v>
      </c>
      <c r="B77" s="330" t="str">
        <f t="shared" si="20"/>
        <v>5.11</v>
      </c>
      <c r="C77" s="137" t="s">
        <v>644</v>
      </c>
      <c r="D77" s="137" t="s">
        <v>30</v>
      </c>
      <c r="E77" s="25" t="s">
        <v>763</v>
      </c>
      <c r="F77" s="174">
        <f t="shared" si="17"/>
        <v>45992</v>
      </c>
      <c r="G77" s="31" t="s">
        <v>761</v>
      </c>
      <c r="H77" s="21" t="s">
        <v>762</v>
      </c>
      <c r="I77" s="138" t="s">
        <v>3</v>
      </c>
      <c r="J77" s="164">
        <f t="shared" si="25"/>
        <v>0</v>
      </c>
      <c r="K77" s="47">
        <f t="shared" si="18"/>
        <v>0</v>
      </c>
      <c r="L77" s="164"/>
      <c r="M77" s="40" t="s">
        <v>8</v>
      </c>
      <c r="N77" s="41" t="s">
        <v>8</v>
      </c>
      <c r="O77" s="40" t="s">
        <v>8</v>
      </c>
      <c r="P77" s="41" t="s">
        <v>8</v>
      </c>
      <c r="Q77" s="40" t="s">
        <v>8</v>
      </c>
      <c r="R77" s="155" t="s">
        <v>3</v>
      </c>
      <c r="S77" s="27">
        <v>45910</v>
      </c>
      <c r="T77" s="27">
        <v>45888</v>
      </c>
      <c r="U77" s="188">
        <v>45971</v>
      </c>
      <c r="V77" s="29">
        <v>45923</v>
      </c>
      <c r="W77" s="188">
        <v>45940</v>
      </c>
      <c r="X77" s="235" t="s">
        <v>190</v>
      </c>
      <c r="Y77" s="230">
        <v>45930</v>
      </c>
      <c r="Z77" s="227">
        <v>45940</v>
      </c>
      <c r="AA77" s="29" t="str">
        <f t="shared" si="21"/>
        <v/>
      </c>
      <c r="AB77" s="229"/>
      <c r="AC77" s="229" t="str">
        <f t="shared" si="22"/>
        <v/>
      </c>
      <c r="AD77" s="337" t="str">
        <f t="shared" si="23"/>
        <v/>
      </c>
      <c r="AE77" s="92" t="s">
        <v>764</v>
      </c>
      <c r="AG77" s="238" t="str">
        <f t="shared" si="14"/>
        <v>LTIA-5.11-LTICT-72090-RFA-MAS-0008</v>
      </c>
      <c r="AH77" s="243" t="b" cm="1">
        <f t="array" ref="AH77">$E77=_xlfn.XLOOKUP(
AG77,
_xlfn._xlws.FILTER($AG$7:$AG$4572,$L$7:$L$4572&lt;&gt;"X"),
_xlfn._xlws.FILTER($E$7:$E$4572,$L$7:$L$4572&lt;&gt;"X"),
"",
0,
-1
)</f>
        <v>1</v>
      </c>
      <c r="AI77" s="75" t="str">
        <f t="shared" si="24"/>
        <v/>
      </c>
    </row>
    <row r="78" spans="1:35" s="9" customFormat="1" ht="47.25">
      <c r="A78" s="33">
        <f t="shared" si="19"/>
        <v>72</v>
      </c>
      <c r="B78" s="330" t="str">
        <f t="shared" si="20"/>
        <v>5.11</v>
      </c>
      <c r="C78" s="137" t="s">
        <v>372</v>
      </c>
      <c r="D78" s="137" t="s">
        <v>30</v>
      </c>
      <c r="E78" s="25" t="s">
        <v>765</v>
      </c>
      <c r="F78" s="174">
        <f t="shared" si="17"/>
        <v>45965</v>
      </c>
      <c r="G78" s="31" t="s">
        <v>766</v>
      </c>
      <c r="H78" s="21" t="s">
        <v>767</v>
      </c>
      <c r="I78" s="138" t="s">
        <v>3</v>
      </c>
      <c r="J78" s="164">
        <f t="shared" si="25"/>
        <v>21</v>
      </c>
      <c r="K78" s="47">
        <f t="shared" si="18"/>
        <v>0</v>
      </c>
      <c r="L78" s="164"/>
      <c r="M78" s="40" t="s">
        <v>8</v>
      </c>
      <c r="N78" s="41" t="s">
        <v>8</v>
      </c>
      <c r="O78" s="40" t="s">
        <v>8</v>
      </c>
      <c r="P78" s="41" t="s">
        <v>8</v>
      </c>
      <c r="Q78" s="40" t="s">
        <v>8</v>
      </c>
      <c r="R78" s="155" t="s">
        <v>3</v>
      </c>
      <c r="S78" s="27">
        <v>45944</v>
      </c>
      <c r="T78" s="27">
        <v>45938</v>
      </c>
      <c r="U78" s="188">
        <v>45944</v>
      </c>
      <c r="V78" s="29">
        <v>45957</v>
      </c>
      <c r="W78" s="188">
        <v>45965</v>
      </c>
      <c r="X78" s="235" t="s">
        <v>749</v>
      </c>
      <c r="Y78" s="230">
        <v>45958</v>
      </c>
      <c r="Z78" s="227"/>
      <c r="AA78" s="29" t="str">
        <f t="shared" si="21"/>
        <v/>
      </c>
      <c r="AB78" s="229"/>
      <c r="AC78" s="229" t="str">
        <f t="shared" si="22"/>
        <v/>
      </c>
      <c r="AD78" s="337" t="str">
        <f t="shared" si="23"/>
        <v/>
      </c>
      <c r="AE78" s="92" t="s">
        <v>768</v>
      </c>
      <c r="AG78" s="238" t="str">
        <f t="shared" si="14"/>
        <v>LTIA-5.11-LTICT-72120-RFA-MAS-0009</v>
      </c>
      <c r="AH78" s="243" t="b" cm="1">
        <f t="array" ref="AH78">$E78=_xlfn.XLOOKUP(
AG78,
_xlfn._xlws.FILTER($AG$7:$AG$4572,$L$7:$L$4572&lt;&gt;"X"),
_xlfn._xlws.FILTER($E$7:$E$4572,$L$7:$L$4572&lt;&gt;"X"),
"",
0,
-1
)</f>
        <v>1</v>
      </c>
      <c r="AI78" s="75" t="str">
        <f t="shared" si="24"/>
        <v/>
      </c>
    </row>
    <row r="79" spans="1:35" s="9" customFormat="1" ht="126">
      <c r="A79" s="33">
        <f t="shared" si="19"/>
        <v>73</v>
      </c>
      <c r="B79" s="330" t="str">
        <f t="shared" si="20"/>
        <v>5.11</v>
      </c>
      <c r="C79" s="137" t="s">
        <v>725</v>
      </c>
      <c r="D79" s="137" t="s">
        <v>30</v>
      </c>
      <c r="E79" s="25" t="s">
        <v>769</v>
      </c>
      <c r="F79" s="174">
        <f t="shared" si="17"/>
        <v>46069</v>
      </c>
      <c r="G79" s="31" t="s">
        <v>770</v>
      </c>
      <c r="H79" s="21" t="s">
        <v>771</v>
      </c>
      <c r="I79" s="138" t="s">
        <v>3</v>
      </c>
      <c r="J79" s="164">
        <f t="shared" si="25"/>
        <v>2</v>
      </c>
      <c r="K79" s="47">
        <f t="shared" si="18"/>
        <v>0</v>
      </c>
      <c r="L79" s="164"/>
      <c r="M79" s="40" t="s">
        <v>8</v>
      </c>
      <c r="N79" s="41" t="s">
        <v>8</v>
      </c>
      <c r="O79" s="40" t="s">
        <v>8</v>
      </c>
      <c r="P79" s="41" t="s">
        <v>8</v>
      </c>
      <c r="Q79" s="40"/>
      <c r="R79" s="155"/>
      <c r="S79" s="27">
        <v>45947</v>
      </c>
      <c r="T79" s="27">
        <v>45946</v>
      </c>
      <c r="U79" s="188">
        <v>46048</v>
      </c>
      <c r="V79" s="29">
        <v>46050</v>
      </c>
      <c r="W79" s="188">
        <v>46050</v>
      </c>
      <c r="X79" s="235" t="s">
        <v>749</v>
      </c>
      <c r="Y79" s="230"/>
      <c r="Z79" s="227"/>
      <c r="AA79" s="29" t="b">
        <f t="shared" si="21"/>
        <v>0</v>
      </c>
      <c r="AB79" s="229"/>
      <c r="AC79" s="229" t="str">
        <f t="shared" si="22"/>
        <v/>
      </c>
      <c r="AD79" s="337" t="str">
        <f t="shared" si="23"/>
        <v/>
      </c>
      <c r="AE79" s="92" t="s">
        <v>772</v>
      </c>
      <c r="AG79" s="238" t="str">
        <f t="shared" si="14"/>
        <v>LTIA-5.11-LTICT-71000-RFA-MAS-0010</v>
      </c>
      <c r="AH79" s="243" t="b" cm="1">
        <f t="array" ref="AH79">$E79=_xlfn.XLOOKUP(
AG79,
_xlfn._xlws.FILTER($AG$7:$AG$4572,$L$7:$L$4572&lt;&gt;"X"),
_xlfn._xlws.FILTER($E$7:$E$4572,$L$7:$L$4572&lt;&gt;"X"),
"",
0,
-1
)</f>
        <v>1</v>
      </c>
      <c r="AI79" s="75" t="str">
        <f t="shared" si="24"/>
        <v/>
      </c>
    </row>
    <row r="80" spans="1:35" s="9" customFormat="1" ht="126">
      <c r="A80" s="33">
        <f t="shared" si="19"/>
        <v>74</v>
      </c>
      <c r="B80" s="330" t="str">
        <f t="shared" si="20"/>
        <v>5.11</v>
      </c>
      <c r="C80" s="137" t="s">
        <v>656</v>
      </c>
      <c r="D80" s="137" t="s">
        <v>30</v>
      </c>
      <c r="E80" s="25" t="s">
        <v>773</v>
      </c>
      <c r="F80" s="174">
        <f t="shared" si="17"/>
        <v>46072</v>
      </c>
      <c r="G80" s="31" t="s">
        <v>775</v>
      </c>
      <c r="H80" s="21" t="s">
        <v>776</v>
      </c>
      <c r="I80" s="138" t="s">
        <v>3</v>
      </c>
      <c r="J80" s="164">
        <f t="shared" si="25"/>
        <v>13</v>
      </c>
      <c r="K80" s="47">
        <f t="shared" si="18"/>
        <v>0</v>
      </c>
      <c r="L80" s="164"/>
      <c r="M80" s="40" t="s">
        <v>8</v>
      </c>
      <c r="N80" s="41" t="s">
        <v>8</v>
      </c>
      <c r="O80" s="40" t="s">
        <v>8</v>
      </c>
      <c r="P80" s="41" t="s">
        <v>8</v>
      </c>
      <c r="Q80" s="40"/>
      <c r="R80" s="155"/>
      <c r="S80" s="27">
        <v>46051</v>
      </c>
      <c r="T80" s="27">
        <v>45940</v>
      </c>
      <c r="U80" s="188">
        <v>46051</v>
      </c>
      <c r="V80" s="29">
        <v>46064</v>
      </c>
      <c r="W80" s="188">
        <v>46064</v>
      </c>
      <c r="X80" s="235" t="s">
        <v>749</v>
      </c>
      <c r="Y80" s="230"/>
      <c r="Z80" s="227"/>
      <c r="AA80" s="29" t="b">
        <f t="shared" si="21"/>
        <v>0</v>
      </c>
      <c r="AB80" s="229"/>
      <c r="AC80" s="229" t="str">
        <f t="shared" si="22"/>
        <v/>
      </c>
      <c r="AD80" s="337" t="str">
        <f t="shared" si="23"/>
        <v/>
      </c>
      <c r="AE80" s="92" t="s">
        <v>934</v>
      </c>
      <c r="AG80" s="238" t="str">
        <f t="shared" si="14"/>
        <v>LTIA-5.11-LTICT-71110-RFA-MAS-0011</v>
      </c>
      <c r="AH80" s="243" t="b" cm="1">
        <f t="array" ref="AH80">$E80=_xlfn.XLOOKUP(
AG80,
_xlfn._xlws.FILTER($AG$7:$AG$4572,$L$7:$L$4572&lt;&gt;"X"),
_xlfn._xlws.FILTER($E$7:$E$4572,$L$7:$L$4572&lt;&gt;"X"),
"",
0,
-1
)</f>
        <v>1</v>
      </c>
      <c r="AI80" s="75" t="str">
        <f t="shared" si="24"/>
        <v/>
      </c>
    </row>
    <row r="81" spans="1:35" s="9" customFormat="1" ht="110.25">
      <c r="A81" s="33">
        <f t="shared" si="19"/>
        <v>75</v>
      </c>
      <c r="B81" s="330" t="str">
        <f t="shared" si="20"/>
        <v>5.11</v>
      </c>
      <c r="C81" s="164" t="s">
        <v>621</v>
      </c>
      <c r="D81" s="137" t="s">
        <v>30</v>
      </c>
      <c r="E81" s="25" t="s">
        <v>774</v>
      </c>
      <c r="F81" s="174">
        <f t="shared" si="17"/>
        <v>46029</v>
      </c>
      <c r="G81" s="31" t="s">
        <v>777</v>
      </c>
      <c r="H81" s="21" t="s">
        <v>778</v>
      </c>
      <c r="I81" s="138" t="s">
        <v>3</v>
      </c>
      <c r="J81" s="164">
        <f t="shared" si="25"/>
        <v>41</v>
      </c>
      <c r="K81" s="47">
        <f t="shared" si="18"/>
        <v>20</v>
      </c>
      <c r="L81" s="164"/>
      <c r="M81" s="40" t="s">
        <v>8</v>
      </c>
      <c r="N81" s="41" t="s">
        <v>8</v>
      </c>
      <c r="O81" s="40"/>
      <c r="P81" s="41"/>
      <c r="Q81" s="40"/>
      <c r="R81" s="155"/>
      <c r="S81" s="27">
        <v>45940</v>
      </c>
      <c r="T81" s="27">
        <v>45940</v>
      </c>
      <c r="U81" s="188">
        <v>46008</v>
      </c>
      <c r="V81" s="29">
        <v>46049</v>
      </c>
      <c r="W81" s="188">
        <v>46049</v>
      </c>
      <c r="X81" s="235" t="s">
        <v>190</v>
      </c>
      <c r="Y81" s="230"/>
      <c r="Z81" s="227"/>
      <c r="AA81" s="29" t="b">
        <f t="shared" si="21"/>
        <v>0</v>
      </c>
      <c r="AB81" s="229"/>
      <c r="AC81" s="229" t="str">
        <f t="shared" si="22"/>
        <v/>
      </c>
      <c r="AD81" s="337" t="str">
        <f t="shared" si="23"/>
        <v/>
      </c>
      <c r="AE81" s="92" t="s">
        <v>851</v>
      </c>
      <c r="AG81" s="238" t="str">
        <f t="shared" si="14"/>
        <v>LTIA-5.11-LTICT-72190-RFA-MAS-0012</v>
      </c>
      <c r="AH81" s="243" t="b" cm="1">
        <f t="array" ref="AH81">$E81=_xlfn.XLOOKUP(
AG81,
_xlfn._xlws.FILTER($AG$7:$AG$4572,$L$7:$L$4572&lt;&gt;"X"),
_xlfn._xlws.FILTER($E$7:$E$4572,$L$7:$L$4572&lt;&gt;"X"),
"",
0,
-1
)</f>
        <v>1</v>
      </c>
      <c r="AI81" s="75" t="str">
        <f t="shared" si="24"/>
        <v/>
      </c>
    </row>
    <row r="82" spans="1:35" s="9" customFormat="1" ht="47.25">
      <c r="A82" s="33">
        <f t="shared" si="19"/>
        <v>76</v>
      </c>
      <c r="B82" s="330" t="str">
        <f t="shared" si="20"/>
        <v>5.11</v>
      </c>
      <c r="C82" s="137" t="s">
        <v>342</v>
      </c>
      <c r="D82" s="137" t="s">
        <v>30</v>
      </c>
      <c r="E82" s="25" t="s">
        <v>779</v>
      </c>
      <c r="F82" s="174">
        <f t="shared" si="17"/>
        <v>46001</v>
      </c>
      <c r="G82" s="31" t="s">
        <v>780</v>
      </c>
      <c r="H82" s="21" t="s">
        <v>757</v>
      </c>
      <c r="I82" s="138" t="s">
        <v>3</v>
      </c>
      <c r="J82" s="164">
        <f t="shared" si="25"/>
        <v>21</v>
      </c>
      <c r="K82" s="47">
        <f t="shared" si="18"/>
        <v>0</v>
      </c>
      <c r="L82" s="164"/>
      <c r="M82" s="40" t="s">
        <v>8</v>
      </c>
      <c r="N82" s="41" t="s">
        <v>8</v>
      </c>
      <c r="O82" s="40" t="s">
        <v>8</v>
      </c>
      <c r="P82" s="41" t="s">
        <v>8</v>
      </c>
      <c r="Q82" s="40" t="s">
        <v>8</v>
      </c>
      <c r="R82" s="155" t="s">
        <v>3</v>
      </c>
      <c r="S82" s="27">
        <v>45980</v>
      </c>
      <c r="T82" s="27">
        <v>45980</v>
      </c>
      <c r="U82" s="188">
        <v>45980</v>
      </c>
      <c r="V82" s="29">
        <v>46001</v>
      </c>
      <c r="W82" s="188">
        <v>46001</v>
      </c>
      <c r="X82" s="235" t="s">
        <v>190</v>
      </c>
      <c r="Y82" s="230">
        <v>46002</v>
      </c>
      <c r="Z82" s="227"/>
      <c r="AA82" s="29" t="str">
        <f t="shared" si="21"/>
        <v/>
      </c>
      <c r="AB82" s="229"/>
      <c r="AC82" s="229" t="str">
        <f t="shared" si="22"/>
        <v/>
      </c>
      <c r="AD82" s="337" t="str">
        <f t="shared" si="23"/>
        <v/>
      </c>
      <c r="AE82" s="92" t="s">
        <v>781</v>
      </c>
      <c r="AG82" s="238" t="str">
        <f t="shared" si="14"/>
        <v>LTIA-5.11-LTICT-72010-RFA-MAS-0013</v>
      </c>
      <c r="AH82" s="243" t="b" cm="1">
        <f t="array" ref="AH82">$E82=_xlfn.XLOOKUP(
AG82,
_xlfn._xlws.FILTER($AG$7:$AG$4572,$L$7:$L$4572&lt;&gt;"X"),
_xlfn._xlws.FILTER($E$7:$E$4572,$L$7:$L$4572&lt;&gt;"X"),
"",
0,
-1
)</f>
        <v>1</v>
      </c>
      <c r="AI82" s="75" t="str">
        <f t="shared" si="24"/>
        <v/>
      </c>
    </row>
    <row r="83" spans="1:35" s="9" customFormat="1" ht="63">
      <c r="A83" s="33">
        <f t="shared" si="19"/>
        <v>77</v>
      </c>
      <c r="B83" s="330" t="str">
        <f t="shared" si="20"/>
        <v>5.11</v>
      </c>
      <c r="C83" s="164"/>
      <c r="D83" s="137" t="s">
        <v>30</v>
      </c>
      <c r="E83" s="25" t="s">
        <v>782</v>
      </c>
      <c r="F83" s="174"/>
      <c r="G83" s="31" t="s">
        <v>783</v>
      </c>
      <c r="H83" s="21" t="s">
        <v>786</v>
      </c>
      <c r="I83" s="138"/>
      <c r="J83" s="164"/>
      <c r="K83" s="47"/>
      <c r="L83" s="164" t="s">
        <v>13</v>
      </c>
      <c r="M83" s="40" t="s">
        <v>8</v>
      </c>
      <c r="N83" s="41" t="s">
        <v>8</v>
      </c>
      <c r="O83" s="40"/>
      <c r="P83" s="41"/>
      <c r="Q83" s="40"/>
      <c r="R83" s="155"/>
      <c r="S83" s="27">
        <v>46091</v>
      </c>
      <c r="T83" s="27">
        <v>46091</v>
      </c>
      <c r="U83" s="188">
        <v>46091</v>
      </c>
      <c r="V83" s="29"/>
      <c r="W83" s="188"/>
      <c r="X83" s="235"/>
      <c r="Y83" s="230"/>
      <c r="Z83" s="227"/>
      <c r="AA83" s="29" t="str">
        <f t="shared" si="21"/>
        <v/>
      </c>
      <c r="AB83" s="229"/>
      <c r="AC83" s="229" t="str">
        <f t="shared" si="22"/>
        <v/>
      </c>
      <c r="AD83" s="337" t="str">
        <f t="shared" si="23"/>
        <v/>
      </c>
      <c r="AE83" s="92" t="s">
        <v>784</v>
      </c>
      <c r="AG83" s="238" t="str">
        <f t="shared" si="14"/>
        <v>LTIA-5.11LTICT-RFA-MAS-ACCESSORIES-001</v>
      </c>
      <c r="AH83" s="243" t="b" cm="1">
        <f t="array" ref="AH83">$E83=_xlfn.XLOOKUP(
AG83,
_xlfn._xlws.FILTER($AG$7:$AG$4572,$L$7:$L$4572&lt;&gt;"X"),
_xlfn._xlws.FILTER($E$7:$E$4572,$L$7:$L$4572&lt;&gt;"X"),
"",
0,
-1
)</f>
        <v>0</v>
      </c>
      <c r="AI83" s="75" t="str">
        <f t="shared" si="24"/>
        <v/>
      </c>
    </row>
    <row r="84" spans="1:35" s="9" customFormat="1" ht="141.75">
      <c r="A84" s="33">
        <f t="shared" si="19"/>
        <v>78</v>
      </c>
      <c r="B84" s="330" t="str">
        <f t="shared" si="20"/>
        <v>5.11</v>
      </c>
      <c r="C84" s="137"/>
      <c r="D84" s="137" t="s">
        <v>30</v>
      </c>
      <c r="E84" s="25" t="s">
        <v>785</v>
      </c>
      <c r="F84" s="174">
        <f t="shared" ref="F84:F94" si="26">IF($U84=0,$T84+22,$U84+21)</f>
        <v>46210</v>
      </c>
      <c r="G84" s="31" t="s">
        <v>783</v>
      </c>
      <c r="H84" s="21" t="s">
        <v>786</v>
      </c>
      <c r="I84" s="138" t="s">
        <v>2</v>
      </c>
      <c r="J84" s="164">
        <f t="shared" ref="J84:J94" si="27">IF(ISBLANK($W84),_xlfn.DAYS($J$1,$U84),_xlfn.DAYS($W84,$U84))</f>
        <v>8</v>
      </c>
      <c r="K84" s="47">
        <f t="shared" ref="K84:K94" si="28">IF(($J84-21)&gt;0,$J84-21,0)</f>
        <v>0</v>
      </c>
      <c r="L84" s="164" t="s">
        <v>13</v>
      </c>
      <c r="M84" s="40" t="s">
        <v>8</v>
      </c>
      <c r="N84" s="41" t="s">
        <v>8</v>
      </c>
      <c r="O84" s="40" t="s">
        <v>8</v>
      </c>
      <c r="P84" s="41" t="s">
        <v>8</v>
      </c>
      <c r="Q84" s="40"/>
      <c r="R84" s="155"/>
      <c r="S84" s="27">
        <v>46147</v>
      </c>
      <c r="T84" s="27">
        <v>46135</v>
      </c>
      <c r="U84" s="188">
        <v>46189</v>
      </c>
      <c r="V84" s="29">
        <v>46197</v>
      </c>
      <c r="W84" s="188">
        <v>46197</v>
      </c>
      <c r="X84" s="235" t="s">
        <v>240</v>
      </c>
      <c r="Y84" s="230"/>
      <c r="Z84" s="227"/>
      <c r="AA84" s="29">
        <f t="shared" si="21"/>
        <v>46204</v>
      </c>
      <c r="AB84" s="229"/>
      <c r="AC84" s="229" t="str">
        <f t="shared" si="22"/>
        <v/>
      </c>
      <c r="AD84" s="337" t="str">
        <f t="shared" si="23"/>
        <v/>
      </c>
      <c r="AE84" s="92" t="s">
        <v>918</v>
      </c>
      <c r="AG84" s="238" t="str">
        <f t="shared" si="14"/>
        <v>LTIA-5.11-LTICT-RFA-MAS-0014</v>
      </c>
      <c r="AH84" s="243" t="b" cm="1">
        <f t="array" ref="AH84">$E84=_xlfn.XLOOKUP(
AG84,
_xlfn._xlws.FILTER($AG$7:$AG$4572,$L$7:$L$4572&lt;&gt;"X"),
_xlfn._xlws.FILTER($E$7:$E$4572,$L$7:$L$4572&lt;&gt;"X"),
"",
0,
-1
)</f>
        <v>0</v>
      </c>
      <c r="AI84" s="75" t="str">
        <f t="shared" si="24"/>
        <v/>
      </c>
    </row>
    <row r="85" spans="1:35" s="9" customFormat="1" ht="94.5">
      <c r="A85" s="33">
        <f t="shared" si="19"/>
        <v>79</v>
      </c>
      <c r="B85" s="330" t="str">
        <f t="shared" si="20"/>
        <v>5.11</v>
      </c>
      <c r="C85" s="137" t="s">
        <v>637</v>
      </c>
      <c r="D85" s="137" t="s">
        <v>30</v>
      </c>
      <c r="E85" s="25" t="s">
        <v>787</v>
      </c>
      <c r="F85" s="174">
        <f t="shared" si="26"/>
        <v>46155</v>
      </c>
      <c r="G85" s="31" t="s">
        <v>742</v>
      </c>
      <c r="H85" s="21" t="s">
        <v>743</v>
      </c>
      <c r="I85" s="138" t="s">
        <v>3</v>
      </c>
      <c r="J85" s="164">
        <f t="shared" si="27"/>
        <v>13</v>
      </c>
      <c r="K85" s="47">
        <f t="shared" si="28"/>
        <v>0</v>
      </c>
      <c r="L85" s="164"/>
      <c r="M85" s="40" t="s">
        <v>8</v>
      </c>
      <c r="N85" s="41" t="s">
        <v>8</v>
      </c>
      <c r="O85" s="40" t="s">
        <v>8</v>
      </c>
      <c r="P85" s="41" t="s">
        <v>8</v>
      </c>
      <c r="Q85" s="40" t="s">
        <v>8</v>
      </c>
      <c r="R85" s="155" t="s">
        <v>3</v>
      </c>
      <c r="S85" s="27">
        <v>46134</v>
      </c>
      <c r="T85" s="27">
        <v>46134</v>
      </c>
      <c r="U85" s="188">
        <v>46134</v>
      </c>
      <c r="V85" s="29">
        <v>46147</v>
      </c>
      <c r="W85" s="188">
        <v>46147</v>
      </c>
      <c r="X85" s="235" t="s">
        <v>190</v>
      </c>
      <c r="Y85" s="230">
        <v>46153</v>
      </c>
      <c r="Z85" s="227"/>
      <c r="AA85" s="29" t="str">
        <f t="shared" si="21"/>
        <v/>
      </c>
      <c r="AB85" s="229">
        <v>46185</v>
      </c>
      <c r="AC85" s="229" t="str">
        <f t="shared" si="22"/>
        <v/>
      </c>
      <c r="AD85" s="337" t="str">
        <f t="shared" si="23"/>
        <v/>
      </c>
      <c r="AE85" s="92" t="s">
        <v>949</v>
      </c>
      <c r="AG85" s="238" t="str">
        <f t="shared" si="14"/>
        <v>LTIA-5.11-LTICT-72102-RFA-MAS-0015</v>
      </c>
      <c r="AH85" s="243" t="b" cm="1">
        <f t="array" ref="AH85">$E85=_xlfn.XLOOKUP(
AG85,
_xlfn._xlws.FILTER($AG$7:$AG$4572,$L$7:$L$4572&lt;&gt;"X"),
_xlfn._xlws.FILTER($E$7:$E$4572,$L$7:$L$4572&lt;&gt;"X"),
"",
0,
-1
)</f>
        <v>1</v>
      </c>
      <c r="AI85" s="75" t="str">
        <f t="shared" si="24"/>
        <v/>
      </c>
    </row>
    <row r="86" spans="1:35" s="9" customFormat="1" ht="47.25">
      <c r="A86" s="33">
        <f t="shared" si="19"/>
        <v>80</v>
      </c>
      <c r="B86" s="330" t="str">
        <f t="shared" si="20"/>
        <v>5.11</v>
      </c>
      <c r="C86" s="164" t="s">
        <v>656</v>
      </c>
      <c r="D86" s="137" t="s">
        <v>30</v>
      </c>
      <c r="E86" s="25" t="s">
        <v>788</v>
      </c>
      <c r="F86" s="174">
        <f t="shared" si="26"/>
        <v>46183</v>
      </c>
      <c r="G86" s="31" t="s">
        <v>775</v>
      </c>
      <c r="H86" s="21" t="s">
        <v>776</v>
      </c>
      <c r="I86" s="138" t="s">
        <v>3</v>
      </c>
      <c r="J86" s="164">
        <f t="shared" si="27"/>
        <v>12</v>
      </c>
      <c r="K86" s="47">
        <f t="shared" si="28"/>
        <v>0</v>
      </c>
      <c r="L86" s="164"/>
      <c r="M86" s="40" t="s">
        <v>8</v>
      </c>
      <c r="N86" s="41" t="s">
        <v>8</v>
      </c>
      <c r="O86" s="40" t="s">
        <v>8</v>
      </c>
      <c r="P86" s="41" t="s">
        <v>8</v>
      </c>
      <c r="Q86" s="40"/>
      <c r="R86" s="155"/>
      <c r="S86" s="27">
        <v>46162</v>
      </c>
      <c r="T86" s="27">
        <v>46161</v>
      </c>
      <c r="U86" s="188">
        <v>46162</v>
      </c>
      <c r="V86" s="29">
        <v>46174</v>
      </c>
      <c r="W86" s="188">
        <v>46174</v>
      </c>
      <c r="X86" s="235" t="s">
        <v>190</v>
      </c>
      <c r="Y86" s="230"/>
      <c r="Z86" s="227"/>
      <c r="AA86" s="29" t="b">
        <f t="shared" si="21"/>
        <v>0</v>
      </c>
      <c r="AB86" s="229"/>
      <c r="AC86" s="229" t="str">
        <f t="shared" si="22"/>
        <v/>
      </c>
      <c r="AD86" s="337" t="str">
        <f t="shared" si="23"/>
        <v/>
      </c>
      <c r="AE86" s="92" t="s">
        <v>935</v>
      </c>
      <c r="AG86" s="238" t="str">
        <f t="shared" si="14"/>
        <v>LTIA-5.11-LTICT-71110-RFA-MAS-0016</v>
      </c>
      <c r="AH86" s="243" t="b" cm="1">
        <f t="array" ref="AH86">$E86=_xlfn.XLOOKUP(
AG86,
_xlfn._xlws.FILTER($AG$7:$AG$4572,$L$7:$L$4572&lt;&gt;"X"),
_xlfn._xlws.FILTER($E$7:$E$4572,$L$7:$L$4572&lt;&gt;"X"),
"",
0,
-1
)</f>
        <v>1</v>
      </c>
      <c r="AI86" s="75" t="str">
        <f t="shared" si="24"/>
        <v/>
      </c>
    </row>
    <row r="87" spans="1:35" s="9" customFormat="1" ht="47.25">
      <c r="A87" s="33">
        <f t="shared" si="19"/>
        <v>81</v>
      </c>
      <c r="B87" s="330" t="str">
        <f t="shared" si="20"/>
        <v>5.11</v>
      </c>
      <c r="C87" s="137" t="s">
        <v>725</v>
      </c>
      <c r="D87" s="137" t="s">
        <v>30</v>
      </c>
      <c r="E87" s="25" t="s">
        <v>789</v>
      </c>
      <c r="F87" s="174"/>
      <c r="G87" s="31" t="s">
        <v>770</v>
      </c>
      <c r="H87" s="21" t="s">
        <v>771</v>
      </c>
      <c r="I87" s="138"/>
      <c r="J87" s="164"/>
      <c r="K87" s="47"/>
      <c r="L87" s="164" t="s">
        <v>13</v>
      </c>
      <c r="M87" s="40" t="s">
        <v>8</v>
      </c>
      <c r="N87" s="41" t="s">
        <v>8</v>
      </c>
      <c r="O87" s="40"/>
      <c r="P87" s="41"/>
      <c r="Q87" s="40"/>
      <c r="R87" s="155"/>
      <c r="S87" s="27">
        <v>46166</v>
      </c>
      <c r="T87" s="27">
        <v>46166</v>
      </c>
      <c r="U87" s="188">
        <v>46166</v>
      </c>
      <c r="V87" s="29"/>
      <c r="W87" s="188"/>
      <c r="X87" s="235"/>
      <c r="Y87" s="230"/>
      <c r="Z87" s="227"/>
      <c r="AA87" s="29" t="str">
        <f t="shared" si="21"/>
        <v/>
      </c>
      <c r="AB87" s="229">
        <v>46185</v>
      </c>
      <c r="AC87" s="229" t="str">
        <f t="shared" si="22"/>
        <v/>
      </c>
      <c r="AD87" s="337" t="str">
        <f t="shared" si="23"/>
        <v/>
      </c>
      <c r="AE87" s="92" t="s">
        <v>853</v>
      </c>
      <c r="AG87" s="238" t="str">
        <f t="shared" si="14"/>
        <v>LTIA-5.11-LTICT-71000-RFA-MAS-0017</v>
      </c>
      <c r="AH87" s="243" t="b" cm="1">
        <f t="array" ref="AH87">$E87=_xlfn.XLOOKUP(
AG87,
_xlfn._xlws.FILTER($AG$7:$AG$4572,$L$7:$L$4572&lt;&gt;"X"),
_xlfn._xlws.FILTER($E$7:$E$4572,$L$7:$L$4572&lt;&gt;"X"),
"",
0,
-1
)</f>
        <v>0</v>
      </c>
      <c r="AI87" s="75" t="str">
        <f t="shared" si="24"/>
        <v/>
      </c>
    </row>
    <row r="88" spans="1:35" s="9" customFormat="1" ht="47.25">
      <c r="A88" s="33">
        <f t="shared" si="19"/>
        <v>82</v>
      </c>
      <c r="B88" s="330" t="str">
        <f t="shared" si="20"/>
        <v>5.11</v>
      </c>
      <c r="C88" s="164"/>
      <c r="D88" s="137" t="s">
        <v>24</v>
      </c>
      <c r="E88" s="25" t="s">
        <v>790</v>
      </c>
      <c r="F88" s="174">
        <f t="shared" si="26"/>
        <v>45930</v>
      </c>
      <c r="G88" s="31" t="s">
        <v>795</v>
      </c>
      <c r="H88" s="21" t="s">
        <v>796</v>
      </c>
      <c r="I88" s="138" t="s">
        <v>3</v>
      </c>
      <c r="J88" s="164">
        <f t="shared" si="27"/>
        <v>13</v>
      </c>
      <c r="K88" s="47">
        <f t="shared" si="28"/>
        <v>0</v>
      </c>
      <c r="L88" s="164"/>
      <c r="M88" s="40" t="s">
        <v>8</v>
      </c>
      <c r="N88" s="41" t="s">
        <v>8</v>
      </c>
      <c r="O88" s="40" t="s">
        <v>8</v>
      </c>
      <c r="P88" s="41" t="s">
        <v>8</v>
      </c>
      <c r="Q88" s="40" t="s">
        <v>8</v>
      </c>
      <c r="R88" s="155" t="s">
        <v>3</v>
      </c>
      <c r="S88" s="27">
        <v>45909</v>
      </c>
      <c r="T88" s="27">
        <v>45909</v>
      </c>
      <c r="U88" s="188">
        <v>45909</v>
      </c>
      <c r="V88" s="29">
        <v>45922</v>
      </c>
      <c r="W88" s="188">
        <v>45922</v>
      </c>
      <c r="X88" s="235" t="s">
        <v>145</v>
      </c>
      <c r="Y88" s="230">
        <v>45924</v>
      </c>
      <c r="Z88" s="227"/>
      <c r="AA88" s="29" t="str">
        <f t="shared" si="21"/>
        <v/>
      </c>
      <c r="AB88" s="229"/>
      <c r="AC88" s="229" t="str">
        <f t="shared" si="22"/>
        <v/>
      </c>
      <c r="AD88" s="337" t="str">
        <f t="shared" si="23"/>
        <v/>
      </c>
      <c r="AE88" s="92"/>
      <c r="AG88" s="238" t="str">
        <f t="shared" si="14"/>
        <v>LTIA-5.11-LTICT-10000-RFA-GEN-0001</v>
      </c>
      <c r="AH88" s="243" t="b" cm="1">
        <f t="array" ref="AH88">$E88=_xlfn.XLOOKUP(
AG88,
_xlfn._xlws.FILTER($AG$7:$AG$4572,$L$7:$L$4572&lt;&gt;"X"),
_xlfn._xlws.FILTER($E$7:$E$4572,$L$7:$L$4572&lt;&gt;"X"),
"",
0,
-1
)</f>
        <v>1</v>
      </c>
      <c r="AI88" s="75" t="str">
        <f t="shared" si="24"/>
        <v/>
      </c>
    </row>
    <row r="89" spans="1:35" s="9" customFormat="1" ht="47.25">
      <c r="A89" s="33">
        <f t="shared" si="19"/>
        <v>83</v>
      </c>
      <c r="B89" s="330" t="str">
        <f t="shared" si="20"/>
        <v>5.11</v>
      </c>
      <c r="C89" s="164"/>
      <c r="D89" s="137" t="s">
        <v>24</v>
      </c>
      <c r="E89" s="25" t="s">
        <v>791</v>
      </c>
      <c r="F89" s="174">
        <f t="shared" si="26"/>
        <v>45930</v>
      </c>
      <c r="G89" s="31" t="s">
        <v>797</v>
      </c>
      <c r="H89" s="21" t="s">
        <v>798</v>
      </c>
      <c r="I89" s="138" t="s">
        <v>3</v>
      </c>
      <c r="J89" s="164">
        <f t="shared" si="27"/>
        <v>13</v>
      </c>
      <c r="K89" s="47">
        <f t="shared" si="28"/>
        <v>0</v>
      </c>
      <c r="L89" s="164"/>
      <c r="M89" s="40" t="s">
        <v>8</v>
      </c>
      <c r="N89" s="41" t="s">
        <v>8</v>
      </c>
      <c r="O89" s="40" t="s">
        <v>8</v>
      </c>
      <c r="P89" s="41" t="s">
        <v>8</v>
      </c>
      <c r="Q89" s="40" t="s">
        <v>8</v>
      </c>
      <c r="R89" s="155" t="s">
        <v>3</v>
      </c>
      <c r="S89" s="27">
        <v>45909</v>
      </c>
      <c r="T89" s="27">
        <v>45909</v>
      </c>
      <c r="U89" s="188">
        <v>45909</v>
      </c>
      <c r="V89" s="29">
        <v>45922</v>
      </c>
      <c r="W89" s="188">
        <v>45922</v>
      </c>
      <c r="X89" s="235" t="s">
        <v>799</v>
      </c>
      <c r="Y89" s="230">
        <v>45924</v>
      </c>
      <c r="Z89" s="227"/>
      <c r="AA89" s="29" t="str">
        <f t="shared" si="21"/>
        <v/>
      </c>
      <c r="AB89" s="229"/>
      <c r="AC89" s="229" t="str">
        <f t="shared" si="22"/>
        <v/>
      </c>
      <c r="AD89" s="337" t="str">
        <f t="shared" si="23"/>
        <v/>
      </c>
      <c r="AE89" s="92"/>
      <c r="AG89" s="238" t="str">
        <f t="shared" si="14"/>
        <v>LTIA-5.11-LTICT-10000-RFA-GEN-0002</v>
      </c>
      <c r="AH89" s="243" t="b" cm="1">
        <f t="array" ref="AH89">$E89=_xlfn.XLOOKUP(
AG89,
_xlfn._xlws.FILTER($AG$7:$AG$4572,$L$7:$L$4572&lt;&gt;"X"),
_xlfn._xlws.FILTER($E$7:$E$4572,$L$7:$L$4572&lt;&gt;"X"),
"",
0,
-1
)</f>
        <v>1</v>
      </c>
      <c r="AI89" s="75" t="str">
        <f t="shared" si="24"/>
        <v/>
      </c>
    </row>
    <row r="90" spans="1:35" s="9" customFormat="1" ht="47.25">
      <c r="A90" s="33">
        <f t="shared" si="19"/>
        <v>84</v>
      </c>
      <c r="B90" s="330" t="str">
        <f t="shared" si="20"/>
        <v>5.11</v>
      </c>
      <c r="C90" s="164"/>
      <c r="D90" s="137" t="s">
        <v>24</v>
      </c>
      <c r="E90" s="25" t="s">
        <v>792</v>
      </c>
      <c r="F90" s="174">
        <f t="shared" si="26"/>
        <v>45980</v>
      </c>
      <c r="G90" s="31" t="s">
        <v>801</v>
      </c>
      <c r="H90" s="21" t="s">
        <v>802</v>
      </c>
      <c r="I90" s="138" t="s">
        <v>3</v>
      </c>
      <c r="J90" s="164">
        <f t="shared" si="27"/>
        <v>5</v>
      </c>
      <c r="K90" s="47">
        <f t="shared" si="28"/>
        <v>0</v>
      </c>
      <c r="L90" s="164"/>
      <c r="M90" s="40" t="s">
        <v>8</v>
      </c>
      <c r="N90" s="41" t="s">
        <v>8</v>
      </c>
      <c r="O90" s="40" t="s">
        <v>8</v>
      </c>
      <c r="P90" s="41" t="s">
        <v>8</v>
      </c>
      <c r="Q90" s="40" t="s">
        <v>8</v>
      </c>
      <c r="R90" s="155" t="s">
        <v>3</v>
      </c>
      <c r="S90" s="27">
        <v>45959</v>
      </c>
      <c r="T90" s="27">
        <v>45959</v>
      </c>
      <c r="U90" s="188">
        <v>45959</v>
      </c>
      <c r="V90" s="29">
        <v>45964</v>
      </c>
      <c r="W90" s="188">
        <v>45964</v>
      </c>
      <c r="X90" s="235" t="s">
        <v>800</v>
      </c>
      <c r="Y90" s="230">
        <v>45967</v>
      </c>
      <c r="Z90" s="227"/>
      <c r="AA90" s="29" t="str">
        <f t="shared" si="21"/>
        <v/>
      </c>
      <c r="AB90" s="229"/>
      <c r="AC90" s="229" t="str">
        <f t="shared" si="22"/>
        <v/>
      </c>
      <c r="AD90" s="337" t="str">
        <f t="shared" si="23"/>
        <v/>
      </c>
      <c r="AE90" s="92"/>
      <c r="AG90" s="238" t="str">
        <f t="shared" si="14"/>
        <v>LTIA-5.11-LTICT-10000-RFA-GEN-0003</v>
      </c>
      <c r="AH90" s="243" t="b" cm="1">
        <f t="array" ref="AH90">$E90=_xlfn.XLOOKUP(
AG90,
_xlfn._xlws.FILTER($AG$7:$AG$4572,$L$7:$L$4572&lt;&gt;"X"),
_xlfn._xlws.FILTER($E$7:$E$4572,$L$7:$L$4572&lt;&gt;"X"),
"",
0,
-1
)</f>
        <v>1</v>
      </c>
      <c r="AI90" s="75" t="str">
        <f t="shared" si="24"/>
        <v/>
      </c>
    </row>
    <row r="91" spans="1:35" s="9" customFormat="1" ht="47.25">
      <c r="A91" s="33">
        <f t="shared" si="19"/>
        <v>85</v>
      </c>
      <c r="B91" s="330" t="str">
        <f t="shared" si="20"/>
        <v>5.11</v>
      </c>
      <c r="C91" s="164"/>
      <c r="D91" s="137" t="s">
        <v>24</v>
      </c>
      <c r="E91" s="25" t="s">
        <v>793</v>
      </c>
      <c r="F91" s="174">
        <f t="shared" si="26"/>
        <v>46174</v>
      </c>
      <c r="G91" s="31" t="s">
        <v>803</v>
      </c>
      <c r="H91" s="21" t="s">
        <v>804</v>
      </c>
      <c r="I91" s="138" t="s">
        <v>3</v>
      </c>
      <c r="J91" s="164">
        <f t="shared" si="27"/>
        <v>21</v>
      </c>
      <c r="K91" s="47">
        <f t="shared" si="28"/>
        <v>0</v>
      </c>
      <c r="L91" s="164" t="s">
        <v>13</v>
      </c>
      <c r="M91" s="40" t="s">
        <v>8</v>
      </c>
      <c r="N91" s="41" t="s">
        <v>8</v>
      </c>
      <c r="O91" s="40" t="s">
        <v>8</v>
      </c>
      <c r="P91" s="41" t="s">
        <v>8</v>
      </c>
      <c r="Q91" s="40"/>
      <c r="R91" s="155"/>
      <c r="S91" s="27">
        <v>46150</v>
      </c>
      <c r="T91" s="27">
        <v>46150</v>
      </c>
      <c r="U91" s="188">
        <v>46153</v>
      </c>
      <c r="V91" s="29">
        <v>46174</v>
      </c>
      <c r="W91" s="188">
        <v>46174</v>
      </c>
      <c r="X91" s="235" t="s">
        <v>190</v>
      </c>
      <c r="Y91" s="230"/>
      <c r="Z91" s="227"/>
      <c r="AA91" s="29" t="b">
        <f t="shared" si="21"/>
        <v>0</v>
      </c>
      <c r="AB91" s="229">
        <v>46192</v>
      </c>
      <c r="AC91" s="229" t="str">
        <f t="shared" si="22"/>
        <v/>
      </c>
      <c r="AD91" s="337" t="str">
        <f t="shared" si="23"/>
        <v/>
      </c>
      <c r="AE91" s="92" t="s">
        <v>861</v>
      </c>
      <c r="AG91" s="238" t="str">
        <f t="shared" si="14"/>
        <v>LTIA-5.11-LTICT-10000-RFA-GEN-0004</v>
      </c>
      <c r="AH91" s="243" t="b" cm="1">
        <f t="array" ref="AH91">$E91=_xlfn.XLOOKUP(
AG91,
_xlfn._xlws.FILTER($AG$7:$AG$4572,$L$7:$L$4572&lt;&gt;"X"),
_xlfn._xlws.FILTER($E$7:$E$4572,$L$7:$L$4572&lt;&gt;"X"),
"",
0,
-1
)</f>
        <v>0</v>
      </c>
      <c r="AI91" s="75" t="str">
        <f t="shared" si="24"/>
        <v/>
      </c>
    </row>
    <row r="92" spans="1:35" s="9" customFormat="1" ht="47.25">
      <c r="A92" s="33">
        <f t="shared" si="19"/>
        <v>86</v>
      </c>
      <c r="B92" s="330" t="str">
        <f t="shared" si="20"/>
        <v>5.11</v>
      </c>
      <c r="C92" s="164"/>
      <c r="D92" s="137" t="s">
        <v>24</v>
      </c>
      <c r="E92" s="25" t="s">
        <v>794</v>
      </c>
      <c r="F92" s="174">
        <f t="shared" si="26"/>
        <v>46181</v>
      </c>
      <c r="G92" s="31" t="s">
        <v>805</v>
      </c>
      <c r="H92" s="21" t="s">
        <v>806</v>
      </c>
      <c r="I92" s="138"/>
      <c r="J92" s="164">
        <f t="shared" ca="1" si="27"/>
        <v>149</v>
      </c>
      <c r="K92" s="47">
        <f t="shared" ca="1" si="28"/>
        <v>128</v>
      </c>
      <c r="L92" s="164" t="s">
        <v>1003</v>
      </c>
      <c r="M92" s="40" t="s">
        <v>8</v>
      </c>
      <c r="N92" s="41" t="s">
        <v>8</v>
      </c>
      <c r="O92" s="40"/>
      <c r="P92" s="41"/>
      <c r="Q92" s="40"/>
      <c r="R92" s="155"/>
      <c r="S92" s="27">
        <v>46160</v>
      </c>
      <c r="T92" s="27">
        <v>46160</v>
      </c>
      <c r="U92" s="188">
        <v>46160</v>
      </c>
      <c r="V92" s="29"/>
      <c r="W92" s="188"/>
      <c r="X92" s="235"/>
      <c r="Y92" s="230"/>
      <c r="Z92" s="227"/>
      <c r="AA92" s="29" t="str">
        <f t="shared" si="21"/>
        <v/>
      </c>
      <c r="AB92" s="229"/>
      <c r="AC92" s="229" t="str">
        <f t="shared" si="22"/>
        <v/>
      </c>
      <c r="AD92" s="337" t="str">
        <f t="shared" si="23"/>
        <v/>
      </c>
      <c r="AE92" s="92" t="s">
        <v>807</v>
      </c>
      <c r="AG92" s="238" t="str">
        <f t="shared" si="14"/>
        <v>LTIA-5.11-LTICT-10000-RFA-GEN-0005</v>
      </c>
      <c r="AH92" s="243" t="b" cm="1">
        <f t="array" ref="AH92">$E92=_xlfn.XLOOKUP(
AG92,
_xlfn._xlws.FILTER($AG$7:$AG$4572,$L$7:$L$4572&lt;&gt;"X"),
_xlfn._xlws.FILTER($E$7:$E$4572,$L$7:$L$4572&lt;&gt;"X"),
"",
0,
-1
)</f>
        <v>1</v>
      </c>
      <c r="AI92" s="75" t="str">
        <f t="shared" si="24"/>
        <v/>
      </c>
    </row>
    <row r="93" spans="1:35" s="9" customFormat="1" ht="63">
      <c r="A93" s="33">
        <f t="shared" si="19"/>
        <v>87</v>
      </c>
      <c r="B93" s="330" t="str">
        <f t="shared" si="20"/>
        <v>5.11</v>
      </c>
      <c r="C93" s="164" t="s">
        <v>816</v>
      </c>
      <c r="D93" s="137" t="s">
        <v>85</v>
      </c>
      <c r="E93" s="25" t="s">
        <v>808</v>
      </c>
      <c r="F93" s="174">
        <f t="shared" si="26"/>
        <v>45995</v>
      </c>
      <c r="G93" s="31" t="s">
        <v>818</v>
      </c>
      <c r="H93" s="21" t="s">
        <v>817</v>
      </c>
      <c r="I93" s="138" t="s">
        <v>1</v>
      </c>
      <c r="J93" s="164">
        <f t="shared" ca="1" si="27"/>
        <v>335</v>
      </c>
      <c r="K93" s="47">
        <f t="shared" ca="1" si="28"/>
        <v>314</v>
      </c>
      <c r="L93" s="164" t="s">
        <v>13</v>
      </c>
      <c r="M93" s="40" t="s">
        <v>8</v>
      </c>
      <c r="N93" s="41" t="s">
        <v>8</v>
      </c>
      <c r="O93" s="40"/>
      <c r="P93" s="41"/>
      <c r="Q93" s="40"/>
      <c r="R93" s="155"/>
      <c r="S93" s="27">
        <v>45974</v>
      </c>
      <c r="T93" s="27">
        <v>45974</v>
      </c>
      <c r="U93" s="188">
        <v>45974</v>
      </c>
      <c r="V93" s="29"/>
      <c r="W93" s="188"/>
      <c r="X93" s="235"/>
      <c r="Y93" s="230"/>
      <c r="Z93" s="227"/>
      <c r="AA93" s="29" t="str">
        <f t="shared" si="21"/>
        <v/>
      </c>
      <c r="AB93" s="229"/>
      <c r="AC93" s="229" t="str">
        <f t="shared" si="22"/>
        <v/>
      </c>
      <c r="AD93" s="337" t="str">
        <f t="shared" si="23"/>
        <v/>
      </c>
      <c r="AE93" s="92" t="s">
        <v>852</v>
      </c>
      <c r="AG93" s="238" t="str">
        <f t="shared" si="14"/>
        <v>LTIA-5.11-LTICT-RFA-OTH-0001</v>
      </c>
      <c r="AH93" s="243" t="b" cm="1">
        <f t="array" ref="AH93">$E93=_xlfn.XLOOKUP(
AG93,
_xlfn._xlws.FILTER($AG$7:$AG$4572,$L$7:$L$4572&lt;&gt;"X"),
_xlfn._xlws.FILTER($E$7:$E$4572,$L$7:$L$4572&lt;&gt;"X"),
"",
0,
-1
)</f>
        <v>0</v>
      </c>
      <c r="AI93" s="75" t="str">
        <f t="shared" si="24"/>
        <v/>
      </c>
    </row>
    <row r="94" spans="1:35" s="9" customFormat="1" ht="177.75" customHeight="1">
      <c r="A94" s="33">
        <f t="shared" si="19"/>
        <v>88</v>
      </c>
      <c r="B94" s="330" t="str">
        <f t="shared" si="20"/>
        <v>5.11</v>
      </c>
      <c r="C94" s="164" t="s">
        <v>725</v>
      </c>
      <c r="D94" s="137" t="s">
        <v>85</v>
      </c>
      <c r="E94" s="25" t="s">
        <v>809</v>
      </c>
      <c r="F94" s="174">
        <f t="shared" si="26"/>
        <v>46128</v>
      </c>
      <c r="G94" s="31" t="s">
        <v>819</v>
      </c>
      <c r="H94" s="21" t="s">
        <v>820</v>
      </c>
      <c r="I94" s="138" t="s">
        <v>2</v>
      </c>
      <c r="J94" s="164">
        <f t="shared" si="27"/>
        <v>26</v>
      </c>
      <c r="K94" s="47">
        <f t="shared" si="28"/>
        <v>5</v>
      </c>
      <c r="L94" s="164"/>
      <c r="M94" s="40" t="s">
        <v>8</v>
      </c>
      <c r="N94" s="41" t="s">
        <v>8</v>
      </c>
      <c r="O94" s="40" t="s">
        <v>8</v>
      </c>
      <c r="P94" s="41" t="s">
        <v>8</v>
      </c>
      <c r="Q94" s="40"/>
      <c r="R94" s="155"/>
      <c r="S94" s="27">
        <v>45974</v>
      </c>
      <c r="T94" s="27">
        <v>45974</v>
      </c>
      <c r="U94" s="188">
        <v>46107</v>
      </c>
      <c r="V94" s="29">
        <v>46120</v>
      </c>
      <c r="W94" s="188">
        <v>46133</v>
      </c>
      <c r="X94" s="235" t="s">
        <v>190</v>
      </c>
      <c r="Y94" s="230"/>
      <c r="Z94" s="227"/>
      <c r="AA94" s="29">
        <f t="shared" si="21"/>
        <v>46140</v>
      </c>
      <c r="AB94" s="229"/>
      <c r="AC94" s="229" t="str">
        <f t="shared" si="22"/>
        <v/>
      </c>
      <c r="AD94" s="337" t="str">
        <f t="shared" si="23"/>
        <v/>
      </c>
      <c r="AE94" s="92" t="s">
        <v>821</v>
      </c>
      <c r="AG94" s="238" t="str">
        <f t="shared" si="14"/>
        <v>LTIA-5.11-LTICT-RFA-OTH-0002</v>
      </c>
      <c r="AH94" s="243" t="b" cm="1">
        <f t="array" ref="AH94">$E94=_xlfn.XLOOKUP(
AG94,
_xlfn._xlws.FILTER($AG$7:$AG$4572,$L$7:$L$4572&lt;&gt;"X"),
_xlfn._xlws.FILTER($E$7:$E$4572,$L$7:$L$4572&lt;&gt;"X"),
"",
0,
-1
)</f>
        <v>1</v>
      </c>
      <c r="AI94" s="75" t="str">
        <f t="shared" si="24"/>
        <v>YES</v>
      </c>
    </row>
    <row r="95" spans="1:35" s="9" customFormat="1" ht="78.75">
      <c r="A95" s="33">
        <f t="shared" si="19"/>
        <v>89</v>
      </c>
      <c r="B95" s="330" t="str">
        <f t="shared" si="20"/>
        <v>5.11</v>
      </c>
      <c r="C95" s="164"/>
      <c r="D95" s="137" t="s">
        <v>28</v>
      </c>
      <c r="E95" s="25" t="s">
        <v>810</v>
      </c>
      <c r="F95" s="174"/>
      <c r="G95" s="31" t="s">
        <v>822</v>
      </c>
      <c r="H95" s="21" t="s">
        <v>823</v>
      </c>
      <c r="I95" s="138"/>
      <c r="J95" s="164"/>
      <c r="K95" s="47"/>
      <c r="L95" s="164" t="s">
        <v>13</v>
      </c>
      <c r="M95" s="40" t="s">
        <v>8</v>
      </c>
      <c r="N95" s="41" t="s">
        <v>8</v>
      </c>
      <c r="O95" s="40"/>
      <c r="P95" s="41"/>
      <c r="Q95" s="40"/>
      <c r="R95" s="155"/>
      <c r="S95" s="27">
        <v>45975</v>
      </c>
      <c r="T95" s="27">
        <v>45975</v>
      </c>
      <c r="U95" s="188">
        <v>45975</v>
      </c>
      <c r="V95" s="29"/>
      <c r="W95" s="188"/>
      <c r="X95" s="235"/>
      <c r="Y95" s="230"/>
      <c r="Z95" s="227"/>
      <c r="AA95" s="29" t="str">
        <f t="shared" si="21"/>
        <v/>
      </c>
      <c r="AB95" s="229"/>
      <c r="AC95" s="229" t="str">
        <f t="shared" si="22"/>
        <v/>
      </c>
      <c r="AD95" s="337" t="str">
        <f t="shared" si="23"/>
        <v/>
      </c>
      <c r="AE95" s="92" t="s">
        <v>824</v>
      </c>
      <c r="AG95" s="238" t="str">
        <f t="shared" si="14"/>
        <v>LTIA-5.11-LTICT-RFA-OTH-0003</v>
      </c>
      <c r="AH95" s="243" t="b" cm="1">
        <f t="array" ref="AH95">$E95=_xlfn.XLOOKUP(
AG95,
_xlfn._xlws.FILTER($AG$7:$AG$4572,$L$7:$L$4572&lt;&gt;"X"),
_xlfn._xlws.FILTER($E$7:$E$4572,$L$7:$L$4572&lt;&gt;"X"),
"",
0,
-1
)</f>
        <v>0</v>
      </c>
      <c r="AI95" s="75" t="str">
        <f t="shared" si="24"/>
        <v/>
      </c>
    </row>
    <row r="96" spans="1:35" s="9" customFormat="1" ht="47.25">
      <c r="A96" s="33">
        <f t="shared" si="19"/>
        <v>90</v>
      </c>
      <c r="B96" s="330" t="str">
        <f t="shared" si="20"/>
        <v>5.11</v>
      </c>
      <c r="C96" s="164" t="s">
        <v>725</v>
      </c>
      <c r="D96" s="137" t="s">
        <v>85</v>
      </c>
      <c r="E96" s="25" t="s">
        <v>811</v>
      </c>
      <c r="F96" s="174">
        <f t="shared" ref="F96:F135" si="29">IF($U96=0,$T96+22,$U96+21)</f>
        <v>46078</v>
      </c>
      <c r="G96" s="31" t="s">
        <v>826</v>
      </c>
      <c r="H96" s="21" t="s">
        <v>827</v>
      </c>
      <c r="I96" s="138" t="s">
        <v>1</v>
      </c>
      <c r="J96" s="164">
        <f t="shared" ref="J96:J135" si="30">IF(ISBLANK($W96),_xlfn.DAYS($J$1,$U96),_xlfn.DAYS($W96,$U96))</f>
        <v>48</v>
      </c>
      <c r="K96" s="47">
        <f t="shared" ref="K96:K135" si="31">IF(($J96-21)&gt;0,$J96-21,0)</f>
        <v>27</v>
      </c>
      <c r="L96" s="164"/>
      <c r="M96" s="40" t="s">
        <v>8</v>
      </c>
      <c r="N96" s="41" t="s">
        <v>8</v>
      </c>
      <c r="O96" s="40" t="s">
        <v>8</v>
      </c>
      <c r="P96" s="41" t="s">
        <v>8</v>
      </c>
      <c r="Q96" s="40"/>
      <c r="R96" s="155"/>
      <c r="S96" s="27">
        <v>46055</v>
      </c>
      <c r="T96" s="27">
        <v>46056</v>
      </c>
      <c r="U96" s="188">
        <v>46057</v>
      </c>
      <c r="V96" s="29">
        <v>46066</v>
      </c>
      <c r="W96" s="188">
        <v>46105</v>
      </c>
      <c r="X96" s="235" t="s">
        <v>190</v>
      </c>
      <c r="Y96" s="230"/>
      <c r="Z96" s="227"/>
      <c r="AA96" s="29">
        <f t="shared" si="21"/>
        <v>46112</v>
      </c>
      <c r="AB96" s="229"/>
      <c r="AC96" s="229" t="str">
        <f t="shared" si="22"/>
        <v/>
      </c>
      <c r="AD96" s="337" t="str">
        <f t="shared" si="23"/>
        <v/>
      </c>
      <c r="AE96" s="92" t="s">
        <v>825</v>
      </c>
      <c r="AG96" s="238" t="str">
        <f t="shared" si="14"/>
        <v>LTIA-5.11-LTICT-RFA-OTH-0004</v>
      </c>
      <c r="AH96" s="243" t="b" cm="1">
        <f t="array" ref="AH96">$E96=_xlfn.XLOOKUP(
AG96,
_xlfn._xlws.FILTER($AG$7:$AG$4572,$L$7:$L$4572&lt;&gt;"X"),
_xlfn._xlws.FILTER($E$7:$E$4572,$L$7:$L$4572&lt;&gt;"X"),
"",
0,
-1
)</f>
        <v>1</v>
      </c>
      <c r="AI96" s="75" t="str">
        <f t="shared" si="24"/>
        <v>YES</v>
      </c>
    </row>
    <row r="97" spans="1:35" s="9" customFormat="1" ht="78.75">
      <c r="A97" s="33">
        <f t="shared" si="19"/>
        <v>91</v>
      </c>
      <c r="B97" s="330" t="str">
        <f t="shared" si="20"/>
        <v>5.11</v>
      </c>
      <c r="C97" s="164" t="s">
        <v>637</v>
      </c>
      <c r="D97" s="137" t="s">
        <v>85</v>
      </c>
      <c r="E97" s="25" t="s">
        <v>812</v>
      </c>
      <c r="F97" s="174">
        <f t="shared" si="29"/>
        <v>46106</v>
      </c>
      <c r="G97" s="31" t="s">
        <v>828</v>
      </c>
      <c r="H97" s="21" t="s">
        <v>829</v>
      </c>
      <c r="I97" s="138" t="s">
        <v>1</v>
      </c>
      <c r="J97" s="164">
        <f t="shared" si="30"/>
        <v>20</v>
      </c>
      <c r="K97" s="47">
        <f t="shared" si="31"/>
        <v>0</v>
      </c>
      <c r="L97" s="164"/>
      <c r="M97" s="40" t="s">
        <v>8</v>
      </c>
      <c r="N97" s="41" t="s">
        <v>8</v>
      </c>
      <c r="O97" s="40" t="s">
        <v>8</v>
      </c>
      <c r="P97" s="41" t="s">
        <v>8</v>
      </c>
      <c r="Q97" s="40"/>
      <c r="R97" s="155"/>
      <c r="S97" s="27">
        <v>46085</v>
      </c>
      <c r="T97" s="27">
        <v>46083</v>
      </c>
      <c r="U97" s="188">
        <v>46085</v>
      </c>
      <c r="V97" s="29">
        <v>46098</v>
      </c>
      <c r="W97" s="188">
        <v>46105</v>
      </c>
      <c r="X97" s="235" t="s">
        <v>190</v>
      </c>
      <c r="Y97" s="230"/>
      <c r="Z97" s="227"/>
      <c r="AA97" s="29">
        <f t="shared" si="21"/>
        <v>46112</v>
      </c>
      <c r="AB97" s="229"/>
      <c r="AC97" s="229" t="str">
        <f t="shared" si="22"/>
        <v/>
      </c>
      <c r="AD97" s="337" t="str">
        <f t="shared" si="23"/>
        <v/>
      </c>
      <c r="AE97" s="92"/>
      <c r="AG97" s="238" t="str">
        <f t="shared" si="14"/>
        <v>LTIA-5.11-LTICT-RFA-OTH-0005</v>
      </c>
      <c r="AH97" s="243" t="b" cm="1">
        <f t="array" ref="AH97">$E97=_xlfn.XLOOKUP(
AG97,
_xlfn._xlws.FILTER($AG$7:$AG$4572,$L$7:$L$4572&lt;&gt;"X"),
_xlfn._xlws.FILTER($E$7:$E$4572,$L$7:$L$4572&lt;&gt;"X"),
"",
0,
-1
)</f>
        <v>1</v>
      </c>
      <c r="AI97" s="75" t="str">
        <f t="shared" si="24"/>
        <v>YES</v>
      </c>
    </row>
    <row r="98" spans="1:35" s="9" customFormat="1" ht="47.25">
      <c r="A98" s="33">
        <f t="shared" si="19"/>
        <v>92</v>
      </c>
      <c r="B98" s="330" t="str">
        <f t="shared" si="20"/>
        <v>5.11</v>
      </c>
      <c r="C98" s="164" t="s">
        <v>633</v>
      </c>
      <c r="D98" s="137" t="s">
        <v>85</v>
      </c>
      <c r="E98" s="25" t="s">
        <v>813</v>
      </c>
      <c r="F98" s="174">
        <f t="shared" si="29"/>
        <v>46115</v>
      </c>
      <c r="G98" s="31" t="s">
        <v>830</v>
      </c>
      <c r="H98" s="21" t="s">
        <v>831</v>
      </c>
      <c r="I98" s="138" t="s">
        <v>1</v>
      </c>
      <c r="J98" s="164">
        <f t="shared" si="30"/>
        <v>18</v>
      </c>
      <c r="K98" s="47">
        <f t="shared" si="31"/>
        <v>0</v>
      </c>
      <c r="L98" s="164"/>
      <c r="M98" s="40" t="s">
        <v>8</v>
      </c>
      <c r="N98" s="41" t="s">
        <v>8</v>
      </c>
      <c r="O98" s="40" t="s">
        <v>8</v>
      </c>
      <c r="P98" s="41" t="s">
        <v>8</v>
      </c>
      <c r="Q98" s="40"/>
      <c r="R98" s="155"/>
      <c r="S98" s="27">
        <v>46086</v>
      </c>
      <c r="T98" s="27">
        <v>46086</v>
      </c>
      <c r="U98" s="188">
        <v>46094</v>
      </c>
      <c r="V98" s="29">
        <v>46107</v>
      </c>
      <c r="W98" s="188">
        <v>46112</v>
      </c>
      <c r="X98" s="235" t="s">
        <v>190</v>
      </c>
      <c r="Y98" s="230"/>
      <c r="Z98" s="227"/>
      <c r="AA98" s="29">
        <f t="shared" si="21"/>
        <v>46119</v>
      </c>
      <c r="AB98" s="229"/>
      <c r="AC98" s="229" t="str">
        <f t="shared" si="22"/>
        <v/>
      </c>
      <c r="AD98" s="337" t="str">
        <f t="shared" si="23"/>
        <v/>
      </c>
      <c r="AE98" s="92"/>
      <c r="AG98" s="238" t="str">
        <f t="shared" si="14"/>
        <v>LTIA-5.11-LTICT-RFA-OTH-0006</v>
      </c>
      <c r="AH98" s="243" t="b" cm="1">
        <f t="array" ref="AH98">$E98=_xlfn.XLOOKUP(
AG98,
_xlfn._xlws.FILTER($AG$7:$AG$4572,$L$7:$L$4572&lt;&gt;"X"),
_xlfn._xlws.FILTER($E$7:$E$4572,$L$7:$L$4572&lt;&gt;"X"),
"",
0,
-1
)</f>
        <v>1</v>
      </c>
      <c r="AI98" s="75" t="str">
        <f t="shared" si="24"/>
        <v>YES</v>
      </c>
    </row>
    <row r="99" spans="1:35" s="9" customFormat="1" ht="47.25">
      <c r="A99" s="33">
        <f t="shared" si="19"/>
        <v>93</v>
      </c>
      <c r="B99" s="330" t="str">
        <f t="shared" si="20"/>
        <v>5.11</v>
      </c>
      <c r="C99" s="164" t="s">
        <v>144</v>
      </c>
      <c r="D99" s="137" t="s">
        <v>28</v>
      </c>
      <c r="E99" s="25" t="s">
        <v>814</v>
      </c>
      <c r="F99" s="174">
        <f t="shared" si="29"/>
        <v>46128</v>
      </c>
      <c r="G99" s="31" t="s">
        <v>832</v>
      </c>
      <c r="H99" s="21" t="s">
        <v>833</v>
      </c>
      <c r="I99" s="138" t="s">
        <v>1</v>
      </c>
      <c r="J99" s="164">
        <f t="shared" si="30"/>
        <v>26</v>
      </c>
      <c r="K99" s="47">
        <f t="shared" si="31"/>
        <v>5</v>
      </c>
      <c r="L99" s="164"/>
      <c r="M99" s="40" t="s">
        <v>8</v>
      </c>
      <c r="N99" s="41" t="s">
        <v>8</v>
      </c>
      <c r="O99" s="40" t="s">
        <v>8</v>
      </c>
      <c r="P99" s="41" t="s">
        <v>8</v>
      </c>
      <c r="Q99" s="40"/>
      <c r="R99" s="155"/>
      <c r="S99" s="27">
        <v>46101</v>
      </c>
      <c r="T99" s="27">
        <v>46101</v>
      </c>
      <c r="U99" s="188">
        <v>46107</v>
      </c>
      <c r="V99" s="29">
        <v>46120</v>
      </c>
      <c r="W99" s="188">
        <v>46133</v>
      </c>
      <c r="X99" s="235" t="s">
        <v>190</v>
      </c>
      <c r="Y99" s="230"/>
      <c r="Z99" s="227"/>
      <c r="AA99" s="29">
        <f t="shared" si="21"/>
        <v>46140</v>
      </c>
      <c r="AB99" s="229">
        <v>46162</v>
      </c>
      <c r="AC99" s="229" t="str">
        <f t="shared" si="22"/>
        <v/>
      </c>
      <c r="AD99" s="337" t="str">
        <f t="shared" si="23"/>
        <v/>
      </c>
      <c r="AE99" s="92" t="s">
        <v>834</v>
      </c>
      <c r="AG99" s="238" t="str">
        <f t="shared" si="14"/>
        <v>LTIA-5.11-LTICT-RFA-OTH-0007</v>
      </c>
      <c r="AH99" s="243" t="b" cm="1">
        <f t="array" ref="AH99">$E99=_xlfn.XLOOKUP(
AG99,
_xlfn._xlws.FILTER($AG$7:$AG$4572,$L$7:$L$4572&lt;&gt;"X"),
_xlfn._xlws.FILTER($E$7:$E$4572,$L$7:$L$4572&lt;&gt;"X"),
"",
0,
-1
)</f>
        <v>0</v>
      </c>
      <c r="AI99" s="75" t="str">
        <f t="shared" si="24"/>
        <v/>
      </c>
    </row>
    <row r="100" spans="1:35" s="9" customFormat="1" ht="47.25">
      <c r="A100" s="33">
        <f t="shared" si="19"/>
        <v>94</v>
      </c>
      <c r="B100" s="330" t="str">
        <f t="shared" si="20"/>
        <v>5.11</v>
      </c>
      <c r="C100" s="164" t="s">
        <v>144</v>
      </c>
      <c r="D100" s="137" t="s">
        <v>28</v>
      </c>
      <c r="E100" s="25" t="s">
        <v>815</v>
      </c>
      <c r="F100" s="174">
        <f t="shared" si="29"/>
        <v>46197</v>
      </c>
      <c r="G100" s="31" t="s">
        <v>832</v>
      </c>
      <c r="H100" s="21" t="s">
        <v>833</v>
      </c>
      <c r="I100" s="138" t="s">
        <v>3</v>
      </c>
      <c r="J100" s="164">
        <f t="shared" si="30"/>
        <v>21</v>
      </c>
      <c r="K100" s="47">
        <f t="shared" si="31"/>
        <v>0</v>
      </c>
      <c r="L100" s="164"/>
      <c r="M100" s="40" t="s">
        <v>8</v>
      </c>
      <c r="N100" s="41" t="s">
        <v>8</v>
      </c>
      <c r="O100" s="40" t="s">
        <v>8</v>
      </c>
      <c r="P100" s="41"/>
      <c r="Q100" s="40"/>
      <c r="R100" s="155"/>
      <c r="S100" s="27">
        <v>46162</v>
      </c>
      <c r="T100" s="27">
        <v>46162</v>
      </c>
      <c r="U100" s="188">
        <v>46176</v>
      </c>
      <c r="V100" s="29">
        <v>46183</v>
      </c>
      <c r="W100" s="188">
        <v>46197</v>
      </c>
      <c r="X100" s="235" t="s">
        <v>240</v>
      </c>
      <c r="Y100" s="230"/>
      <c r="Z100" s="227"/>
      <c r="AA100" s="29" t="b">
        <f t="shared" si="21"/>
        <v>0</v>
      </c>
      <c r="AB100" s="229"/>
      <c r="AC100" s="229" t="str">
        <f t="shared" si="22"/>
        <v/>
      </c>
      <c r="AD100" s="337" t="str">
        <f t="shared" si="23"/>
        <v/>
      </c>
      <c r="AE100" s="92" t="s">
        <v>873</v>
      </c>
      <c r="AG100" s="238" t="str">
        <f t="shared" si="14"/>
        <v>LTIA-5.11-LTICT-RFA-OTH-0007</v>
      </c>
      <c r="AH100" s="243" t="b" cm="1">
        <f t="array" ref="AH100">$E100=_xlfn.XLOOKUP(
AG100,
_xlfn._xlws.FILTER($AG$7:$AG$4572,$L$7:$L$4572&lt;&gt;"X"),
_xlfn._xlws.FILTER($E$7:$E$4572,$L$7:$L$4572&lt;&gt;"X"),
"",
0,
-1
)</f>
        <v>1</v>
      </c>
      <c r="AI100" s="75" t="str">
        <f t="shared" si="24"/>
        <v/>
      </c>
    </row>
    <row r="101" spans="1:35" s="9" customFormat="1" ht="78.75">
      <c r="A101" s="33">
        <f t="shared" si="19"/>
        <v>95</v>
      </c>
      <c r="B101" s="330" t="str">
        <f t="shared" si="20"/>
        <v>5.11</v>
      </c>
      <c r="C101" s="164" t="s">
        <v>838</v>
      </c>
      <c r="D101" s="137" t="s">
        <v>32</v>
      </c>
      <c r="E101" s="25" t="s">
        <v>835</v>
      </c>
      <c r="F101" s="174">
        <f t="shared" si="29"/>
        <v>46115</v>
      </c>
      <c r="G101" s="31" t="s">
        <v>836</v>
      </c>
      <c r="H101" s="21" t="s">
        <v>837</v>
      </c>
      <c r="I101" s="138" t="s">
        <v>1</v>
      </c>
      <c r="J101" s="164">
        <f t="shared" si="30"/>
        <v>35</v>
      </c>
      <c r="K101" s="47">
        <f t="shared" si="31"/>
        <v>14</v>
      </c>
      <c r="L101" s="164"/>
      <c r="M101" s="40" t="s">
        <v>8</v>
      </c>
      <c r="N101" s="41" t="s">
        <v>8</v>
      </c>
      <c r="O101" s="40"/>
      <c r="P101" s="41" t="s">
        <v>8</v>
      </c>
      <c r="Q101" s="40"/>
      <c r="R101" s="155"/>
      <c r="S101" s="27">
        <v>46094</v>
      </c>
      <c r="T101" s="27">
        <v>46094</v>
      </c>
      <c r="U101" s="188">
        <v>46094</v>
      </c>
      <c r="V101" s="29">
        <v>46129</v>
      </c>
      <c r="W101" s="188">
        <v>46129</v>
      </c>
      <c r="X101" s="235" t="s">
        <v>190</v>
      </c>
      <c r="Y101" s="230"/>
      <c r="Z101" s="227"/>
      <c r="AA101" s="29">
        <f t="shared" si="21"/>
        <v>46136</v>
      </c>
      <c r="AB101" s="229"/>
      <c r="AC101" s="229" t="str">
        <f t="shared" si="22"/>
        <v/>
      </c>
      <c r="AD101" s="337" t="str">
        <f t="shared" si="23"/>
        <v/>
      </c>
      <c r="AE101" s="92"/>
      <c r="AG101" s="238" t="str">
        <f t="shared" si="14"/>
        <v>LTIA-5.11- LTICT-RFA-MSS-0001</v>
      </c>
      <c r="AH101" s="243" t="b" cm="1">
        <f t="array" ref="AH101">$E101=_xlfn.XLOOKUP(
AG101,
_xlfn._xlws.FILTER($AG$7:$AG$4572,$L$7:$L$4572&lt;&gt;"X"),
_xlfn._xlws.FILTER($E$7:$E$4572,$L$7:$L$4572&lt;&gt;"X"),
"",
0,
-1
)</f>
        <v>1</v>
      </c>
      <c r="AI101" s="75" t="str">
        <f t="shared" si="24"/>
        <v>YES</v>
      </c>
    </row>
    <row r="102" spans="1:35" s="9" customFormat="1" ht="78.75">
      <c r="A102" s="33">
        <f t="shared" si="19"/>
        <v>96</v>
      </c>
      <c r="B102" s="330" t="str">
        <f t="shared" si="20"/>
        <v>5.11</v>
      </c>
      <c r="C102" s="164" t="s">
        <v>637</v>
      </c>
      <c r="D102" s="137" t="s">
        <v>30</v>
      </c>
      <c r="E102" s="25" t="s">
        <v>843</v>
      </c>
      <c r="F102" s="174">
        <f t="shared" si="29"/>
        <v>46206</v>
      </c>
      <c r="G102" s="31" t="s">
        <v>844</v>
      </c>
      <c r="H102" s="21" t="s">
        <v>845</v>
      </c>
      <c r="I102" s="138" t="s">
        <v>3</v>
      </c>
      <c r="J102" s="164"/>
      <c r="K102" s="47"/>
      <c r="L102" s="164" t="s">
        <v>13</v>
      </c>
      <c r="M102" s="40"/>
      <c r="N102" s="41"/>
      <c r="O102" s="40"/>
      <c r="P102" s="41"/>
      <c r="Q102" s="40"/>
      <c r="R102" s="155"/>
      <c r="S102" s="27">
        <v>46185</v>
      </c>
      <c r="T102" s="27">
        <v>46185</v>
      </c>
      <c r="U102" s="188">
        <v>46185</v>
      </c>
      <c r="V102" s="29"/>
      <c r="W102" s="188"/>
      <c r="X102" s="235"/>
      <c r="Y102" s="230"/>
      <c r="Z102" s="227"/>
      <c r="AA102" s="29" t="b">
        <f t="shared" si="21"/>
        <v>0</v>
      </c>
      <c r="AB102" s="229"/>
      <c r="AC102" s="229" t="str">
        <f t="shared" si="22"/>
        <v/>
      </c>
      <c r="AD102" s="337" t="str">
        <f t="shared" ref="AD102:AD105" si="32">IF(AC102="Late Resubmission",IF(AB102="","",AB102-AA102),IF(AC102="Not submit yet",IF(AA102="","",$J$1-AA102),""))</f>
        <v/>
      </c>
      <c r="AE102" s="92" t="s">
        <v>945</v>
      </c>
      <c r="AG102" s="238" t="str">
        <f t="shared" si="14"/>
        <v>LTIA-5.11-LTICT-72120-RFA-MAS-0015</v>
      </c>
      <c r="AH102" s="243" t="b" cm="1">
        <f t="array" ref="AH102">$E102=_xlfn.XLOOKUP(
AG102,
_xlfn._xlws.FILTER($AG$7:$AG$4572,$L$7:$L$4572&lt;&gt;"X"),
_xlfn._xlws.FILTER($E$7:$E$4572,$L$7:$L$4572&lt;&gt;"X"),
"",
0,
-1
)</f>
        <v>0</v>
      </c>
      <c r="AI102" s="75" t="str">
        <f t="shared" si="24"/>
        <v/>
      </c>
    </row>
    <row r="103" spans="1:35" s="9" customFormat="1" ht="63">
      <c r="A103" s="33">
        <f t="shared" si="19"/>
        <v>97</v>
      </c>
      <c r="B103" s="330" t="str">
        <f t="shared" ref="B103" si="33">MID(E103, FIND("-", E103) + 1, 4)</f>
        <v>5.10</v>
      </c>
      <c r="C103" s="164" t="s">
        <v>144</v>
      </c>
      <c r="D103" s="137" t="s">
        <v>28</v>
      </c>
      <c r="E103" s="25" t="s">
        <v>869</v>
      </c>
      <c r="F103" s="174">
        <f t="shared" si="29"/>
        <v>46195</v>
      </c>
      <c r="G103" s="31" t="s">
        <v>870</v>
      </c>
      <c r="H103" s="21" t="s">
        <v>871</v>
      </c>
      <c r="I103" s="138" t="s">
        <v>1</v>
      </c>
      <c r="J103" s="164">
        <f t="shared" si="30"/>
        <v>23</v>
      </c>
      <c r="K103" s="47">
        <f t="shared" si="31"/>
        <v>2</v>
      </c>
      <c r="L103" s="164"/>
      <c r="M103" s="40" t="s">
        <v>8</v>
      </c>
      <c r="N103" s="41" t="s">
        <v>8</v>
      </c>
      <c r="O103" s="40" t="s">
        <v>8</v>
      </c>
      <c r="P103" s="41" t="s">
        <v>8</v>
      </c>
      <c r="Q103" s="40"/>
      <c r="R103" s="155"/>
      <c r="S103" s="27">
        <v>46174</v>
      </c>
      <c r="T103" s="27">
        <v>46174</v>
      </c>
      <c r="U103" s="27">
        <v>46174</v>
      </c>
      <c r="V103" s="29">
        <v>46196</v>
      </c>
      <c r="W103" s="188">
        <v>46197</v>
      </c>
      <c r="X103" s="235" t="s">
        <v>240</v>
      </c>
      <c r="Y103" s="230"/>
      <c r="Z103" s="227"/>
      <c r="AA103" s="29">
        <f t="shared" si="21"/>
        <v>46204</v>
      </c>
      <c r="AB103" s="229">
        <v>46247</v>
      </c>
      <c r="AC103" s="229" t="str">
        <f t="shared" si="22"/>
        <v/>
      </c>
      <c r="AD103" s="337" t="str">
        <f t="shared" ref="AD103" si="34">IF(AC103="Late Resubmission",IF(AB103="","",AB103-AA103),IF(AC103="Not submit yet",IF(AA103="","",$J$1-AA103),""))</f>
        <v/>
      </c>
      <c r="AE103" s="92" t="s">
        <v>872</v>
      </c>
      <c r="AG103" s="238" t="str">
        <f t="shared" si="14"/>
        <v>LTIA-5.10-VIETUR-70000-RFA-OTH-0712</v>
      </c>
      <c r="AH103" s="243" t="b" cm="1">
        <f t="array" ref="AH103">$E103=_xlfn.XLOOKUP(
AG103,
_xlfn._xlws.FILTER($AG$7:$AG$4572,$L$7:$L$4572&lt;&gt;"X"),
_xlfn._xlws.FILTER($E$7:$E$4572,$L$7:$L$4572&lt;&gt;"X"),
"",
0,
-1
)</f>
        <v>0</v>
      </c>
      <c r="AI103" s="75" t="str">
        <f t="shared" si="24"/>
        <v/>
      </c>
    </row>
    <row r="104" spans="1:35" s="9" customFormat="1" ht="63">
      <c r="A104" s="33">
        <f t="shared" si="19"/>
        <v>98</v>
      </c>
      <c r="B104" s="330" t="str">
        <f t="shared" si="20"/>
        <v>5.10</v>
      </c>
      <c r="C104" s="164" t="s">
        <v>151</v>
      </c>
      <c r="D104" s="137" t="s">
        <v>28</v>
      </c>
      <c r="E104" s="25" t="s">
        <v>846</v>
      </c>
      <c r="F104" s="174">
        <f t="shared" si="29"/>
        <v>46209</v>
      </c>
      <c r="G104" s="31" t="s">
        <v>847</v>
      </c>
      <c r="H104" s="21" t="s">
        <v>848</v>
      </c>
      <c r="I104" s="138" t="s">
        <v>1</v>
      </c>
      <c r="J104" s="164">
        <f t="shared" si="30"/>
        <v>9</v>
      </c>
      <c r="K104" s="47">
        <f t="shared" si="31"/>
        <v>0</v>
      </c>
      <c r="L104" s="164"/>
      <c r="M104" s="40" t="s">
        <v>8</v>
      </c>
      <c r="N104" s="41" t="s">
        <v>8</v>
      </c>
      <c r="O104" s="40" t="s">
        <v>8</v>
      </c>
      <c r="P104" s="41" t="s">
        <v>8</v>
      </c>
      <c r="Q104" s="40"/>
      <c r="R104" s="155"/>
      <c r="S104" s="27">
        <v>46188</v>
      </c>
      <c r="T104" s="27">
        <v>46188</v>
      </c>
      <c r="U104" s="188">
        <v>46188</v>
      </c>
      <c r="V104" s="29">
        <v>46196</v>
      </c>
      <c r="W104" s="188">
        <v>46197</v>
      </c>
      <c r="X104" s="235" t="s">
        <v>240</v>
      </c>
      <c r="Y104" s="230"/>
      <c r="Z104" s="227"/>
      <c r="AA104" s="29">
        <f t="shared" si="21"/>
        <v>46204</v>
      </c>
      <c r="AB104" s="229">
        <v>46262</v>
      </c>
      <c r="AC104" s="229" t="str">
        <f t="shared" si="22"/>
        <v/>
      </c>
      <c r="AD104" s="337" t="str">
        <f t="shared" si="32"/>
        <v/>
      </c>
      <c r="AE104" s="92" t="s">
        <v>872</v>
      </c>
      <c r="AG104" s="238" t="str">
        <f t="shared" si="14"/>
        <v>LTIA-5.10-VIETUR-70000-RFA-OTH-0721</v>
      </c>
      <c r="AH104" s="243" t="b" cm="1">
        <f t="array" ref="AH104">$E104=_xlfn.XLOOKUP(
AG104,
_xlfn._xlws.FILTER($AG$7:$AG$4572,$L$7:$L$4572&lt;&gt;"X"),
_xlfn._xlws.FILTER($E$7:$E$4572,$L$7:$L$4572&lt;&gt;"X"),
"",
0,
-1
)</f>
        <v>0</v>
      </c>
      <c r="AI104" s="75" t="str">
        <f t="shared" si="24"/>
        <v/>
      </c>
    </row>
    <row r="105" spans="1:35" s="9" customFormat="1" ht="63">
      <c r="A105" s="33">
        <f t="shared" si="19"/>
        <v>99</v>
      </c>
      <c r="B105" s="330" t="str">
        <f t="shared" si="20"/>
        <v>5.10</v>
      </c>
      <c r="C105" s="164" t="s">
        <v>195</v>
      </c>
      <c r="D105" s="137" t="s">
        <v>28</v>
      </c>
      <c r="E105" s="25" t="s">
        <v>854</v>
      </c>
      <c r="F105" s="174">
        <f t="shared" si="29"/>
        <v>46209</v>
      </c>
      <c r="G105" s="31" t="s">
        <v>855</v>
      </c>
      <c r="H105" s="21" t="s">
        <v>856</v>
      </c>
      <c r="I105" s="138" t="s">
        <v>1</v>
      </c>
      <c r="J105" s="164">
        <f t="shared" si="30"/>
        <v>9</v>
      </c>
      <c r="K105" s="47">
        <f t="shared" si="31"/>
        <v>0</v>
      </c>
      <c r="L105" s="164"/>
      <c r="M105" s="40" t="s">
        <v>8</v>
      </c>
      <c r="N105" s="41" t="s">
        <v>8</v>
      </c>
      <c r="O105" s="40" t="s">
        <v>8</v>
      </c>
      <c r="P105" s="41" t="s">
        <v>8</v>
      </c>
      <c r="Q105" s="40"/>
      <c r="R105" s="155"/>
      <c r="S105" s="27">
        <v>46188</v>
      </c>
      <c r="T105" s="27">
        <v>46188</v>
      </c>
      <c r="U105" s="188">
        <v>46188</v>
      </c>
      <c r="V105" s="29">
        <v>46196</v>
      </c>
      <c r="W105" s="188">
        <v>46197</v>
      </c>
      <c r="X105" s="235" t="s">
        <v>240</v>
      </c>
      <c r="Y105" s="230"/>
      <c r="Z105" s="227"/>
      <c r="AA105" s="29">
        <f t="shared" si="21"/>
        <v>46204</v>
      </c>
      <c r="AB105" s="229">
        <v>46247</v>
      </c>
      <c r="AC105" s="229" t="str">
        <f t="shared" si="22"/>
        <v/>
      </c>
      <c r="AD105" s="337" t="str">
        <f t="shared" si="32"/>
        <v/>
      </c>
      <c r="AE105" s="92" t="s">
        <v>872</v>
      </c>
      <c r="AG105" s="238" t="str">
        <f t="shared" si="14"/>
        <v>LTIA-5.10-VIETUR-70000-RFA-OTH-0725</v>
      </c>
      <c r="AH105" s="243" t="b" cm="1">
        <f t="array" ref="AH105">$E105=_xlfn.XLOOKUP(
AG105,
_xlfn._xlws.FILTER($AG$7:$AG$4572,$L$7:$L$4572&lt;&gt;"X"),
_xlfn._xlws.FILTER($E$7:$E$4572,$L$7:$L$4572&lt;&gt;"X"),
"",
0,
-1
)</f>
        <v>0</v>
      </c>
      <c r="AI105" s="75" t="str">
        <f t="shared" si="24"/>
        <v/>
      </c>
    </row>
    <row r="106" spans="1:35" s="9" customFormat="1" ht="47.25">
      <c r="A106" s="33">
        <f t="shared" si="19"/>
        <v>100</v>
      </c>
      <c r="B106" s="330" t="str">
        <f t="shared" ref="B106" si="35">MID(E106, FIND("-", E106) + 1, 4)</f>
        <v>5.11</v>
      </c>
      <c r="C106" s="164"/>
      <c r="D106" s="137" t="s">
        <v>24</v>
      </c>
      <c r="E106" s="25" t="s">
        <v>858</v>
      </c>
      <c r="F106" s="174">
        <f t="shared" si="29"/>
        <v>46266</v>
      </c>
      <c r="G106" s="31" t="s">
        <v>859</v>
      </c>
      <c r="H106" s="21" t="s">
        <v>860</v>
      </c>
      <c r="I106" s="138" t="s">
        <v>3</v>
      </c>
      <c r="J106" s="164">
        <f t="shared" si="30"/>
        <v>29</v>
      </c>
      <c r="K106" s="47">
        <f t="shared" si="31"/>
        <v>8</v>
      </c>
      <c r="L106" s="164"/>
      <c r="M106" s="40" t="s">
        <v>8</v>
      </c>
      <c r="N106" s="41" t="s">
        <v>8</v>
      </c>
      <c r="O106" s="40" t="s">
        <v>8</v>
      </c>
      <c r="P106" s="40" t="s">
        <v>8</v>
      </c>
      <c r="Q106" s="40"/>
      <c r="R106" s="155"/>
      <c r="S106" s="27">
        <v>46192</v>
      </c>
      <c r="T106" s="27">
        <v>46192</v>
      </c>
      <c r="U106" s="188">
        <v>46245</v>
      </c>
      <c r="V106" s="29">
        <v>46258</v>
      </c>
      <c r="W106" s="188">
        <v>46274</v>
      </c>
      <c r="X106" s="235" t="s">
        <v>240</v>
      </c>
      <c r="Y106" s="230"/>
      <c r="Z106" s="227"/>
      <c r="AA106" s="29" t="b">
        <f t="shared" si="21"/>
        <v>0</v>
      </c>
      <c r="AB106" s="229"/>
      <c r="AC106" s="229" t="str">
        <f t="shared" si="22"/>
        <v/>
      </c>
      <c r="AD106" s="337" t="str">
        <f t="shared" ref="AD106" si="36">IF(AC106="Late Resubmission",IF(AB106="","",AB106-AA106),IF(AC106="Not submit yet",IF(AA106="","",$J$1-AA106),""))</f>
        <v/>
      </c>
      <c r="AE106" s="92" t="s">
        <v>980</v>
      </c>
      <c r="AG106" s="238" t="str">
        <f t="shared" si="14"/>
        <v>LTIA-5.11-LTICT-10000-RFA-GEN-0004</v>
      </c>
      <c r="AH106" s="243" t="b" cm="1">
        <f t="array" ref="AH106">$E106=_xlfn.XLOOKUP(
AG106,
_xlfn._xlws.FILTER($AG$7:$AG$4572,$L$7:$L$4572&lt;&gt;"X"),
_xlfn._xlws.FILTER($E$7:$E$4572,$L$7:$L$4572&lt;&gt;"X"),
"",
0,
-1
)</f>
        <v>1</v>
      </c>
      <c r="AI106" s="75" t="str">
        <f t="shared" si="24"/>
        <v/>
      </c>
    </row>
    <row r="107" spans="1:35" s="9" customFormat="1" ht="63">
      <c r="A107" s="33">
        <f t="shared" si="19"/>
        <v>101</v>
      </c>
      <c r="B107" s="330" t="str">
        <f t="shared" ref="B107" si="37">MID(E107, FIND("-", E107) + 1, 4)</f>
        <v>5.11</v>
      </c>
      <c r="C107" s="164" t="s">
        <v>644</v>
      </c>
      <c r="D107" s="137" t="s">
        <v>28</v>
      </c>
      <c r="E107" s="25" t="s">
        <v>862</v>
      </c>
      <c r="F107" s="174"/>
      <c r="G107" s="31" t="s">
        <v>863</v>
      </c>
      <c r="H107" s="21" t="s">
        <v>864</v>
      </c>
      <c r="I107" s="138"/>
      <c r="J107" s="164"/>
      <c r="K107" s="47"/>
      <c r="L107" s="164" t="s">
        <v>13</v>
      </c>
      <c r="M107" s="40" t="s">
        <v>8</v>
      </c>
      <c r="N107" s="41" t="s">
        <v>8</v>
      </c>
      <c r="O107" s="40"/>
      <c r="P107" s="41"/>
      <c r="Q107" s="40"/>
      <c r="R107" s="155"/>
      <c r="S107" s="27">
        <v>46192</v>
      </c>
      <c r="T107" s="27">
        <v>46192</v>
      </c>
      <c r="U107" s="188">
        <v>46192</v>
      </c>
      <c r="V107" s="29"/>
      <c r="W107" s="188"/>
      <c r="X107" s="235"/>
      <c r="Y107" s="230"/>
      <c r="Z107" s="227"/>
      <c r="AA107" s="29" t="str">
        <f t="shared" si="21"/>
        <v/>
      </c>
      <c r="AB107" s="229"/>
      <c r="AC107" s="229" t="str">
        <f t="shared" si="22"/>
        <v/>
      </c>
      <c r="AD107" s="337" t="str">
        <f t="shared" ref="AD107" si="38">IF(AC107="Late Resubmission",IF(AB107="","",AB107-AA107),IF(AC107="Not submit yet",IF(AA107="","",$J$1-AA107),""))</f>
        <v/>
      </c>
      <c r="AE107" s="92" t="s">
        <v>900</v>
      </c>
      <c r="AG107" s="238" t="str">
        <f t="shared" si="14"/>
        <v>LTIA-5.11-LTICT-OTH-RFA-0008</v>
      </c>
      <c r="AH107" s="243" t="b" cm="1">
        <f t="array" ref="AH107">$E107=_xlfn.XLOOKUP(
AG107,
_xlfn._xlws.FILTER($AG$7:$AG$4572,$L$7:$L$4572&lt;&gt;"X"),
_xlfn._xlws.FILTER($E$7:$E$4572,$L$7:$L$4572&lt;&gt;"X"),
"",
0,
-1
)</f>
        <v>0</v>
      </c>
      <c r="AI107" s="75" t="str">
        <f t="shared" si="24"/>
        <v/>
      </c>
    </row>
    <row r="108" spans="1:35" s="9" customFormat="1" ht="47.25">
      <c r="A108" s="33">
        <f t="shared" si="19"/>
        <v>102</v>
      </c>
      <c r="B108" s="330" t="str">
        <f t="shared" ref="B108" si="39">MID(E108, FIND("-", E108) + 1, 4)</f>
        <v>5.11</v>
      </c>
      <c r="C108" s="164"/>
      <c r="D108" s="137" t="s">
        <v>28</v>
      </c>
      <c r="E108" s="25" t="s">
        <v>883</v>
      </c>
      <c r="F108" s="174">
        <f t="shared" si="29"/>
        <v>46219</v>
      </c>
      <c r="G108" s="31" t="s">
        <v>884</v>
      </c>
      <c r="H108" s="21" t="s">
        <v>885</v>
      </c>
      <c r="I108" s="138" t="s">
        <v>1</v>
      </c>
      <c r="J108" s="164">
        <f t="shared" si="30"/>
        <v>21</v>
      </c>
      <c r="K108" s="47">
        <f t="shared" si="31"/>
        <v>0</v>
      </c>
      <c r="L108" s="164"/>
      <c r="M108" s="40" t="s">
        <v>8</v>
      </c>
      <c r="N108" s="41" t="s">
        <v>8</v>
      </c>
      <c r="O108" s="40" t="s">
        <v>8</v>
      </c>
      <c r="P108" s="41"/>
      <c r="Q108" s="40"/>
      <c r="R108" s="155"/>
      <c r="S108" s="27">
        <v>46195</v>
      </c>
      <c r="T108" s="27">
        <v>46195</v>
      </c>
      <c r="U108" s="188">
        <v>46198</v>
      </c>
      <c r="V108" s="29">
        <v>46209</v>
      </c>
      <c r="W108" s="188">
        <v>46219</v>
      </c>
      <c r="X108" s="235" t="s">
        <v>670</v>
      </c>
      <c r="Y108" s="230"/>
      <c r="Z108" s="227"/>
      <c r="AA108" s="29">
        <f t="shared" si="21"/>
        <v>46226</v>
      </c>
      <c r="AB108" s="229"/>
      <c r="AC108" s="229" t="str">
        <f t="shared" si="22"/>
        <v/>
      </c>
      <c r="AD108" s="337" t="str">
        <f t="shared" ref="AD108" si="40">IF(AC108="Late Resubmission",IF(AB108="","",AB108-AA108),IF(AC108="Not submit yet",IF(AA108="","",$J$1-AA108),""))</f>
        <v/>
      </c>
      <c r="AE108" s="92" t="s">
        <v>936</v>
      </c>
      <c r="AG108" s="238" t="str">
        <f t="shared" si="14"/>
        <v>LTIA-5.11-LTICT-RFA-OTH-0009</v>
      </c>
      <c r="AH108" s="243" t="b" cm="1">
        <f t="array" ref="AH108">$E108=_xlfn.XLOOKUP(
AG108,
_xlfn._xlws.FILTER($AG$7:$AG$4572,$L$7:$L$4572&lt;&gt;"X"),
_xlfn._xlws.FILTER($E$7:$E$4572,$L$7:$L$4572&lt;&gt;"X"),
"",
0,
-1
)</f>
        <v>1</v>
      </c>
      <c r="AI108" s="75" t="str">
        <f t="shared" si="24"/>
        <v>YES</v>
      </c>
    </row>
    <row r="109" spans="1:35" s="9" customFormat="1" ht="63">
      <c r="A109" s="33">
        <f t="shared" si="19"/>
        <v>103</v>
      </c>
      <c r="B109" s="330" t="str">
        <f t="shared" ref="B109" si="41">MID(E109, FIND("-", E109) + 1, 4)</f>
        <v>5.11</v>
      </c>
      <c r="C109" s="164" t="s">
        <v>144</v>
      </c>
      <c r="D109" s="137" t="s">
        <v>28</v>
      </c>
      <c r="E109" s="25" t="s">
        <v>901</v>
      </c>
      <c r="F109" s="174">
        <f t="shared" si="29"/>
        <v>46300</v>
      </c>
      <c r="G109" s="31" t="s">
        <v>902</v>
      </c>
      <c r="H109" s="21" t="s">
        <v>903</v>
      </c>
      <c r="I109" s="23" t="s">
        <v>3</v>
      </c>
      <c r="J109" s="164">
        <f t="shared" si="30"/>
        <v>10</v>
      </c>
      <c r="K109" s="47">
        <f t="shared" si="31"/>
        <v>0</v>
      </c>
      <c r="L109" s="164"/>
      <c r="M109" s="40" t="s">
        <v>8</v>
      </c>
      <c r="N109" s="41" t="s">
        <v>8</v>
      </c>
      <c r="O109" s="40" t="s">
        <v>8</v>
      </c>
      <c r="P109" s="41"/>
      <c r="Q109" s="40"/>
      <c r="R109" s="155"/>
      <c r="S109" s="27">
        <v>46197</v>
      </c>
      <c r="T109" s="27">
        <v>46197</v>
      </c>
      <c r="U109" s="188">
        <v>46279</v>
      </c>
      <c r="V109" s="29">
        <v>46289</v>
      </c>
      <c r="W109" s="188">
        <v>46289</v>
      </c>
      <c r="X109" s="235" t="s">
        <v>670</v>
      </c>
      <c r="Y109" s="230"/>
      <c r="Z109" s="227"/>
      <c r="AA109" s="29" t="b">
        <f t="shared" si="21"/>
        <v>0</v>
      </c>
      <c r="AB109" s="229"/>
      <c r="AC109" s="229" t="str">
        <f t="shared" si="22"/>
        <v/>
      </c>
      <c r="AD109" s="337" t="str">
        <f t="shared" ref="AD109" si="42">IF(AC109="Late Resubmission",IF(AB109="","",AB109-AA109),IF(AC109="Not submit yet",IF(AA109="","",$J$1-AA109),""))</f>
        <v/>
      </c>
      <c r="AE109" s="92" t="s">
        <v>1013</v>
      </c>
      <c r="AG109" s="238" t="str">
        <f t="shared" si="14"/>
        <v>LTIA-5.11-LTICT-OTH-RFA-0010</v>
      </c>
      <c r="AH109" s="243" t="b" cm="1">
        <f t="array" ref="AH109">$E109=_xlfn.XLOOKUP(
AG109,
_xlfn._xlws.FILTER($AG$7:$AG$4572,$L$7:$L$4572&lt;&gt;"X"),
_xlfn._xlws.FILTER($E$7:$E$4572,$L$7:$L$4572&lt;&gt;"X"),
"",
0,
-1
)</f>
        <v>1</v>
      </c>
      <c r="AI109" s="75" t="str">
        <f t="shared" si="24"/>
        <v/>
      </c>
    </row>
    <row r="110" spans="1:35" s="9" customFormat="1" ht="47.25">
      <c r="A110" s="33">
        <f t="shared" si="19"/>
        <v>104</v>
      </c>
      <c r="B110" s="330" t="str">
        <f t="shared" ref="B110" si="43">MID(E110, FIND("-", E110) + 1, 4)</f>
        <v>5.11</v>
      </c>
      <c r="C110" s="164" t="s">
        <v>656</v>
      </c>
      <c r="D110" s="137" t="s">
        <v>30</v>
      </c>
      <c r="E110" s="25" t="s">
        <v>912</v>
      </c>
      <c r="F110" s="174">
        <f t="shared" si="29"/>
        <v>46219</v>
      </c>
      <c r="G110" s="31" t="s">
        <v>775</v>
      </c>
      <c r="H110" s="21" t="s">
        <v>913</v>
      </c>
      <c r="I110" s="138" t="s">
        <v>3</v>
      </c>
      <c r="J110" s="164">
        <f t="shared" si="30"/>
        <v>33</v>
      </c>
      <c r="K110" s="47">
        <f t="shared" si="31"/>
        <v>12</v>
      </c>
      <c r="L110" s="164"/>
      <c r="M110" s="40" t="s">
        <v>8</v>
      </c>
      <c r="N110" s="41"/>
      <c r="O110" s="40" t="s">
        <v>8</v>
      </c>
      <c r="P110" s="41"/>
      <c r="Q110" s="40"/>
      <c r="R110" s="155"/>
      <c r="S110" s="27">
        <v>46198</v>
      </c>
      <c r="T110" s="27">
        <v>46198</v>
      </c>
      <c r="U110" s="188">
        <v>46198</v>
      </c>
      <c r="V110" s="29">
        <v>46227</v>
      </c>
      <c r="W110" s="188">
        <v>46231</v>
      </c>
      <c r="X110" s="235" t="s">
        <v>240</v>
      </c>
      <c r="Y110" s="230"/>
      <c r="Z110" s="227"/>
      <c r="AA110" s="29" t="b">
        <f t="shared" si="21"/>
        <v>0</v>
      </c>
      <c r="AB110" s="229"/>
      <c r="AC110" s="229" t="str">
        <f t="shared" si="22"/>
        <v/>
      </c>
      <c r="AD110" s="337" t="str">
        <f t="shared" ref="AD110" si="44">IF(AC110="Late Resubmission",IF(AB110="","",AB110-AA110),IF(AC110="Not submit yet",IF(AA110="","",$J$1-AA110),""))</f>
        <v/>
      </c>
      <c r="AE110" s="92"/>
      <c r="AG110" s="238" t="str">
        <f t="shared" si="14"/>
        <v>LTIA-5.11-LTICT-71110-RFA-MAS-0018</v>
      </c>
      <c r="AH110" s="243" t="b" cm="1">
        <f t="array" ref="AH110">$E110=_xlfn.XLOOKUP(
AG110,
_xlfn._xlws.FILTER($AG$7:$AG$4572,$L$7:$L$4572&lt;&gt;"X"),
_xlfn._xlws.FILTER($E$7:$E$4572,$L$7:$L$4572&lt;&gt;"X"),
"",
0,
-1
)</f>
        <v>1</v>
      </c>
      <c r="AI110" s="75" t="str">
        <f t="shared" si="24"/>
        <v/>
      </c>
    </row>
    <row r="111" spans="1:35" s="9" customFormat="1" ht="63">
      <c r="A111" s="33">
        <f t="shared" si="19"/>
        <v>105</v>
      </c>
      <c r="B111" s="330" t="str">
        <f t="shared" ref="B111" si="45">MID(E111, FIND("-", E111) + 1, 4)</f>
        <v>5.11</v>
      </c>
      <c r="C111" s="164" t="s">
        <v>725</v>
      </c>
      <c r="D111" s="137" t="s">
        <v>85</v>
      </c>
      <c r="E111" s="25" t="s">
        <v>914</v>
      </c>
      <c r="F111" s="174">
        <f t="shared" si="29"/>
        <v>46224</v>
      </c>
      <c r="G111" s="31" t="s">
        <v>915</v>
      </c>
      <c r="H111" s="21" t="s">
        <v>916</v>
      </c>
      <c r="I111" s="23"/>
      <c r="J111" s="164">
        <f t="shared" ca="1" si="30"/>
        <v>106</v>
      </c>
      <c r="K111" s="47">
        <f t="shared" ca="1" si="31"/>
        <v>85</v>
      </c>
      <c r="L111" s="164" t="s">
        <v>13</v>
      </c>
      <c r="M111" s="40" t="s">
        <v>8</v>
      </c>
      <c r="N111" s="41"/>
      <c r="O111" s="40"/>
      <c r="P111" s="41"/>
      <c r="Q111" s="40"/>
      <c r="R111" s="155"/>
      <c r="S111" s="27">
        <v>46203</v>
      </c>
      <c r="T111" s="27">
        <v>46203</v>
      </c>
      <c r="U111" s="188">
        <v>46203</v>
      </c>
      <c r="V111" s="29"/>
      <c r="W111" s="188"/>
      <c r="X111" s="235"/>
      <c r="Y111" s="230"/>
      <c r="Z111" s="227"/>
      <c r="AA111" s="29" t="str">
        <f t="shared" si="21"/>
        <v/>
      </c>
      <c r="AB111" s="229"/>
      <c r="AC111" s="229" t="str">
        <f t="shared" si="22"/>
        <v/>
      </c>
      <c r="AD111" s="337" t="str">
        <f t="shared" ref="AD111" si="46">IF(AC111="Late Resubmission",IF(AB111="","",AB111-AA111),IF(AC111="Not submit yet",IF(AA111="","",$J$1-AA111),""))</f>
        <v/>
      </c>
      <c r="AE111" s="92" t="s">
        <v>1002</v>
      </c>
      <c r="AG111" s="238" t="str">
        <f t="shared" si="14"/>
        <v>LTIA-5.11-LTICT-PPS-71000-RFA-ICD-0001</v>
      </c>
      <c r="AH111" s="243" t="b" cm="1">
        <f t="array" ref="AH111">$E111=_xlfn.XLOOKUP(
AG111,
_xlfn._xlws.FILTER($AG$7:$AG$4572,$L$7:$L$4572&lt;&gt;"X"),
_xlfn._xlws.FILTER($E$7:$E$4572,$L$7:$L$4572&lt;&gt;"X"),
"",
0,
-1
)</f>
        <v>0</v>
      </c>
      <c r="AI111" s="75" t="str">
        <f t="shared" si="24"/>
        <v/>
      </c>
    </row>
    <row r="112" spans="1:35" s="9" customFormat="1" ht="47.25">
      <c r="A112" s="33">
        <f t="shared" si="19"/>
        <v>106</v>
      </c>
      <c r="B112" s="330" t="str">
        <f t="shared" ref="B112" si="47">MID(E112, FIND("-", E112) + 1, 4)</f>
        <v>5.10</v>
      </c>
      <c r="C112" s="164" t="s">
        <v>184</v>
      </c>
      <c r="D112" s="137" t="s">
        <v>28</v>
      </c>
      <c r="E112" s="25" t="s">
        <v>919</v>
      </c>
      <c r="F112" s="174">
        <f t="shared" si="29"/>
        <v>46231</v>
      </c>
      <c r="G112" s="31" t="s">
        <v>920</v>
      </c>
      <c r="H112" s="21" t="s">
        <v>921</v>
      </c>
      <c r="I112" s="138" t="s">
        <v>2</v>
      </c>
      <c r="J112" s="164">
        <f t="shared" si="30"/>
        <v>15</v>
      </c>
      <c r="K112" s="47">
        <f t="shared" si="31"/>
        <v>0</v>
      </c>
      <c r="L112" s="164"/>
      <c r="M112" s="40" t="s">
        <v>8</v>
      </c>
      <c r="N112" s="41"/>
      <c r="O112" s="40" t="s">
        <v>8</v>
      </c>
      <c r="P112" s="41"/>
      <c r="Q112" s="40"/>
      <c r="R112" s="155"/>
      <c r="S112" s="27">
        <v>46210</v>
      </c>
      <c r="T112" s="27">
        <v>46210</v>
      </c>
      <c r="U112" s="188">
        <v>46210</v>
      </c>
      <c r="V112" s="29">
        <v>46220</v>
      </c>
      <c r="W112" s="188">
        <v>46225</v>
      </c>
      <c r="X112" s="235" t="s">
        <v>240</v>
      </c>
      <c r="Y112" s="230"/>
      <c r="Z112" s="227"/>
      <c r="AA112" s="29">
        <f t="shared" si="21"/>
        <v>46232</v>
      </c>
      <c r="AB112" s="229"/>
      <c r="AC112" s="229" t="str">
        <f t="shared" si="22"/>
        <v/>
      </c>
      <c r="AD112" s="337" t="str">
        <f t="shared" ref="AD112" si="48">IF(AC112="Late Resubmission",IF(AB112="","",AB112-AA112),IF(AC112="Not submit yet",IF(AA112="","",$J$1-AA112),""))</f>
        <v/>
      </c>
      <c r="AE112" s="92" t="s">
        <v>938</v>
      </c>
      <c r="AG112" s="238" t="str">
        <f t="shared" si="14"/>
        <v>LTIA-5.10-VIETUR-70000-RFA-OTH-0732</v>
      </c>
      <c r="AH112" s="243" t="b" cm="1">
        <f t="array" ref="AH112">$E112=_xlfn.XLOOKUP(
AG112,
_xlfn._xlws.FILTER($AG$7:$AG$4572,$L$7:$L$4572&lt;&gt;"X"),
_xlfn._xlws.FILTER($E$7:$E$4572,$L$7:$L$4572&lt;&gt;"X"),
"",
0,
-1
)</f>
        <v>1</v>
      </c>
      <c r="AI112" s="75" t="str">
        <f t="shared" si="24"/>
        <v>YES</v>
      </c>
    </row>
    <row r="113" spans="1:35" s="9" customFormat="1" ht="110.25">
      <c r="A113" s="33">
        <f t="shared" si="19"/>
        <v>107</v>
      </c>
      <c r="B113" s="330" t="str">
        <f t="shared" ref="B113" si="49">MID(E113, FIND("-", E113) + 1, 4)</f>
        <v>5.10</v>
      </c>
      <c r="C113" s="164" t="s">
        <v>131</v>
      </c>
      <c r="D113" s="137" t="s">
        <v>28</v>
      </c>
      <c r="E113" s="25" t="s">
        <v>923</v>
      </c>
      <c r="F113" s="174">
        <f t="shared" si="29"/>
        <v>46234</v>
      </c>
      <c r="G113" s="31" t="s">
        <v>994</v>
      </c>
      <c r="H113" s="21" t="s">
        <v>924</v>
      </c>
      <c r="I113" s="138" t="s">
        <v>1</v>
      </c>
      <c r="J113" s="164">
        <f t="shared" si="30"/>
        <v>15</v>
      </c>
      <c r="K113" s="47">
        <f t="shared" si="31"/>
        <v>0</v>
      </c>
      <c r="L113" s="164"/>
      <c r="M113" s="40" t="s">
        <v>8</v>
      </c>
      <c r="N113" s="41"/>
      <c r="O113" s="40" t="s">
        <v>8</v>
      </c>
      <c r="P113" s="41"/>
      <c r="Q113" s="40"/>
      <c r="R113" s="155"/>
      <c r="S113" s="27">
        <v>46213</v>
      </c>
      <c r="T113" s="27">
        <v>46213</v>
      </c>
      <c r="U113" s="188">
        <v>46213</v>
      </c>
      <c r="V113" s="29">
        <v>46223</v>
      </c>
      <c r="W113" s="188">
        <v>46228</v>
      </c>
      <c r="X113" s="235" t="s">
        <v>670</v>
      </c>
      <c r="Y113" s="230"/>
      <c r="Z113" s="227"/>
      <c r="AA113" s="29">
        <f t="shared" si="21"/>
        <v>46235</v>
      </c>
      <c r="AB113" s="229">
        <v>46289</v>
      </c>
      <c r="AC113" s="229" t="str">
        <f t="shared" si="22"/>
        <v/>
      </c>
      <c r="AD113" s="337" t="str">
        <f t="shared" ref="AD113" si="50">IF(AC113="Late Resubmission",IF(AB113="","",AB113-AA113),IF(AC113="Not submit yet",IF(AA113="","",$J$1-AA113),""))</f>
        <v/>
      </c>
      <c r="AE113" s="92"/>
      <c r="AG113" s="238" t="str">
        <f t="shared" si="14"/>
        <v>LTIA-5.10-VIETUR-70000-RFA-OTH-0733</v>
      </c>
      <c r="AH113" s="243" t="b" cm="1">
        <f t="array" ref="AH113">$E113=_xlfn.XLOOKUP(
AG113,
_xlfn._xlws.FILTER($AG$7:$AG$4572,$L$7:$L$4572&lt;&gt;"X"),
_xlfn._xlws.FILTER($E$7:$E$4572,$L$7:$L$4572&lt;&gt;"X"),
"",
0,
-1
)</f>
        <v>0</v>
      </c>
      <c r="AI113" s="75" t="str">
        <f t="shared" si="24"/>
        <v/>
      </c>
    </row>
    <row r="114" spans="1:35" s="9" customFormat="1" ht="47.25">
      <c r="A114" s="33">
        <f t="shared" si="19"/>
        <v>108</v>
      </c>
      <c r="B114" s="330" t="str">
        <f t="shared" ref="B114" si="51">MID(E114, FIND("-", E114) + 1, 4)</f>
        <v>5.11</v>
      </c>
      <c r="C114" s="164" t="s">
        <v>725</v>
      </c>
      <c r="D114" s="137" t="s">
        <v>30</v>
      </c>
      <c r="E114" s="25" t="s">
        <v>946</v>
      </c>
      <c r="F114" s="174">
        <f t="shared" si="29"/>
        <v>46251</v>
      </c>
      <c r="G114" s="31" t="s">
        <v>947</v>
      </c>
      <c r="H114" s="21" t="s">
        <v>948</v>
      </c>
      <c r="I114" s="138" t="s">
        <v>3</v>
      </c>
      <c r="J114" s="164">
        <f t="shared" si="30"/>
        <v>16</v>
      </c>
      <c r="K114" s="47">
        <f t="shared" si="31"/>
        <v>0</v>
      </c>
      <c r="L114" s="164"/>
      <c r="M114" s="40" t="s">
        <v>8</v>
      </c>
      <c r="N114" s="41"/>
      <c r="O114" s="40" t="s">
        <v>8</v>
      </c>
      <c r="P114" s="41"/>
      <c r="Q114" s="40"/>
      <c r="R114" s="155"/>
      <c r="S114" s="27">
        <v>46230</v>
      </c>
      <c r="T114" s="27">
        <v>46230</v>
      </c>
      <c r="U114" s="188">
        <v>46230</v>
      </c>
      <c r="V114" s="29">
        <v>46240</v>
      </c>
      <c r="W114" s="188">
        <v>46246</v>
      </c>
      <c r="X114" s="235" t="s">
        <v>240</v>
      </c>
      <c r="Y114" s="230"/>
      <c r="Z114" s="227"/>
      <c r="AA114" s="29" t="b">
        <f t="shared" si="21"/>
        <v>0</v>
      </c>
      <c r="AB114" s="229"/>
      <c r="AC114" s="229" t="str">
        <f t="shared" si="22"/>
        <v/>
      </c>
      <c r="AD114" s="337" t="str">
        <f t="shared" ref="AD114" si="52">IF(AC114="Late Resubmission",IF(AB114="","",AB114-AA114),IF(AC114="Not submit yet",IF(AA114="","",$J$1-AA114),""))</f>
        <v/>
      </c>
      <c r="AE114" s="92" t="s">
        <v>1019</v>
      </c>
      <c r="AG114" s="238" t="str">
        <f t="shared" si="14"/>
        <v>LTIA-5.11-LTICT-71000-RFA-MAS-0019</v>
      </c>
      <c r="AH114" s="243" t="b" cm="1">
        <f t="array" ref="AH114">$E114=_xlfn.XLOOKUP(
AG114,
_xlfn._xlws.FILTER($AG$7:$AG$4572,$L$7:$L$4572&lt;&gt;"X"),
_xlfn._xlws.FILTER($E$7:$E$4572,$L$7:$L$4572&lt;&gt;"X"),
"",
0,
-1
)</f>
        <v>1</v>
      </c>
      <c r="AI114" s="75" t="str">
        <f t="shared" si="24"/>
        <v/>
      </c>
    </row>
    <row r="115" spans="1:35" s="9" customFormat="1" ht="63">
      <c r="A115" s="33">
        <f t="shared" si="19"/>
        <v>109</v>
      </c>
      <c r="B115" s="330" t="str">
        <f t="shared" ref="B115" si="53">MID(E115, FIND("-", E115) + 1, 4)</f>
        <v>5.10</v>
      </c>
      <c r="C115" s="164" t="s">
        <v>195</v>
      </c>
      <c r="D115" s="137" t="s">
        <v>28</v>
      </c>
      <c r="E115" s="25" t="s">
        <v>957</v>
      </c>
      <c r="F115" s="174">
        <f t="shared" si="29"/>
        <v>46310</v>
      </c>
      <c r="G115" s="31" t="s">
        <v>855</v>
      </c>
      <c r="H115" s="21" t="s">
        <v>856</v>
      </c>
      <c r="I115" s="138" t="s">
        <v>2</v>
      </c>
      <c r="J115" s="164">
        <f t="shared" si="30"/>
        <v>8</v>
      </c>
      <c r="K115" s="47">
        <f t="shared" si="31"/>
        <v>0</v>
      </c>
      <c r="L115" s="164"/>
      <c r="M115" s="40" t="s">
        <v>8</v>
      </c>
      <c r="N115" s="41"/>
      <c r="O115" s="40" t="s">
        <v>8</v>
      </c>
      <c r="P115" s="41"/>
      <c r="Q115" s="40"/>
      <c r="R115" s="155" t="s">
        <v>3</v>
      </c>
      <c r="S115" s="27">
        <v>46247</v>
      </c>
      <c r="T115" s="27">
        <v>46247</v>
      </c>
      <c r="U115" s="188">
        <v>46289</v>
      </c>
      <c r="V115" s="29">
        <v>46290</v>
      </c>
      <c r="W115" s="188">
        <v>46297</v>
      </c>
      <c r="X115" s="235" t="s">
        <v>240</v>
      </c>
      <c r="Y115" s="230"/>
      <c r="Z115" s="227"/>
      <c r="AA115" s="29" t="str">
        <f t="shared" si="21"/>
        <v/>
      </c>
      <c r="AB115" s="229"/>
      <c r="AC115" s="229" t="str">
        <f t="shared" si="22"/>
        <v/>
      </c>
      <c r="AD115" s="337" t="str">
        <f t="shared" ref="AD115" si="54">IF(AC115="Late Resubmission",IF(AB115="","",AB115-AA115),IF(AC115="Not submit yet",IF(AA115="","",$J$1-AA115),""))</f>
        <v/>
      </c>
      <c r="AE115" s="92" t="s">
        <v>1026</v>
      </c>
      <c r="AG115" s="238" t="str">
        <f t="shared" si="14"/>
        <v>LTIA-5.10-VIETUR-70000-RFA-OTH-0725</v>
      </c>
      <c r="AH115" s="243" t="b" cm="1">
        <f t="array" ref="AH115">$E115=_xlfn.XLOOKUP(
AG115,
_xlfn._xlws.FILTER($AG$7:$AG$4572,$L$7:$L$4572&lt;&gt;"X"),
_xlfn._xlws.FILTER($E$7:$E$4572,$L$7:$L$4572&lt;&gt;"X"),
"",
0,
-1
)</f>
        <v>1</v>
      </c>
      <c r="AI115" s="75" t="str">
        <f t="shared" si="24"/>
        <v/>
      </c>
    </row>
    <row r="116" spans="1:35" s="9" customFormat="1" ht="63">
      <c r="A116" s="33">
        <f t="shared" si="19"/>
        <v>110</v>
      </c>
      <c r="B116" s="330" t="str">
        <f t="shared" ref="B116" si="55">MID(E116, FIND("-", E116) + 1, 4)</f>
        <v>5.10</v>
      </c>
      <c r="C116" s="164" t="s">
        <v>144</v>
      </c>
      <c r="D116" s="137" t="s">
        <v>28</v>
      </c>
      <c r="E116" s="25" t="s">
        <v>958</v>
      </c>
      <c r="F116" s="174">
        <f t="shared" si="29"/>
        <v>46268</v>
      </c>
      <c r="G116" s="31" t="s">
        <v>870</v>
      </c>
      <c r="H116" s="21" t="s">
        <v>871</v>
      </c>
      <c r="I116" s="138" t="s">
        <v>2</v>
      </c>
      <c r="J116" s="164">
        <f t="shared" si="30"/>
        <v>22</v>
      </c>
      <c r="K116" s="47">
        <f t="shared" si="31"/>
        <v>1</v>
      </c>
      <c r="L116" s="164"/>
      <c r="M116" s="40" t="s">
        <v>8</v>
      </c>
      <c r="N116" s="41"/>
      <c r="O116" s="40" t="s">
        <v>8</v>
      </c>
      <c r="P116" s="41"/>
      <c r="Q116" s="40"/>
      <c r="R116" s="155" t="s">
        <v>3</v>
      </c>
      <c r="S116" s="27">
        <v>46247</v>
      </c>
      <c r="T116" s="27">
        <v>46247</v>
      </c>
      <c r="U116" s="188">
        <v>46247</v>
      </c>
      <c r="V116" s="29">
        <v>46268</v>
      </c>
      <c r="W116" s="188">
        <v>46269</v>
      </c>
      <c r="X116" s="235" t="s">
        <v>240</v>
      </c>
      <c r="Y116" s="230">
        <v>46287</v>
      </c>
      <c r="Z116" s="227">
        <v>46287</v>
      </c>
      <c r="AA116" s="29" t="str">
        <f t="shared" si="21"/>
        <v/>
      </c>
      <c r="AB116" s="229"/>
      <c r="AC116" s="229" t="str">
        <f t="shared" si="22"/>
        <v/>
      </c>
      <c r="AD116" s="337" t="str">
        <f t="shared" ref="AD116" si="56">IF(AC116="Late Resubmission",IF(AB116="","",AB116-AA116),IF(AC116="Not submit yet",IF(AA116="","",$J$1-AA116),""))</f>
        <v/>
      </c>
      <c r="AE116" s="92" t="s">
        <v>1016</v>
      </c>
      <c r="AG116" s="238" t="str">
        <f t="shared" si="14"/>
        <v>LTIA-5.10-VIETUR-70000-RFA-OTH-0712</v>
      </c>
      <c r="AH116" s="243" t="b" cm="1">
        <f t="array" ref="AH116">$E116=_xlfn.XLOOKUP(
AG116,
_xlfn._xlws.FILTER($AG$7:$AG$4572,$L$7:$L$4572&lt;&gt;"X"),
_xlfn._xlws.FILTER($E$7:$E$4572,$L$7:$L$4572&lt;&gt;"X"),
"",
0,
-1
)</f>
        <v>1</v>
      </c>
      <c r="AI116" s="75" t="str">
        <f t="shared" si="24"/>
        <v/>
      </c>
    </row>
    <row r="117" spans="1:35" s="9" customFormat="1" ht="94.5">
      <c r="A117" s="33">
        <f t="shared" si="19"/>
        <v>111</v>
      </c>
      <c r="B117" s="330" t="str">
        <f t="shared" ref="B117" si="57">MID(E117, FIND("-", E117) + 1, 4)</f>
        <v>5.11</v>
      </c>
      <c r="C117" s="164"/>
      <c r="D117" s="137" t="s">
        <v>28</v>
      </c>
      <c r="E117" s="25" t="s">
        <v>959</v>
      </c>
      <c r="F117" s="174">
        <f t="shared" si="29"/>
        <v>46268</v>
      </c>
      <c r="G117" s="31" t="s">
        <v>960</v>
      </c>
      <c r="H117" s="21" t="s">
        <v>961</v>
      </c>
      <c r="I117" s="138"/>
      <c r="J117" s="164">
        <f t="shared" ca="1" si="30"/>
        <v>62</v>
      </c>
      <c r="K117" s="47">
        <f t="shared" ca="1" si="31"/>
        <v>41</v>
      </c>
      <c r="L117" s="164" t="s">
        <v>1003</v>
      </c>
      <c r="M117" s="40" t="s">
        <v>8</v>
      </c>
      <c r="N117" s="41"/>
      <c r="O117" s="40"/>
      <c r="P117" s="41"/>
      <c r="Q117" s="40"/>
      <c r="R117" s="155"/>
      <c r="S117" s="27">
        <v>46247</v>
      </c>
      <c r="T117" s="27">
        <v>46247</v>
      </c>
      <c r="U117" s="188">
        <v>46247</v>
      </c>
      <c r="V117" s="29"/>
      <c r="W117" s="188"/>
      <c r="X117" s="235"/>
      <c r="Y117" s="230"/>
      <c r="Z117" s="227"/>
      <c r="AA117" s="29" t="str">
        <f t="shared" si="21"/>
        <v/>
      </c>
      <c r="AB117" s="229"/>
      <c r="AC117" s="229" t="str">
        <f t="shared" si="22"/>
        <v/>
      </c>
      <c r="AD117" s="337" t="str">
        <f t="shared" ref="AD117" si="58">IF(AC117="Late Resubmission",IF(AB117="","",AB117-AA117),IF(AC117="Not submit yet",IF(AA117="","",$J$1-AA117),""))</f>
        <v/>
      </c>
      <c r="AE117" s="92" t="s">
        <v>1001</v>
      </c>
      <c r="AG117" s="238" t="str">
        <f t="shared" si="14"/>
        <v>LTIA-5.11-LTICT-RFA-OTH-0011</v>
      </c>
      <c r="AH117" s="243" t="b" cm="1">
        <f t="array" ref="AH117">$E117=_xlfn.XLOOKUP(
AG117,
_xlfn._xlws.FILTER($AG$7:$AG$4572,$L$7:$L$4572&lt;&gt;"X"),
_xlfn._xlws.FILTER($E$7:$E$4572,$L$7:$L$4572&lt;&gt;"X"),
"",
0,
-1
)</f>
        <v>1</v>
      </c>
      <c r="AI117" s="75" t="str">
        <f t="shared" si="24"/>
        <v/>
      </c>
    </row>
    <row r="118" spans="1:35" s="9" customFormat="1" ht="78.75">
      <c r="A118" s="33">
        <f t="shared" si="19"/>
        <v>112</v>
      </c>
      <c r="B118" s="330" t="str">
        <f t="shared" ref="B118" si="59">MID(E118, FIND("-", E118) + 1, 4)</f>
        <v>5.10</v>
      </c>
      <c r="C118" s="164" t="s">
        <v>131</v>
      </c>
      <c r="D118" s="137" t="s">
        <v>30</v>
      </c>
      <c r="E118" s="25" t="s">
        <v>962</v>
      </c>
      <c r="F118" s="174">
        <f t="shared" si="29"/>
        <v>46268</v>
      </c>
      <c r="G118" s="31" t="s">
        <v>963</v>
      </c>
      <c r="H118" s="21" t="s">
        <v>964</v>
      </c>
      <c r="I118" s="138"/>
      <c r="J118" s="164"/>
      <c r="K118" s="47"/>
      <c r="L118" s="164" t="s">
        <v>13</v>
      </c>
      <c r="M118" s="40" t="s">
        <v>8</v>
      </c>
      <c r="N118" s="41"/>
      <c r="O118" s="40"/>
      <c r="P118" s="41"/>
      <c r="Q118" s="40"/>
      <c r="R118" s="155"/>
      <c r="S118" s="27">
        <v>46247</v>
      </c>
      <c r="T118" s="27">
        <v>46247</v>
      </c>
      <c r="U118" s="188">
        <v>46247</v>
      </c>
      <c r="V118" s="29"/>
      <c r="W118" s="188"/>
      <c r="X118" s="235"/>
      <c r="Y118" s="230"/>
      <c r="Z118" s="227"/>
      <c r="AA118" s="29" t="str">
        <f t="shared" si="21"/>
        <v/>
      </c>
      <c r="AB118" s="229"/>
      <c r="AC118" s="229" t="str">
        <f t="shared" si="22"/>
        <v/>
      </c>
      <c r="AD118" s="337" t="str">
        <f t="shared" ref="AD118" si="60">IF(AC118="Late Resubmission",IF(AB118="","",AB118-AA118),IF(AC118="Not submit yet",IF(AA118="","",$J$1-AA118),""))</f>
        <v/>
      </c>
      <c r="AE118" s="92" t="s">
        <v>852</v>
      </c>
      <c r="AG118" s="238" t="str">
        <f t="shared" si="14"/>
        <v>LTIA-5.10-VIETUR-70000-RFA-MAS-0814</v>
      </c>
      <c r="AH118" s="243" t="b" cm="1">
        <f t="array" ref="AH118">$E118=_xlfn.XLOOKUP(
AG118,
_xlfn._xlws.FILTER($AG$7:$AG$4572,$L$7:$L$4572&lt;&gt;"X"),
_xlfn._xlws.FILTER($E$7:$E$4572,$L$7:$L$4572&lt;&gt;"X"),
"",
0,
-1
)</f>
        <v>1</v>
      </c>
      <c r="AI118" s="75" t="str">
        <f t="shared" si="24"/>
        <v/>
      </c>
    </row>
    <row r="119" spans="1:35" s="9" customFormat="1" ht="47.25">
      <c r="A119" s="33">
        <f t="shared" si="19"/>
        <v>113</v>
      </c>
      <c r="B119" s="330" t="str">
        <f t="shared" ref="B119" si="61">MID(E119, FIND("-", E119) + 1, 4)</f>
        <v>5.11</v>
      </c>
      <c r="C119" s="164" t="s">
        <v>621</v>
      </c>
      <c r="D119" s="137" t="s">
        <v>28</v>
      </c>
      <c r="E119" s="25" t="s">
        <v>1067</v>
      </c>
      <c r="F119" s="174">
        <f t="shared" si="29"/>
        <v>46275</v>
      </c>
      <c r="G119" s="31" t="s">
        <v>965</v>
      </c>
      <c r="H119" s="21" t="s">
        <v>966</v>
      </c>
      <c r="I119" s="138" t="s">
        <v>3</v>
      </c>
      <c r="J119" s="164">
        <f t="shared" si="30"/>
        <v>33</v>
      </c>
      <c r="K119" s="47">
        <f t="shared" si="31"/>
        <v>12</v>
      </c>
      <c r="L119" s="164"/>
      <c r="M119" s="40" t="s">
        <v>8</v>
      </c>
      <c r="N119" s="41"/>
      <c r="O119" s="40" t="s">
        <v>8</v>
      </c>
      <c r="P119" s="41"/>
      <c r="Q119" s="40"/>
      <c r="R119" s="155"/>
      <c r="S119" s="27">
        <v>46254</v>
      </c>
      <c r="T119" s="27">
        <v>46254</v>
      </c>
      <c r="U119" s="188">
        <v>46254</v>
      </c>
      <c r="V119" s="29">
        <v>46265</v>
      </c>
      <c r="W119" s="188">
        <v>46287</v>
      </c>
      <c r="X119" s="235" t="s">
        <v>670</v>
      </c>
      <c r="Y119" s="230"/>
      <c r="Z119" s="227"/>
      <c r="AA119" s="29" t="b">
        <f t="shared" si="21"/>
        <v>0</v>
      </c>
      <c r="AB119" s="229">
        <v>46301</v>
      </c>
      <c r="AC119" s="229" t="str">
        <f t="shared" si="22"/>
        <v/>
      </c>
      <c r="AD119" s="337" t="str">
        <f t="shared" ref="AD119" si="62">IF(AC119="Late Resubmission",IF(AB119="","",AB119-AA119),IF(AC119="Not submit yet",IF(AA119="","",$J$1-AA119),""))</f>
        <v/>
      </c>
      <c r="AE119" s="92" t="s">
        <v>1012</v>
      </c>
      <c r="AG119" s="238" t="str">
        <f t="shared" si="14"/>
        <v>LTIA-5.11-LTICT- 71110 -RFA-OTH-0012</v>
      </c>
      <c r="AH119" s="243" t="b" cm="1">
        <f t="array" ref="AH119">$E119=_xlfn.XLOOKUP(
AG119,
_xlfn._xlws.FILTER($AG$7:$AG$4572,$L$7:$L$4572&lt;&gt;"X"),
_xlfn._xlws.FILTER($E$7:$E$4572,$L$7:$L$4572&lt;&gt;"X"),
"",
0,
-1
)</f>
        <v>0</v>
      </c>
      <c r="AI119" s="75" t="str">
        <f t="shared" si="24"/>
        <v/>
      </c>
    </row>
    <row r="120" spans="1:35" s="9" customFormat="1" ht="63">
      <c r="A120" s="33">
        <f t="shared" si="19"/>
        <v>114</v>
      </c>
      <c r="B120" s="330" t="str">
        <f t="shared" ref="B120" si="63">MID(E120, FIND("-", E120) + 1, 4)</f>
        <v>5.10</v>
      </c>
      <c r="C120" s="164" t="s">
        <v>197</v>
      </c>
      <c r="D120" s="137" t="s">
        <v>28</v>
      </c>
      <c r="E120" s="25" t="s">
        <v>967</v>
      </c>
      <c r="F120" s="174">
        <f t="shared" si="29"/>
        <v>46276</v>
      </c>
      <c r="G120" s="31" t="s">
        <v>968</v>
      </c>
      <c r="H120" s="21" t="s">
        <v>969</v>
      </c>
      <c r="I120" s="138" t="s">
        <v>1</v>
      </c>
      <c r="J120" s="164">
        <f t="shared" si="30"/>
        <v>20</v>
      </c>
      <c r="K120" s="47">
        <f t="shared" si="31"/>
        <v>0</v>
      </c>
      <c r="L120" s="164"/>
      <c r="M120" s="40" t="s">
        <v>8</v>
      </c>
      <c r="N120" s="41"/>
      <c r="O120" s="40" t="s">
        <v>8</v>
      </c>
      <c r="P120" s="41"/>
      <c r="Q120" s="40"/>
      <c r="R120" s="155"/>
      <c r="S120" s="27">
        <v>46255</v>
      </c>
      <c r="T120" s="27">
        <v>46255</v>
      </c>
      <c r="U120" s="188">
        <v>46255</v>
      </c>
      <c r="V120" s="29">
        <v>46272</v>
      </c>
      <c r="W120" s="188">
        <v>46275</v>
      </c>
      <c r="X120" s="235" t="s">
        <v>240</v>
      </c>
      <c r="Y120" s="230"/>
      <c r="Z120" s="227"/>
      <c r="AA120" s="29">
        <f t="shared" si="21"/>
        <v>46282</v>
      </c>
      <c r="AB120" s="229"/>
      <c r="AC120" s="229" t="str">
        <f t="shared" si="22"/>
        <v/>
      </c>
      <c r="AD120" s="337" t="str">
        <f t="shared" ref="AD120" si="64">IF(AC120="Late Resubmission",IF(AB120="","",AB120-AA120),IF(AC120="Not submit yet",IF(AA120="","",$J$1-AA120),""))</f>
        <v/>
      </c>
      <c r="AE120" s="92" t="s">
        <v>1014</v>
      </c>
      <c r="AG120" s="238" t="str">
        <f t="shared" si="14"/>
        <v>LTIA-5.10-VIETUR-72150-RFA-OTH-0750</v>
      </c>
      <c r="AH120" s="243" t="b" cm="1">
        <f t="array" ref="AH120">$E120=_xlfn.XLOOKUP(
AG120,
_xlfn._xlws.FILTER($AG$7:$AG$4572,$L$7:$L$4572&lt;&gt;"X"),
_xlfn._xlws.FILTER($E$7:$E$4572,$L$7:$L$4572&lt;&gt;"X"),
"",
0,
-1
)</f>
        <v>1</v>
      </c>
      <c r="AI120" s="75" t="str">
        <f>IF($AH120,IF(OR($R120="B",$R120="C"),"YES",IF($R120="",IF(OR($I120="B",$I120="C"),"YES",""),"")),"")</f>
        <v>YES</v>
      </c>
    </row>
    <row r="121" spans="1:35" s="9" customFormat="1" ht="63">
      <c r="A121" s="33">
        <f t="shared" si="19"/>
        <v>115</v>
      </c>
      <c r="B121" s="330" t="str">
        <f t="shared" ref="B121" si="65">MID(E121, FIND("-", E121) + 1, 4)</f>
        <v>5.10</v>
      </c>
      <c r="C121" s="164" t="s">
        <v>151</v>
      </c>
      <c r="D121" s="137" t="s">
        <v>28</v>
      </c>
      <c r="E121" s="25" t="s">
        <v>973</v>
      </c>
      <c r="F121" s="174">
        <f t="shared" si="29"/>
        <v>46283</v>
      </c>
      <c r="G121" s="31" t="s">
        <v>847</v>
      </c>
      <c r="H121" s="21" t="s">
        <v>848</v>
      </c>
      <c r="I121" s="138"/>
      <c r="J121" s="164"/>
      <c r="K121" s="47"/>
      <c r="L121" s="164" t="s">
        <v>13</v>
      </c>
      <c r="M121" s="40" t="s">
        <v>8</v>
      </c>
      <c r="N121" s="41"/>
      <c r="O121" s="40"/>
      <c r="P121" s="41"/>
      <c r="Q121" s="40"/>
      <c r="R121" s="155"/>
      <c r="S121" s="27">
        <v>46262</v>
      </c>
      <c r="T121" s="27">
        <v>46262</v>
      </c>
      <c r="U121" s="188">
        <v>46262</v>
      </c>
      <c r="V121" s="29"/>
      <c r="W121" s="188"/>
      <c r="X121" s="235"/>
      <c r="Y121" s="230"/>
      <c r="Z121" s="227"/>
      <c r="AA121" s="29" t="str">
        <f>IF(AND($R121="",$I121=""),"",IF(OR($R121="B",$R121="C"),IF($Z121&lt;&gt;"",$Z121+7,IF($Y121&lt;&gt;"",$Y121+8,"")),IF($R121="",IF(OR($I121="B",$I121="C"),IF($W121&lt;&gt;"",$W121+7,IF($V121&lt;&gt;"",$V121+8,""))),"")))</f>
        <v/>
      </c>
      <c r="AB121" s="229"/>
      <c r="AC121" s="229" t="str">
        <f t="shared" si="22"/>
        <v/>
      </c>
      <c r="AD121" s="337" t="str">
        <f t="shared" ref="AD121" si="66">IF(AC121="Late Resubmission",IF(AB121="","",AB121-AA121),IF(AC121="Not submit yet",IF(AA121="","",$J$1-AA121),""))</f>
        <v/>
      </c>
      <c r="AE121" s="92" t="s">
        <v>996</v>
      </c>
      <c r="AG121" s="238" t="str">
        <f t="shared" si="14"/>
        <v>LTIA-5.10-VIETUR-70000-RFA-OTH-0754</v>
      </c>
      <c r="AH121" s="243" t="b" cm="1">
        <f t="array" ref="AH121">$E121=_xlfn.XLOOKUP(
AG121,
_xlfn._xlws.FILTER($AG$7:$AG$4572,$L$7:$L$4572&lt;&gt;"X"),
_xlfn._xlws.FILTER($E$7:$E$4572,$L$7:$L$4572&lt;&gt;"X"),
"",
0,
-1
)</f>
        <v>0</v>
      </c>
      <c r="AI121" s="75" t="str">
        <f>IF($AH121,IF(OR($R121="B",$R121="C"),"YES",IF($R121="",IF(OR($I121="B",$I121="C"),"YES",""),"")),"")</f>
        <v/>
      </c>
    </row>
    <row r="122" spans="1:35" s="9" customFormat="1" ht="63">
      <c r="A122" s="33">
        <f t="shared" si="19"/>
        <v>116</v>
      </c>
      <c r="B122" s="330" t="str">
        <f t="shared" ref="B122" si="67">MID(E122, FIND("-", E122) + 1, 4)</f>
        <v>5.10</v>
      </c>
      <c r="C122" s="164" t="s">
        <v>151</v>
      </c>
      <c r="D122" s="137" t="s">
        <v>28</v>
      </c>
      <c r="E122" s="25" t="s">
        <v>974</v>
      </c>
      <c r="F122" s="174">
        <f t="shared" si="29"/>
        <v>46283</v>
      </c>
      <c r="G122" s="31" t="s">
        <v>847</v>
      </c>
      <c r="H122" s="21" t="s">
        <v>848</v>
      </c>
      <c r="I122" s="138" t="s">
        <v>2</v>
      </c>
      <c r="J122" s="164">
        <f t="shared" si="30"/>
        <v>17</v>
      </c>
      <c r="K122" s="47">
        <f t="shared" si="31"/>
        <v>0</v>
      </c>
      <c r="L122" s="164"/>
      <c r="M122" s="40" t="s">
        <v>8</v>
      </c>
      <c r="N122" s="41"/>
      <c r="O122" s="40" t="s">
        <v>8</v>
      </c>
      <c r="P122" s="41"/>
      <c r="Q122" s="40"/>
      <c r="R122" s="155"/>
      <c r="S122" s="27">
        <v>46262</v>
      </c>
      <c r="T122" s="27">
        <v>46262</v>
      </c>
      <c r="U122" s="188">
        <v>46262</v>
      </c>
      <c r="V122" s="29">
        <v>46276</v>
      </c>
      <c r="W122" s="188">
        <v>46279</v>
      </c>
      <c r="X122" s="235" t="s">
        <v>240</v>
      </c>
      <c r="Y122" s="230"/>
      <c r="Z122" s="227"/>
      <c r="AA122" s="29">
        <f t="shared" ref="AA122:AA137" si="68">IF(AND($R122="",$I122=""),"",IF(OR($R122="B",$R122="C"),IF($Z122&lt;&gt;"",$Z122+7,IF($Y122&lt;&gt;"",$Y122+8,"")),IF($R122="",IF(OR($I122="B",$I122="C"),IF($W122&lt;&gt;"",$W122+7,IF($V122&lt;&gt;"",$V122+8,""))),"")))</f>
        <v>46286</v>
      </c>
      <c r="AB122" s="229"/>
      <c r="AC122" s="229" t="str">
        <f t="shared" si="22"/>
        <v/>
      </c>
      <c r="AD122" s="337" t="str">
        <f t="shared" ref="AD122" si="69">IF(AC122="Late Resubmission",IF(AB122="","",AB122-AA122),IF(AC122="Not submit yet",IF(AA122="","",$J$1-AA122),""))</f>
        <v/>
      </c>
      <c r="AE122" s="92"/>
      <c r="AG122" s="238" t="str">
        <f t="shared" si="14"/>
        <v>LTIA-5.10-VIETUR-70000-RFA-OTH-0721</v>
      </c>
      <c r="AH122" s="243" t="b" cm="1">
        <f t="array" ref="AH122">$E122=_xlfn.XLOOKUP(
AG122,
_xlfn._xlws.FILTER($AG$7:$AG$4572,$L$7:$L$4572&lt;&gt;"X"),
_xlfn._xlws.FILTER($E$7:$E$4572,$L$7:$L$4572&lt;&gt;"X"),
"",
0,
-1
)</f>
        <v>1</v>
      </c>
      <c r="AI122" s="75" t="str">
        <f>IF($AH122,IF(OR($R122="B",$R122="C"),"YES",IF($R122="",IF(OR($I122="B",$I122="C"),"YES",""),"")),"")</f>
        <v>YES</v>
      </c>
    </row>
    <row r="123" spans="1:35" s="9" customFormat="1" ht="110.25">
      <c r="A123" s="33">
        <f t="shared" si="19"/>
        <v>117</v>
      </c>
      <c r="B123" s="330" t="str">
        <f t="shared" ref="B123" si="70">MID(E123, FIND("-", E123) + 1, 4)</f>
        <v>5.10</v>
      </c>
      <c r="C123" s="164" t="s">
        <v>131</v>
      </c>
      <c r="D123" s="137" t="s">
        <v>28</v>
      </c>
      <c r="E123" s="25" t="s">
        <v>977</v>
      </c>
      <c r="F123" s="174">
        <f t="shared" si="29"/>
        <v>46293</v>
      </c>
      <c r="G123" s="31" t="s">
        <v>978</v>
      </c>
      <c r="H123" s="21" t="s">
        <v>924</v>
      </c>
      <c r="I123" s="138"/>
      <c r="J123" s="164"/>
      <c r="K123" s="47"/>
      <c r="L123" s="164" t="s">
        <v>13</v>
      </c>
      <c r="M123" s="40" t="s">
        <v>8</v>
      </c>
      <c r="N123" s="41"/>
      <c r="O123" s="40"/>
      <c r="P123" s="41"/>
      <c r="Q123" s="40"/>
      <c r="R123" s="155"/>
      <c r="S123" s="27">
        <v>46272</v>
      </c>
      <c r="T123" s="27">
        <v>46272</v>
      </c>
      <c r="U123" s="188">
        <v>46272</v>
      </c>
      <c r="V123" s="29"/>
      <c r="W123" s="188"/>
      <c r="X123" s="235"/>
      <c r="Y123" s="230"/>
      <c r="Z123" s="227"/>
      <c r="AA123" s="29" t="str">
        <f t="shared" si="68"/>
        <v/>
      </c>
      <c r="AB123" s="229"/>
      <c r="AC123" s="229" t="str">
        <f t="shared" si="22"/>
        <v/>
      </c>
      <c r="AD123" s="337" t="str">
        <f t="shared" ref="AD123" si="71">IF(AC123="Late Resubmission",IF(AB123="","",AB123-AA123),IF(AC123="Not submit yet",IF(AA123="","",$J$1-AA123),""))</f>
        <v/>
      </c>
      <c r="AE123" s="92" t="s">
        <v>999</v>
      </c>
      <c r="AG123" s="238" t="str">
        <f t="shared" si="14"/>
        <v>LTIA-5.10-VIETUR-70000-RFA-OTH-0757</v>
      </c>
      <c r="AH123" s="243" t="b" cm="1">
        <f t="array" ref="AH123">$E123=_xlfn.XLOOKUP(
AG123,
_xlfn._xlws.FILTER($AG$7:$AG$4572,$L$7:$L$4572&lt;&gt;"X"),
_xlfn._xlws.FILTER($E$7:$E$4572,$L$7:$L$4572&lt;&gt;"X"),
"",
0,
-1
)</f>
        <v>0</v>
      </c>
      <c r="AI123" s="75" t="str">
        <f>IF($AH123,IF(OR($R123="B",$R123="C"),"YES",IF($R123="",IF(OR($I123="B",$I123="C"),"YES",""),"")),"")</f>
        <v/>
      </c>
    </row>
    <row r="124" spans="1:35" s="9" customFormat="1" ht="47.25">
      <c r="A124" s="33">
        <f t="shared" si="19"/>
        <v>118</v>
      </c>
      <c r="B124" s="330" t="str">
        <f t="shared" ref="B124:B125" si="72">MID(E124, FIND("-", E124) + 1, 4)</f>
        <v>5.10</v>
      </c>
      <c r="C124" s="164" t="s">
        <v>556</v>
      </c>
      <c r="D124" s="137" t="s">
        <v>30</v>
      </c>
      <c r="E124" s="25" t="s">
        <v>981</v>
      </c>
      <c r="F124" s="174">
        <f t="shared" si="29"/>
        <v>46324</v>
      </c>
      <c r="G124" s="31" t="s">
        <v>982</v>
      </c>
      <c r="H124" s="21" t="s">
        <v>983</v>
      </c>
      <c r="I124" s="138" t="s">
        <v>3</v>
      </c>
      <c r="J124" s="164">
        <f t="shared" si="30"/>
        <v>1</v>
      </c>
      <c r="K124" s="47">
        <f t="shared" si="31"/>
        <v>0</v>
      </c>
      <c r="L124" s="164"/>
      <c r="M124" s="40" t="s">
        <v>8</v>
      </c>
      <c r="N124" s="41"/>
      <c r="O124" s="40" t="s">
        <v>8</v>
      </c>
      <c r="P124" s="41"/>
      <c r="Q124" s="40"/>
      <c r="R124" s="155"/>
      <c r="S124" s="27">
        <v>46280</v>
      </c>
      <c r="T124" s="27">
        <v>46280</v>
      </c>
      <c r="U124" s="188">
        <v>46303</v>
      </c>
      <c r="V124" s="29">
        <v>46275</v>
      </c>
      <c r="W124" s="188">
        <v>46304</v>
      </c>
      <c r="X124" s="235" t="s">
        <v>240</v>
      </c>
      <c r="Y124" s="230"/>
      <c r="Z124" s="227"/>
      <c r="AA124" s="29" t="b">
        <f t="shared" si="68"/>
        <v>0</v>
      </c>
      <c r="AB124" s="229"/>
      <c r="AC124" s="229" t="str">
        <f t="shared" si="22"/>
        <v/>
      </c>
      <c r="AD124" s="337" t="str">
        <f t="shared" ref="AD124:AD125" si="73">IF(AC124="Late Resubmission",IF(AB124="","",AB124-AA124),IF(AC124="Not submit yet",IF(AA124="","",$J$1-AA124),""))</f>
        <v/>
      </c>
      <c r="AE124" s="92" t="s">
        <v>1055</v>
      </c>
      <c r="AG124" s="238" t="str">
        <f t="shared" si="14"/>
        <v xml:space="preserve">LTIA-5.10-VIETUR-70000-RFA-MAS-0821 </v>
      </c>
      <c r="AH124" s="243" t="b" cm="1">
        <f t="array" ref="AH124">$E124=_xlfn.XLOOKUP(
AG124,
_xlfn._xlws.FILTER($AG$7:$AG$4572,$L$7:$L$4572&lt;&gt;"X"),
_xlfn._xlws.FILTER($E$7:$E$4572,$L$7:$L$4572&lt;&gt;"X"),
"",
0,
-1
)</f>
        <v>1</v>
      </c>
      <c r="AI124" s="75" t="str">
        <f t="shared" ref="AI124:AI137" si="74">IF($AH124,IF(OR($R124="B",$R124="C"),"YES",IF($R124="",IF(OR($I124="B",$I124="C"),"YES",""),"")),"")</f>
        <v/>
      </c>
    </row>
    <row r="125" spans="1:35" s="9" customFormat="1" ht="47.25">
      <c r="A125" s="33">
        <f t="shared" si="19"/>
        <v>119</v>
      </c>
      <c r="B125" s="330" t="str">
        <f t="shared" si="72"/>
        <v>5.11</v>
      </c>
      <c r="C125" s="164" t="s">
        <v>656</v>
      </c>
      <c r="D125" s="137" t="s">
        <v>30</v>
      </c>
      <c r="E125" s="25" t="s">
        <v>997</v>
      </c>
      <c r="F125" s="174">
        <f t="shared" si="29"/>
        <v>46310</v>
      </c>
      <c r="G125" s="31" t="s">
        <v>998</v>
      </c>
      <c r="H125" s="21" t="s">
        <v>776</v>
      </c>
      <c r="I125" s="138" t="s">
        <v>3</v>
      </c>
      <c r="J125" s="164">
        <f t="shared" si="30"/>
        <v>11</v>
      </c>
      <c r="K125" s="47">
        <f t="shared" si="31"/>
        <v>0</v>
      </c>
      <c r="L125" s="164"/>
      <c r="M125" s="40" t="s">
        <v>8</v>
      </c>
      <c r="N125" s="41"/>
      <c r="O125" s="40" t="s">
        <v>8</v>
      </c>
      <c r="P125" s="41"/>
      <c r="Q125" s="40"/>
      <c r="R125" s="155"/>
      <c r="S125" s="27">
        <v>46289</v>
      </c>
      <c r="T125" s="27">
        <v>46289</v>
      </c>
      <c r="U125" s="188">
        <v>46289</v>
      </c>
      <c r="V125" s="29">
        <v>46297</v>
      </c>
      <c r="W125" s="188">
        <v>46300</v>
      </c>
      <c r="X125" s="235" t="s">
        <v>240</v>
      </c>
      <c r="Y125" s="230"/>
      <c r="Z125" s="227"/>
      <c r="AA125" s="29" t="b">
        <f t="shared" si="68"/>
        <v>0</v>
      </c>
      <c r="AB125" s="229"/>
      <c r="AC125" s="229" t="str">
        <f t="shared" si="22"/>
        <v/>
      </c>
      <c r="AD125" s="337" t="str">
        <f t="shared" si="73"/>
        <v/>
      </c>
      <c r="AE125" s="92" t="s">
        <v>1024</v>
      </c>
      <c r="AG125" s="238" t="str">
        <f t="shared" ref="AG125:AG135" si="75">IF(AND(RIGHT($E125,1)&gt;="A",RIGHT($E125,1)&lt;="Z"),LEFT($E125,LEN($E125)-1),$E125)</f>
        <v xml:space="preserve"> LTIA-5.11-LTICT-71110-RFA-MAS-0021</v>
      </c>
      <c r="AH125" s="243" t="b" cm="1">
        <f t="array" ref="AH125">$E125=_xlfn.XLOOKUP(
AG125,
_xlfn._xlws.FILTER($AG$7:$AG$4573,$L$7:$L$4573&lt;&gt;"X"),
_xlfn._xlws.FILTER($E$7:$E$4573,$L$7:$L$4573&lt;&gt;"X"),
"",
0,
-1
)</f>
        <v>1</v>
      </c>
      <c r="AI125" s="75" t="str">
        <f t="shared" si="74"/>
        <v/>
      </c>
    </row>
    <row r="126" spans="1:35" s="9" customFormat="1" ht="110.25">
      <c r="A126" s="33">
        <f t="shared" si="19"/>
        <v>120</v>
      </c>
      <c r="B126" s="330" t="str">
        <f t="shared" ref="B126:B129" si="76">MID(E126, FIND("-", E126) + 1, 4)</f>
        <v>5.10</v>
      </c>
      <c r="C126" s="164" t="s">
        <v>131</v>
      </c>
      <c r="D126" s="137" t="s">
        <v>28</v>
      </c>
      <c r="E126" s="25" t="s">
        <v>1000</v>
      </c>
      <c r="F126" s="174">
        <f t="shared" si="29"/>
        <v>46310</v>
      </c>
      <c r="G126" s="31" t="s">
        <v>978</v>
      </c>
      <c r="H126" s="21" t="s">
        <v>924</v>
      </c>
      <c r="I126" s="138" t="s">
        <v>1</v>
      </c>
      <c r="J126" s="164">
        <f t="shared" si="30"/>
        <v>11</v>
      </c>
      <c r="K126" s="47">
        <f t="shared" si="31"/>
        <v>0</v>
      </c>
      <c r="L126" s="164"/>
      <c r="M126" s="40" t="s">
        <v>8</v>
      </c>
      <c r="N126" s="41"/>
      <c r="O126" s="40" t="s">
        <v>8</v>
      </c>
      <c r="P126" s="41"/>
      <c r="Q126" s="40"/>
      <c r="R126" s="155"/>
      <c r="S126" s="27">
        <v>46289</v>
      </c>
      <c r="T126" s="27">
        <v>46289</v>
      </c>
      <c r="U126" s="188">
        <v>46289</v>
      </c>
      <c r="V126" s="29">
        <v>46297</v>
      </c>
      <c r="W126" s="188">
        <v>46300</v>
      </c>
      <c r="X126" s="235" t="s">
        <v>240</v>
      </c>
      <c r="Y126" s="230"/>
      <c r="Z126" s="227"/>
      <c r="AA126" s="29">
        <f t="shared" si="68"/>
        <v>46307</v>
      </c>
      <c r="AB126" s="229"/>
      <c r="AC126" s="229" t="str">
        <f t="shared" si="22"/>
        <v/>
      </c>
      <c r="AD126" s="337" t="str">
        <f t="shared" ref="AD126" si="77">IF(AC126="Late Resubmission",IF(AB126="","",AB126-AA126),IF(AC126="Not submit yet",IF(AA126="","",$J$1-AA126),""))</f>
        <v/>
      </c>
      <c r="AE126" s="92" t="s">
        <v>1032</v>
      </c>
      <c r="AG126" s="238" t="str">
        <f t="shared" si="75"/>
        <v>LTIA-5.10-VIETUR-70000-RFA-OTH-0733</v>
      </c>
      <c r="AH126" s="243" t="b" cm="1">
        <f t="array" ref="AH126">$E126=_xlfn.XLOOKUP(
AG126,
_xlfn._xlws.FILTER($AG$7:$AG$4573,$L$7:$L$4573&lt;&gt;"X"),
_xlfn._xlws.FILTER($E$7:$E$4573,$L$7:$L$4573&lt;&gt;"X"),
"",
0,
-1
)</f>
        <v>1</v>
      </c>
      <c r="AI126" s="75" t="str">
        <f t="shared" si="74"/>
        <v>YES</v>
      </c>
    </row>
    <row r="127" spans="1:35" s="9" customFormat="1" ht="78.75">
      <c r="A127" s="33">
        <f t="shared" si="19"/>
        <v>121</v>
      </c>
      <c r="B127" s="330" t="str">
        <f t="shared" si="76"/>
        <v>5.10</v>
      </c>
      <c r="C127" s="164" t="s">
        <v>131</v>
      </c>
      <c r="D127" s="137" t="s">
        <v>30</v>
      </c>
      <c r="E127" s="25" t="s">
        <v>962</v>
      </c>
      <c r="F127" s="174">
        <f t="shared" si="29"/>
        <v>46314</v>
      </c>
      <c r="G127" s="31" t="s">
        <v>963</v>
      </c>
      <c r="H127" s="21" t="s">
        <v>964</v>
      </c>
      <c r="I127" s="138" t="s">
        <v>3</v>
      </c>
      <c r="J127" s="164">
        <f t="shared" si="30"/>
        <v>7</v>
      </c>
      <c r="K127" s="47">
        <f t="shared" si="31"/>
        <v>0</v>
      </c>
      <c r="L127" s="164"/>
      <c r="M127" s="40" t="s">
        <v>8</v>
      </c>
      <c r="N127" s="41"/>
      <c r="O127" s="40" t="s">
        <v>8</v>
      </c>
      <c r="P127" s="41"/>
      <c r="Q127" s="40"/>
      <c r="R127" s="155"/>
      <c r="S127" s="27">
        <v>46293</v>
      </c>
      <c r="T127" s="27">
        <v>46293</v>
      </c>
      <c r="U127" s="188">
        <v>46293</v>
      </c>
      <c r="V127" s="29">
        <v>46297</v>
      </c>
      <c r="W127" s="188">
        <v>46300</v>
      </c>
      <c r="X127" s="235" t="s">
        <v>240</v>
      </c>
      <c r="Y127" s="230"/>
      <c r="Z127" s="227"/>
      <c r="AA127" s="29" t="b">
        <f t="shared" si="68"/>
        <v>0</v>
      </c>
      <c r="AB127" s="229"/>
      <c r="AC127" s="229"/>
      <c r="AD127" s="337"/>
      <c r="AE127" s="92" t="s">
        <v>1030</v>
      </c>
      <c r="AG127" s="238" t="str">
        <f t="shared" si="75"/>
        <v>LTIA-5.10-VIETUR-70000-RFA-MAS-0814</v>
      </c>
      <c r="AH127" s="243" t="b" cm="1">
        <f t="array" ref="AH127">$E127=_xlfn.XLOOKUP(
AG127,
_xlfn._xlws.FILTER($AG$7:$AG$4573,$L$7:$L$4573&lt;&gt;"X"),
_xlfn._xlws.FILTER($E$7:$E$4573,$L$7:$L$4573&lt;&gt;"X"),
"",
0,
-1
)</f>
        <v>1</v>
      </c>
      <c r="AI127" s="75" t="str">
        <f t="shared" si="74"/>
        <v/>
      </c>
    </row>
    <row r="128" spans="1:35" s="9" customFormat="1" ht="47.25">
      <c r="A128" s="33">
        <f t="shared" si="19"/>
        <v>122</v>
      </c>
      <c r="B128" s="330" t="str">
        <f t="shared" si="76"/>
        <v>5.10</v>
      </c>
      <c r="C128" s="164" t="s">
        <v>131</v>
      </c>
      <c r="D128" s="137" t="s">
        <v>30</v>
      </c>
      <c r="E128" s="25" t="s">
        <v>1005</v>
      </c>
      <c r="F128" s="174">
        <f t="shared" si="29"/>
        <v>46316</v>
      </c>
      <c r="G128" s="31" t="s">
        <v>1006</v>
      </c>
      <c r="H128" s="21" t="s">
        <v>1007</v>
      </c>
      <c r="I128" s="138"/>
      <c r="J128" s="164">
        <f t="shared" ca="1" si="30"/>
        <v>14</v>
      </c>
      <c r="K128" s="47">
        <f t="shared" ca="1" si="31"/>
        <v>0</v>
      </c>
      <c r="L128" s="164"/>
      <c r="M128" s="40" t="s">
        <v>8</v>
      </c>
      <c r="N128" s="41"/>
      <c r="O128" s="40"/>
      <c r="P128" s="41"/>
      <c r="Q128" s="40"/>
      <c r="R128" s="155"/>
      <c r="S128" s="27">
        <v>46295</v>
      </c>
      <c r="T128" s="27">
        <v>46295</v>
      </c>
      <c r="U128" s="188">
        <v>46295</v>
      </c>
      <c r="V128" s="29"/>
      <c r="W128" s="188"/>
      <c r="X128" s="235"/>
      <c r="Y128" s="230"/>
      <c r="Z128" s="227"/>
      <c r="AA128" s="29" t="str">
        <f t="shared" si="68"/>
        <v/>
      </c>
      <c r="AB128" s="229"/>
      <c r="AC128" s="229"/>
      <c r="AD128" s="337"/>
      <c r="AE128" s="92"/>
      <c r="AG128" s="238" t="str">
        <f t="shared" si="75"/>
        <v>LTIA-5.10-VIETUR-70000-RFA-MAS-0696</v>
      </c>
      <c r="AH128" s="243" t="b" cm="1">
        <f t="array" ref="AH128">$E128=_xlfn.XLOOKUP(
AG128,
_xlfn._xlws.FILTER($AG$7:$AG$4573,$L$7:$L$4573&lt;&gt;"X"),
_xlfn._xlws.FILTER($E$7:$E$4573,$L$7:$L$4573&lt;&gt;"X"),
"",
0,
-1
)</f>
        <v>1</v>
      </c>
      <c r="AI128" s="75" t="str">
        <f t="shared" si="74"/>
        <v/>
      </c>
    </row>
    <row r="129" spans="1:35" s="9" customFormat="1" ht="47.25">
      <c r="A129" s="33">
        <f t="shared" si="19"/>
        <v>123</v>
      </c>
      <c r="B129" s="330" t="str">
        <f t="shared" si="76"/>
        <v>5.11</v>
      </c>
      <c r="C129" s="164" t="s">
        <v>372</v>
      </c>
      <c r="D129" s="137" t="s">
        <v>32</v>
      </c>
      <c r="E129" s="25" t="s">
        <v>1027</v>
      </c>
      <c r="F129" s="174">
        <f t="shared" si="29"/>
        <v>46319</v>
      </c>
      <c r="G129" s="31" t="s">
        <v>1028</v>
      </c>
      <c r="H129" s="21" t="s">
        <v>1029</v>
      </c>
      <c r="I129" s="138"/>
      <c r="J129" s="164">
        <f t="shared" ca="1" si="30"/>
        <v>11</v>
      </c>
      <c r="K129" s="47">
        <f t="shared" ca="1" si="31"/>
        <v>0</v>
      </c>
      <c r="L129" s="164"/>
      <c r="M129" s="40" t="s">
        <v>8</v>
      </c>
      <c r="N129" s="41"/>
      <c r="O129" s="40"/>
      <c r="P129" s="41"/>
      <c r="Q129" s="40"/>
      <c r="R129" s="155"/>
      <c r="S129" s="27">
        <v>46298</v>
      </c>
      <c r="T129" s="27">
        <v>46298</v>
      </c>
      <c r="U129" s="188">
        <v>46298</v>
      </c>
      <c r="V129" s="29"/>
      <c r="W129" s="188"/>
      <c r="X129" s="235"/>
      <c r="Y129" s="230"/>
      <c r="Z129" s="227"/>
      <c r="AA129" s="29" t="str">
        <f t="shared" si="68"/>
        <v/>
      </c>
      <c r="AB129" s="229"/>
      <c r="AC129" s="229"/>
      <c r="AD129" s="337"/>
      <c r="AE129" s="92" t="s">
        <v>1063</v>
      </c>
      <c r="AG129" s="238" t="str">
        <f t="shared" si="75"/>
        <v>LTIA-5.11- LTICT- 72100-RFA-MSS-0002</v>
      </c>
      <c r="AH129" s="243" t="b" cm="1">
        <f t="array" ref="AH129">$E129=_xlfn.XLOOKUP(
AG129,
_xlfn._xlws.FILTER($AG$7:$AG$4573,$L$7:$L$4573&lt;&gt;"X"),
_xlfn._xlws.FILTER($E$7:$E$4573,$L$7:$L$4573&lt;&gt;"X"),
"",
0,
-1
)</f>
        <v>1</v>
      </c>
      <c r="AI129" s="75" t="str">
        <f t="shared" si="74"/>
        <v/>
      </c>
    </row>
    <row r="130" spans="1:35" s="9" customFormat="1" ht="47.25">
      <c r="A130" s="33">
        <f t="shared" si="19"/>
        <v>124</v>
      </c>
      <c r="B130" s="330" t="str">
        <f t="shared" ref="B130" si="78">MID(E130, FIND("-", E130) + 1, 4)</f>
        <v>5.11</v>
      </c>
      <c r="C130" s="164" t="s">
        <v>144</v>
      </c>
      <c r="D130" s="137" t="s">
        <v>32</v>
      </c>
      <c r="E130" s="25" t="s">
        <v>1035</v>
      </c>
      <c r="F130" s="174">
        <f t="shared" si="29"/>
        <v>46321</v>
      </c>
      <c r="G130" s="31" t="s">
        <v>1033</v>
      </c>
      <c r="H130" s="21" t="s">
        <v>1034</v>
      </c>
      <c r="I130" s="138"/>
      <c r="J130" s="164">
        <f t="shared" ca="1" si="30"/>
        <v>9</v>
      </c>
      <c r="K130" s="47">
        <f t="shared" ca="1" si="31"/>
        <v>0</v>
      </c>
      <c r="L130" s="164"/>
      <c r="M130" s="40" t="s">
        <v>8</v>
      </c>
      <c r="N130" s="41"/>
      <c r="O130" s="40"/>
      <c r="P130" s="41"/>
      <c r="Q130" s="40"/>
      <c r="R130" s="155"/>
      <c r="S130" s="27">
        <v>46300</v>
      </c>
      <c r="T130" s="27">
        <v>46300</v>
      </c>
      <c r="U130" s="188">
        <v>46300</v>
      </c>
      <c r="V130" s="29"/>
      <c r="W130" s="188"/>
      <c r="X130" s="235"/>
      <c r="Y130" s="230"/>
      <c r="Z130" s="227"/>
      <c r="AA130" s="29" t="str">
        <f t="shared" si="68"/>
        <v/>
      </c>
      <c r="AB130" s="229"/>
      <c r="AC130" s="229"/>
      <c r="AD130" s="337"/>
      <c r="AE130" s="92"/>
      <c r="AG130" s="238" t="str">
        <f t="shared" si="75"/>
        <v>LTIA-5.11-LTICT- 72010 -RFA-MSS-0003</v>
      </c>
      <c r="AH130" s="243" t="b" cm="1">
        <f t="array" ref="AH130">$E130=_xlfn.XLOOKUP(
AG130,
_xlfn._xlws.FILTER($AG$7:$AG$4573,$L$7:$L$4573&lt;&gt;"X"),
_xlfn._xlws.FILTER($E$7:$E$4573,$L$7:$L$4573&lt;&gt;"X"),
"",
0,
-1
)</f>
        <v>1</v>
      </c>
      <c r="AI130" s="75" t="str">
        <f t="shared" si="74"/>
        <v/>
      </c>
    </row>
    <row r="131" spans="1:35" s="9" customFormat="1" ht="47.25">
      <c r="A131" s="33">
        <f t="shared" si="19"/>
        <v>125</v>
      </c>
      <c r="B131" s="330" t="str">
        <f t="shared" ref="B131" si="79">MID(E131, FIND("-", E131) + 1, 4)</f>
        <v>5.11</v>
      </c>
      <c r="C131" s="164" t="s">
        <v>637</v>
      </c>
      <c r="D131" s="137" t="s">
        <v>32</v>
      </c>
      <c r="E131" s="25" t="s">
        <v>1036</v>
      </c>
      <c r="F131" s="174">
        <f t="shared" si="29"/>
        <v>46321</v>
      </c>
      <c r="G131" s="31" t="s">
        <v>1037</v>
      </c>
      <c r="H131" s="21" t="s">
        <v>1038</v>
      </c>
      <c r="I131" s="138"/>
      <c r="J131" s="164">
        <f t="shared" ca="1" si="30"/>
        <v>9</v>
      </c>
      <c r="K131" s="47">
        <f t="shared" ca="1" si="31"/>
        <v>0</v>
      </c>
      <c r="L131" s="164"/>
      <c r="M131" s="40" t="s">
        <v>8</v>
      </c>
      <c r="N131" s="41"/>
      <c r="O131" s="40"/>
      <c r="P131" s="41"/>
      <c r="Q131" s="40"/>
      <c r="R131" s="155"/>
      <c r="S131" s="27">
        <v>46300</v>
      </c>
      <c r="T131" s="27">
        <v>46300</v>
      </c>
      <c r="U131" s="188">
        <v>46300</v>
      </c>
      <c r="V131" s="29"/>
      <c r="W131" s="188"/>
      <c r="X131" s="235"/>
      <c r="Y131" s="230"/>
      <c r="Z131" s="227"/>
      <c r="AA131" s="29" t="str">
        <f t="shared" si="68"/>
        <v/>
      </c>
      <c r="AB131" s="229"/>
      <c r="AC131" s="229"/>
      <c r="AD131" s="337"/>
      <c r="AE131" s="92" t="s">
        <v>1064</v>
      </c>
      <c r="AG131" s="238" t="str">
        <f t="shared" si="75"/>
        <v>LTIA-5.11-LTICT- 72120 -RFA-MSS-0004</v>
      </c>
      <c r="AH131" s="243" t="b" cm="1">
        <f t="array" ref="AH131">$E131=_xlfn.XLOOKUP(
AG131,
_xlfn._xlws.FILTER($AG$7:$AG$4573,$L$7:$L$4573&lt;&gt;"X"),
_xlfn._xlws.FILTER($E$7:$E$4573,$L$7:$L$4573&lt;&gt;"X"),
"",
0,
-1
)</f>
        <v>1</v>
      </c>
      <c r="AI131" s="75" t="str">
        <f t="shared" si="74"/>
        <v/>
      </c>
    </row>
    <row r="132" spans="1:35" s="9" customFormat="1" ht="47.25">
      <c r="A132" s="33">
        <f t="shared" si="19"/>
        <v>126</v>
      </c>
      <c r="B132" s="330" t="str">
        <f t="shared" ref="B132" si="80">MID(E132, FIND("-", E132) + 1, 4)</f>
        <v>5.11</v>
      </c>
      <c r="C132" s="164" t="s">
        <v>633</v>
      </c>
      <c r="D132" s="137" t="s">
        <v>32</v>
      </c>
      <c r="E132" s="25" t="s">
        <v>1039</v>
      </c>
      <c r="F132" s="174">
        <f t="shared" si="29"/>
        <v>46322</v>
      </c>
      <c r="G132" s="31" t="s">
        <v>1040</v>
      </c>
      <c r="H132" s="21" t="s">
        <v>1041</v>
      </c>
      <c r="I132" s="138"/>
      <c r="J132" s="164">
        <f t="shared" ca="1" si="30"/>
        <v>8</v>
      </c>
      <c r="K132" s="47">
        <f t="shared" ca="1" si="31"/>
        <v>0</v>
      </c>
      <c r="L132" s="164"/>
      <c r="M132" s="40" t="s">
        <v>8</v>
      </c>
      <c r="N132" s="41"/>
      <c r="O132" s="40"/>
      <c r="P132" s="41"/>
      <c r="Q132" s="40"/>
      <c r="R132" s="155"/>
      <c r="S132" s="27">
        <v>46301</v>
      </c>
      <c r="T132" s="27">
        <v>46301</v>
      </c>
      <c r="U132" s="188">
        <v>46301</v>
      </c>
      <c r="V132" s="29"/>
      <c r="W132" s="188"/>
      <c r="X132" s="235"/>
      <c r="Y132" s="230"/>
      <c r="Z132" s="227"/>
      <c r="AA132" s="29" t="str">
        <f t="shared" si="68"/>
        <v/>
      </c>
      <c r="AB132" s="229"/>
      <c r="AC132" s="229"/>
      <c r="AD132" s="337"/>
      <c r="AE132" s="92" t="s">
        <v>1064</v>
      </c>
      <c r="AG132" s="238" t="str">
        <f t="shared" si="75"/>
        <v>LTIA-5.11-LTICT-70100-RFA-MSS-0007</v>
      </c>
      <c r="AH132" s="243" t="b" cm="1">
        <f t="array" ref="AH132">$E132=_xlfn.XLOOKUP(
AG132,
_xlfn._xlws.FILTER($AG$7:$AG$4573,$L$7:$L$4573&lt;&gt;"X"),
_xlfn._xlws.FILTER($E$7:$E$4573,$L$7:$L$4573&lt;&gt;"X"),
"",
0,
-1
)</f>
        <v>1</v>
      </c>
      <c r="AI132" s="75" t="str">
        <f t="shared" si="74"/>
        <v/>
      </c>
    </row>
    <row r="133" spans="1:35" s="9" customFormat="1" ht="47.25">
      <c r="A133" s="33">
        <f t="shared" si="19"/>
        <v>127</v>
      </c>
      <c r="B133" s="330" t="str">
        <f t="shared" ref="B133" si="81">MID(E133, FIND("-", E133) + 1, 4)</f>
        <v>5.11</v>
      </c>
      <c r="C133" s="164" t="s">
        <v>621</v>
      </c>
      <c r="D133" s="137" t="s">
        <v>32</v>
      </c>
      <c r="E133" s="25" t="s">
        <v>1042</v>
      </c>
      <c r="F133" s="174">
        <f t="shared" si="29"/>
        <v>46322</v>
      </c>
      <c r="G133" s="31" t="s">
        <v>1043</v>
      </c>
      <c r="H133" s="21" t="s">
        <v>1044</v>
      </c>
      <c r="I133" s="138"/>
      <c r="J133" s="164">
        <f t="shared" ca="1" si="30"/>
        <v>8</v>
      </c>
      <c r="K133" s="47">
        <f t="shared" ca="1" si="31"/>
        <v>0</v>
      </c>
      <c r="L133" s="164"/>
      <c r="M133" s="40" t="s">
        <v>8</v>
      </c>
      <c r="N133" s="41"/>
      <c r="O133" s="40"/>
      <c r="P133" s="41"/>
      <c r="Q133" s="40"/>
      <c r="R133" s="155"/>
      <c r="S133" s="27">
        <v>46301</v>
      </c>
      <c r="T133" s="27">
        <v>46301</v>
      </c>
      <c r="U133" s="188">
        <v>46301</v>
      </c>
      <c r="V133" s="29"/>
      <c r="W133" s="188"/>
      <c r="X133" s="235"/>
      <c r="Y133" s="230"/>
      <c r="Z133" s="227"/>
      <c r="AA133" s="29" t="str">
        <f t="shared" si="68"/>
        <v/>
      </c>
      <c r="AB133" s="229"/>
      <c r="AC133" s="229"/>
      <c r="AD133" s="337"/>
      <c r="AE133" s="92"/>
      <c r="AG133" s="238" t="str">
        <f t="shared" si="75"/>
        <v>LTIA-5.11-LTICT- 72190 -RFA-MSS-0005</v>
      </c>
      <c r="AH133" s="243" t="b" cm="1">
        <f t="array" ref="AH133">$E133=_xlfn.XLOOKUP(
AG133,
_xlfn._xlws.FILTER($AG$7:$AG$4573,$L$7:$L$4573&lt;&gt;"X"),
_xlfn._xlws.FILTER($E$7:$E$4573,$L$7:$L$4573&lt;&gt;"X"),
"",
0,
-1
)</f>
        <v>1</v>
      </c>
      <c r="AI133" s="75" t="str">
        <f t="shared" si="74"/>
        <v/>
      </c>
    </row>
    <row r="134" spans="1:35" s="9" customFormat="1" ht="47.25">
      <c r="A134" s="33">
        <f t="shared" si="19"/>
        <v>128</v>
      </c>
      <c r="B134" s="330" t="str">
        <f t="shared" ref="B134" si="82">MID(E134, FIND("-", E134) + 1, 4)</f>
        <v>5.11</v>
      </c>
      <c r="C134" s="164" t="s">
        <v>656</v>
      </c>
      <c r="D134" s="137" t="s">
        <v>32</v>
      </c>
      <c r="E134" s="25" t="s">
        <v>1045</v>
      </c>
      <c r="F134" s="174">
        <f t="shared" si="29"/>
        <v>46322</v>
      </c>
      <c r="G134" s="31" t="s">
        <v>1046</v>
      </c>
      <c r="H134" s="21" t="s">
        <v>1047</v>
      </c>
      <c r="I134" s="138"/>
      <c r="J134" s="164">
        <f t="shared" ca="1" si="30"/>
        <v>8</v>
      </c>
      <c r="K134" s="47">
        <f t="shared" ca="1" si="31"/>
        <v>0</v>
      </c>
      <c r="L134" s="164"/>
      <c r="M134" s="40" t="s">
        <v>8</v>
      </c>
      <c r="N134" s="41"/>
      <c r="O134" s="40"/>
      <c r="P134" s="41"/>
      <c r="Q134" s="40"/>
      <c r="R134" s="155"/>
      <c r="S134" s="27">
        <v>46301</v>
      </c>
      <c r="T134" s="27">
        <v>46301</v>
      </c>
      <c r="U134" s="188">
        <v>46301</v>
      </c>
      <c r="V134" s="29"/>
      <c r="W134" s="188"/>
      <c r="X134" s="235"/>
      <c r="Y134" s="230"/>
      <c r="Z134" s="227"/>
      <c r="AA134" s="29" t="str">
        <f t="shared" si="68"/>
        <v/>
      </c>
      <c r="AB134" s="229"/>
      <c r="AC134" s="229"/>
      <c r="AD134" s="337"/>
      <c r="AE134" s="92"/>
      <c r="AG134" s="238" t="str">
        <f t="shared" si="75"/>
        <v>LTIA-5.11-LTICT- 71110 -RFA-MSS-0006</v>
      </c>
      <c r="AH134" s="243" t="b" cm="1">
        <f t="array" ref="AH134">$E134=_xlfn.XLOOKUP(
AG134,
_xlfn._xlws.FILTER($AG$7:$AG$4573,$L$7:$L$4573&lt;&gt;"X"),
_xlfn._xlws.FILTER($E$7:$E$4573,$L$7:$L$4573&lt;&gt;"X"),
"",
0,
-1
)</f>
        <v>1</v>
      </c>
      <c r="AI134" s="75" t="str">
        <f t="shared" si="74"/>
        <v/>
      </c>
    </row>
    <row r="135" spans="1:35" s="9" customFormat="1" ht="47.25">
      <c r="A135" s="33">
        <f t="shared" si="19"/>
        <v>129</v>
      </c>
      <c r="B135" s="330" t="str">
        <f t="shared" ref="B135" si="83">MID(E135, FIND("-", E135) + 1, 4)</f>
        <v>5.11</v>
      </c>
      <c r="C135" s="164" t="s">
        <v>621</v>
      </c>
      <c r="D135" s="137" t="s">
        <v>28</v>
      </c>
      <c r="E135" s="25" t="s">
        <v>1048</v>
      </c>
      <c r="F135" s="174">
        <f t="shared" si="29"/>
        <v>46322</v>
      </c>
      <c r="G135" s="31" t="s">
        <v>1049</v>
      </c>
      <c r="H135" s="21" t="s">
        <v>1050</v>
      </c>
      <c r="I135" s="138" t="s">
        <v>3</v>
      </c>
      <c r="J135" s="164">
        <f t="shared" ca="1" si="30"/>
        <v>8</v>
      </c>
      <c r="K135" s="47">
        <f t="shared" ca="1" si="31"/>
        <v>0</v>
      </c>
      <c r="L135" s="164"/>
      <c r="M135" s="40" t="s">
        <v>8</v>
      </c>
      <c r="N135" s="41"/>
      <c r="O135" s="40"/>
      <c r="P135" s="41"/>
      <c r="Q135" s="40"/>
      <c r="R135" s="155"/>
      <c r="S135" s="27">
        <v>46301</v>
      </c>
      <c r="T135" s="27">
        <v>46301</v>
      </c>
      <c r="U135" s="188">
        <v>46301</v>
      </c>
      <c r="V135" s="29"/>
      <c r="W135" s="188"/>
      <c r="X135" s="235" t="s">
        <v>240</v>
      </c>
      <c r="Y135" s="230"/>
      <c r="Z135" s="227"/>
      <c r="AA135" s="29" t="b">
        <f t="shared" si="68"/>
        <v>0</v>
      </c>
      <c r="AB135" s="229"/>
      <c r="AC135" s="229"/>
      <c r="AD135" s="337"/>
      <c r="AE135" s="92" t="s">
        <v>1066</v>
      </c>
      <c r="AG135" s="238" t="str">
        <f t="shared" si="75"/>
        <v>LTIA-5.11-LTICT- 71110 -RFA-OTH-0012</v>
      </c>
      <c r="AH135" s="243" t="b" cm="1">
        <f t="array" ref="AH135">$E135=_xlfn.XLOOKUP(
AG135,
_xlfn._xlws.FILTER($AG$7:$AG$4573,$L$7:$L$4573&lt;&gt;"X"),
_xlfn._xlws.FILTER($E$7:$E$4573,$L$7:$L$4573&lt;&gt;"X"),
"",
0,
-1
)</f>
        <v>1</v>
      </c>
      <c r="AI135" s="75" t="str">
        <f t="shared" si="74"/>
        <v/>
      </c>
    </row>
    <row r="136" spans="1:35" s="9" customFormat="1">
      <c r="A136" s="33"/>
      <c r="B136" s="330"/>
      <c r="C136" s="164"/>
      <c r="D136" s="137"/>
      <c r="E136" s="25"/>
      <c r="F136" s="174"/>
      <c r="G136" s="31"/>
      <c r="H136" s="21"/>
      <c r="I136" s="138"/>
      <c r="J136" s="164"/>
      <c r="K136" s="47"/>
      <c r="L136" s="164"/>
      <c r="M136" s="40"/>
      <c r="N136" s="41"/>
      <c r="O136" s="40"/>
      <c r="P136" s="41"/>
      <c r="Q136" s="40"/>
      <c r="R136" s="155"/>
      <c r="S136" s="27"/>
      <c r="T136" s="27"/>
      <c r="U136" s="188"/>
      <c r="V136" s="29"/>
      <c r="W136" s="188"/>
      <c r="X136" s="235"/>
      <c r="Y136" s="230"/>
      <c r="Z136" s="227"/>
      <c r="AA136" s="29" t="str">
        <f t="shared" si="68"/>
        <v/>
      </c>
      <c r="AB136" s="229"/>
      <c r="AC136" s="229"/>
      <c r="AD136" s="337"/>
      <c r="AE136" s="92"/>
      <c r="AG136" s="238"/>
      <c r="AH136" s="243"/>
      <c r="AI136" s="75" t="str">
        <f t="shared" si="74"/>
        <v/>
      </c>
    </row>
    <row r="137" spans="1:35" s="9" customFormat="1" ht="16.5" thickBot="1">
      <c r="A137" s="347"/>
      <c r="B137" s="338"/>
      <c r="C137" s="178"/>
      <c r="D137" s="139"/>
      <c r="E137" s="339"/>
      <c r="F137" s="340"/>
      <c r="G137" s="32"/>
      <c r="H137" s="22"/>
      <c r="I137" s="139"/>
      <c r="J137" s="178"/>
      <c r="K137" s="49"/>
      <c r="L137" s="178"/>
      <c r="M137" s="341"/>
      <c r="N137" s="342"/>
      <c r="O137" s="341"/>
      <c r="P137" s="342"/>
      <c r="Q137" s="341"/>
      <c r="R137" s="343"/>
      <c r="S137" s="344"/>
      <c r="T137" s="344"/>
      <c r="U137" s="345"/>
      <c r="V137" s="232"/>
      <c r="W137" s="345"/>
      <c r="X137" s="258"/>
      <c r="Y137" s="232"/>
      <c r="Z137" s="228"/>
      <c r="AA137" s="232" t="str">
        <f t="shared" si="68"/>
        <v/>
      </c>
      <c r="AB137" s="233"/>
      <c r="AC137" s="233"/>
      <c r="AD137" s="346"/>
      <c r="AE137" s="93"/>
      <c r="AG137" s="239"/>
      <c r="AH137" s="244"/>
      <c r="AI137" s="241" t="str">
        <f t="shared" si="74"/>
        <v/>
      </c>
    </row>
    <row r="138" spans="1:35" ht="16.5" thickBot="1"/>
    <row r="139" spans="1:35" ht="16.5" thickBot="1">
      <c r="A139" s="128"/>
      <c r="B139" s="128"/>
      <c r="C139" s="166" t="s">
        <v>20</v>
      </c>
      <c r="D139" s="379" t="s">
        <v>21</v>
      </c>
      <c r="E139" s="379"/>
      <c r="F139" s="380"/>
      <c r="G139" s="46"/>
      <c r="H139" s="68"/>
      <c r="I139" s="384" t="s">
        <v>14</v>
      </c>
      <c r="J139" s="385"/>
      <c r="K139" s="385"/>
      <c r="L139" s="385"/>
      <c r="M139" s="385"/>
      <c r="N139" s="386"/>
      <c r="O139" s="382" t="s">
        <v>7</v>
      </c>
      <c r="P139" s="383"/>
      <c r="Q139" s="382" t="s">
        <v>109</v>
      </c>
      <c r="R139" s="383"/>
      <c r="S139" s="1"/>
      <c r="T139" s="1"/>
      <c r="U139" s="140"/>
      <c r="V139" s="1"/>
      <c r="X139" s="11"/>
      <c r="Y139" s="11"/>
      <c r="Z139" s="11"/>
      <c r="AA139" s="11"/>
      <c r="AB139" s="11"/>
      <c r="AC139" s="11"/>
      <c r="AD139" s="11"/>
      <c r="AG139" s="11"/>
      <c r="AH139" s="11"/>
      <c r="AI139" s="11"/>
    </row>
    <row r="140" spans="1:35" ht="16.5" thickBot="1">
      <c r="A140" s="128"/>
      <c r="B140" s="128"/>
      <c r="C140" s="167" t="s">
        <v>109</v>
      </c>
      <c r="D140" s="404" t="s">
        <v>111</v>
      </c>
      <c r="E140" s="404"/>
      <c r="F140" s="405"/>
      <c r="G140" s="46"/>
      <c r="H140" s="46"/>
      <c r="I140" s="384" t="s">
        <v>19</v>
      </c>
      <c r="J140" s="385"/>
      <c r="K140" s="385"/>
      <c r="L140" s="386"/>
      <c r="M140" s="105">
        <f t="shared" ref="M140:M145" ca="1" si="84">N140/$N$140</f>
        <v>1</v>
      </c>
      <c r="N140" s="106">
        <f ca="1">SUM($N$141:$N$145)</f>
        <v>135</v>
      </c>
      <c r="O140" s="102" t="s">
        <v>15</v>
      </c>
      <c r="P140" s="103" t="s">
        <v>16</v>
      </c>
      <c r="Q140" s="105">
        <f ca="1">R140/$R$140</f>
        <v>1</v>
      </c>
      <c r="R140" s="220">
        <f ca="1">SUM(R141:R144)</f>
        <v>117</v>
      </c>
      <c r="S140" s="1"/>
      <c r="T140" s="1"/>
      <c r="U140" s="140"/>
      <c r="V140" s="1"/>
      <c r="X140" s="11"/>
      <c r="Y140" s="11"/>
      <c r="Z140" s="11"/>
      <c r="AA140" s="11"/>
      <c r="AB140" s="11"/>
      <c r="AC140" s="11"/>
      <c r="AD140" s="11"/>
      <c r="AG140" s="11"/>
      <c r="AH140" s="11"/>
      <c r="AI140" s="11"/>
    </row>
    <row r="141" spans="1:35">
      <c r="A141" s="128"/>
      <c r="B141" s="128"/>
      <c r="C141" s="167" t="s">
        <v>22</v>
      </c>
      <c r="D141" s="404" t="s">
        <v>23</v>
      </c>
      <c r="E141" s="404"/>
      <c r="F141" s="405"/>
      <c r="G141" s="70"/>
      <c r="H141" s="6"/>
      <c r="I141" s="387" t="s">
        <v>66</v>
      </c>
      <c r="J141" s="388"/>
      <c r="K141" s="388"/>
      <c r="L141" s="389"/>
      <c r="M141" s="107">
        <f t="shared" ca="1" si="84"/>
        <v>0.51111111111111107</v>
      </c>
      <c r="N141" s="108">
        <f>COUNTIF($I$7:$I$137,"A")</f>
        <v>69</v>
      </c>
      <c r="O141" s="100">
        <f ca="1">COUNTIFS($J$7:$J$137,"&lt;=21",$I$7:$I$137,"A")</f>
        <v>56</v>
      </c>
      <c r="P141" s="101">
        <f ca="1">COUNTIFS($J$7:$J$137,"&gt;21",$I$7:$I$137,"A")</f>
        <v>12</v>
      </c>
      <c r="Q141" s="107">
        <f ca="1">R141/$R$140</f>
        <v>0.42735042735042733</v>
      </c>
      <c r="R141" s="108">
        <f>COUNTIF($R$7:$R$137,"A")</f>
        <v>50</v>
      </c>
      <c r="S141" s="1"/>
      <c r="T141" s="1"/>
      <c r="U141" s="140"/>
      <c r="V141" s="1"/>
      <c r="X141" s="11"/>
      <c r="Y141" s="11"/>
      <c r="Z141" s="11"/>
      <c r="AA141" s="11"/>
      <c r="AB141" s="11"/>
      <c r="AC141" s="11"/>
      <c r="AD141" s="11"/>
      <c r="AG141" s="11"/>
      <c r="AH141" s="11"/>
      <c r="AI141" s="11"/>
    </row>
    <row r="142" spans="1:35">
      <c r="A142" s="128"/>
      <c r="B142" s="128"/>
      <c r="C142" s="167" t="s">
        <v>24</v>
      </c>
      <c r="D142" s="404" t="s">
        <v>25</v>
      </c>
      <c r="E142" s="404"/>
      <c r="F142" s="405"/>
      <c r="H142" s="6"/>
      <c r="I142" s="390" t="s">
        <v>67</v>
      </c>
      <c r="J142" s="391"/>
      <c r="K142" s="391"/>
      <c r="L142" s="392"/>
      <c r="M142" s="109">
        <f t="shared" ca="1" si="84"/>
        <v>0.1037037037037037</v>
      </c>
      <c r="N142" s="110">
        <f>COUNTIF($I$7:$I$137,"B")</f>
        <v>14</v>
      </c>
      <c r="O142" s="98">
        <f ca="1">COUNTIFS($J$7:$J$137,"&lt;=21",$I$7:$I$137,"B")</f>
        <v>7</v>
      </c>
      <c r="P142" s="50">
        <f ca="1">COUNTIFS($J$7:$J$137,"&gt;21",$I$7:$I$137,"B")</f>
        <v>7</v>
      </c>
      <c r="Q142" s="109">
        <f t="shared" ref="Q142:Q144" ca="1" si="85">R142/$R$140</f>
        <v>7.6923076923076927E-2</v>
      </c>
      <c r="R142" s="110">
        <f>COUNTIF($R$7:$R$137,"B")</f>
        <v>9</v>
      </c>
      <c r="S142" s="1"/>
      <c r="T142" s="1"/>
      <c r="U142" s="140"/>
      <c r="V142" s="1"/>
      <c r="X142" s="11"/>
      <c r="Y142" s="11"/>
      <c r="Z142" s="11"/>
      <c r="AA142" s="11"/>
      <c r="AB142" s="11"/>
      <c r="AC142" s="11"/>
      <c r="AD142" s="11"/>
      <c r="AG142" s="11"/>
      <c r="AH142" s="11"/>
      <c r="AI142" s="11"/>
    </row>
    <row r="143" spans="1:35">
      <c r="A143" s="129"/>
      <c r="B143" s="129"/>
      <c r="C143" s="167" t="s">
        <v>26</v>
      </c>
      <c r="D143" s="404" t="s">
        <v>27</v>
      </c>
      <c r="E143" s="404"/>
      <c r="F143" s="405"/>
      <c r="G143" s="71"/>
      <c r="H143" s="6"/>
      <c r="I143" s="393" t="s">
        <v>68</v>
      </c>
      <c r="J143" s="394"/>
      <c r="K143" s="394"/>
      <c r="L143" s="395"/>
      <c r="M143" s="111">
        <f t="shared" ca="1" si="84"/>
        <v>0.2</v>
      </c>
      <c r="N143" s="112">
        <f>COUNTIF($I$7:$I$137,"C")</f>
        <v>27</v>
      </c>
      <c r="O143" s="98">
        <f ca="1">COUNTIFS($J$7:$J$137,"&lt;=21",$I$7:$I$137,"C")</f>
        <v>13</v>
      </c>
      <c r="P143" s="50">
        <f ca="1">COUNTIFS($J$7:$J$137,"&gt;21",$I$7:$I$137,"C")</f>
        <v>14</v>
      </c>
      <c r="Q143" s="111">
        <f t="shared" ca="1" si="85"/>
        <v>0.14529914529914531</v>
      </c>
      <c r="R143" s="112">
        <f>COUNTIF($R$7:$R$137,"C")</f>
        <v>17</v>
      </c>
      <c r="S143" s="1"/>
      <c r="T143" s="1"/>
      <c r="U143" s="140"/>
      <c r="V143" s="1"/>
      <c r="X143" s="11"/>
      <c r="Y143" s="11"/>
      <c r="Z143" s="11"/>
      <c r="AA143" s="11"/>
      <c r="AB143" s="11"/>
      <c r="AC143" s="11"/>
      <c r="AD143" s="11"/>
      <c r="AG143" s="11"/>
      <c r="AH143" s="11"/>
      <c r="AI143" s="11"/>
    </row>
    <row r="144" spans="1:35">
      <c r="A144" s="129"/>
      <c r="B144" s="129"/>
      <c r="C144" s="168" t="s">
        <v>28</v>
      </c>
      <c r="D144" s="404" t="s">
        <v>29</v>
      </c>
      <c r="E144" s="404"/>
      <c r="F144" s="405"/>
      <c r="G144" s="72"/>
      <c r="I144" s="396" t="s">
        <v>70</v>
      </c>
      <c r="J144" s="397"/>
      <c r="K144" s="397"/>
      <c r="L144" s="398"/>
      <c r="M144" s="114">
        <f t="shared" ca="1" si="84"/>
        <v>7.407407407407407E-2</v>
      </c>
      <c r="N144" s="115">
        <f ca="1">SUM(O144:P144)</f>
        <v>10</v>
      </c>
      <c r="O144" s="98">
        <f ca="1">COUNTIFS($J$7:$J$137,"&lt;=21",$V$7:$V$137,"",$L$7:$L$137,"&lt;&gt;X")</f>
        <v>8</v>
      </c>
      <c r="P144" s="50">
        <f ca="1">COUNTIFS($J$7:$J$137,"&gt;21",$V$7:$V$137,"",$L$7:$L$137,"&lt;&gt;X")</f>
        <v>2</v>
      </c>
      <c r="Q144" s="114">
        <f t="shared" ca="1" si="85"/>
        <v>0.3504273504273504</v>
      </c>
      <c r="R144" s="115">
        <f ca="1">COUNTIFS($J$7:$J$137,"&gt;=0",$Q$7:$Q$137,"",$L$7:$L$137,"&lt;&gt;X")</f>
        <v>41</v>
      </c>
      <c r="S144" s="1" t="s">
        <v>10</v>
      </c>
      <c r="T144" s="1"/>
      <c r="U144" s="140"/>
      <c r="V144" s="1"/>
      <c r="X144" s="11"/>
      <c r="Y144" s="11"/>
      <c r="Z144" s="11"/>
      <c r="AA144" s="11"/>
      <c r="AB144" s="11"/>
      <c r="AC144" s="11"/>
      <c r="AD144" s="11"/>
      <c r="AG144" s="11"/>
      <c r="AH144" s="11"/>
      <c r="AI144" s="11"/>
    </row>
    <row r="145" spans="1:35" ht="16.5" thickBot="1">
      <c r="A145" s="129"/>
      <c r="B145" s="129"/>
      <c r="C145" s="168" t="s">
        <v>30</v>
      </c>
      <c r="D145" s="404" t="s">
        <v>31</v>
      </c>
      <c r="E145" s="404"/>
      <c r="F145" s="405"/>
      <c r="H145" s="6"/>
      <c r="I145" s="399" t="s">
        <v>71</v>
      </c>
      <c r="J145" s="400"/>
      <c r="K145" s="400"/>
      <c r="L145" s="401"/>
      <c r="M145" s="113">
        <f t="shared" ca="1" si="84"/>
        <v>0.1111111111111111</v>
      </c>
      <c r="N145" s="97">
        <f>COUNTIFS($L$7:$L$137,"X")</f>
        <v>15</v>
      </c>
      <c r="O145" s="99"/>
      <c r="P145" s="51"/>
      <c r="Q145" s="221"/>
      <c r="R145" s="222"/>
    </row>
    <row r="146" spans="1:35">
      <c r="A146" s="128"/>
      <c r="B146" s="128"/>
      <c r="C146" s="168" t="s">
        <v>32</v>
      </c>
      <c r="D146" s="404" t="s">
        <v>33</v>
      </c>
      <c r="E146" s="404"/>
      <c r="F146" s="405"/>
      <c r="H146" s="1" t="s">
        <v>11</v>
      </c>
    </row>
    <row r="147" spans="1:35">
      <c r="C147" s="167" t="s">
        <v>34</v>
      </c>
      <c r="D147" s="404" t="s">
        <v>35</v>
      </c>
      <c r="E147" s="404"/>
      <c r="F147" s="405"/>
      <c r="H147" s="13"/>
      <c r="I147" s="141"/>
      <c r="J147" s="141"/>
      <c r="K147" s="13"/>
      <c r="L147" s="141"/>
      <c r="M147" s="6"/>
      <c r="N147" s="6"/>
      <c r="O147" s="6"/>
      <c r="P147" s="6"/>
      <c r="Q147" s="6"/>
      <c r="S147" s="6"/>
      <c r="T147" s="1"/>
      <c r="U147" s="140"/>
      <c r="V147" s="1"/>
      <c r="W147" s="140"/>
      <c r="X147" s="1"/>
      <c r="Y147" s="1"/>
      <c r="Z147" s="1"/>
      <c r="AA147" s="1"/>
      <c r="AB147" s="1"/>
      <c r="AC147" s="1"/>
      <c r="AD147" s="1"/>
      <c r="AG147" s="160"/>
      <c r="AH147" s="1"/>
      <c r="AI147" s="1"/>
    </row>
    <row r="148" spans="1:35">
      <c r="C148" s="402" t="s">
        <v>75</v>
      </c>
      <c r="D148" s="408" t="s">
        <v>76</v>
      </c>
      <c r="E148" s="408"/>
      <c r="F148" s="409"/>
      <c r="H148" s="13"/>
      <c r="J148" s="141"/>
      <c r="K148" s="13"/>
      <c r="L148" s="141"/>
      <c r="M148" s="6"/>
      <c r="N148" s="6"/>
      <c r="O148" s="6"/>
      <c r="P148" s="6"/>
      <c r="Q148" s="6"/>
      <c r="S148" s="6"/>
      <c r="T148" s="1"/>
      <c r="U148" s="140"/>
      <c r="V148" s="1"/>
      <c r="W148" s="140"/>
      <c r="X148" s="1"/>
      <c r="Y148" s="1"/>
      <c r="Z148" s="1"/>
      <c r="AA148" s="1"/>
      <c r="AB148" s="1"/>
      <c r="AC148" s="1"/>
      <c r="AD148" s="1"/>
      <c r="AG148" s="160"/>
      <c r="AH148" s="1"/>
      <c r="AI148" s="1"/>
    </row>
    <row r="149" spans="1:35" ht="16.5" thickBot="1">
      <c r="C149" s="403"/>
      <c r="D149" s="410"/>
      <c r="E149" s="410"/>
      <c r="F149" s="411"/>
      <c r="H149" s="13"/>
      <c r="I149" s="141"/>
      <c r="J149" s="141"/>
      <c r="K149" s="13"/>
      <c r="L149" s="141"/>
      <c r="M149" s="6"/>
      <c r="N149" s="6"/>
      <c r="O149" s="6"/>
      <c r="P149" s="6"/>
      <c r="Q149" s="6"/>
      <c r="S149" s="6"/>
      <c r="T149" s="1"/>
      <c r="U149" s="140"/>
      <c r="V149" s="1"/>
      <c r="W149" s="140"/>
      <c r="X149" s="1"/>
      <c r="Y149" s="1"/>
      <c r="Z149" s="1"/>
      <c r="AA149" s="1"/>
      <c r="AB149" s="1"/>
      <c r="AC149" s="1"/>
      <c r="AD149" s="1"/>
      <c r="AG149" s="160"/>
      <c r="AH149" s="1"/>
      <c r="AI149" s="1"/>
    </row>
    <row r="150" spans="1:35">
      <c r="H150" s="13"/>
      <c r="I150" s="141"/>
      <c r="J150" s="141"/>
      <c r="K150" s="13"/>
      <c r="L150" s="141"/>
      <c r="M150" s="6"/>
      <c r="N150" s="6"/>
      <c r="O150" s="6"/>
      <c r="P150" s="6"/>
      <c r="Q150" s="6"/>
      <c r="S150" s="6"/>
      <c r="T150" s="1"/>
      <c r="U150" s="140"/>
      <c r="V150" s="1"/>
      <c r="W150" s="140"/>
      <c r="X150" s="1"/>
      <c r="Y150" s="1"/>
      <c r="Z150" s="1"/>
      <c r="AA150" s="1"/>
      <c r="AB150" s="1"/>
      <c r="AC150" s="1"/>
      <c r="AD150" s="1"/>
      <c r="AG150" s="160"/>
      <c r="AH150" s="1"/>
      <c r="AI150" s="1"/>
    </row>
    <row r="151" spans="1:35">
      <c r="C151" s="381" t="s">
        <v>41</v>
      </c>
      <c r="D151" s="381"/>
      <c r="E151" s="381"/>
      <c r="F151" s="381"/>
      <c r="H151" s="13"/>
      <c r="I151" s="141"/>
      <c r="J151" s="141"/>
      <c r="K151" s="13"/>
      <c r="L151" s="141"/>
      <c r="M151" s="6"/>
      <c r="N151" s="6"/>
      <c r="O151" s="6"/>
      <c r="P151" s="6"/>
      <c r="Q151" s="6"/>
      <c r="S151" s="6"/>
      <c r="T151" s="1"/>
      <c r="U151" s="140"/>
      <c r="V151" s="1"/>
      <c r="W151" s="140"/>
      <c r="X151" s="1"/>
      <c r="Y151" s="1"/>
      <c r="Z151" s="1"/>
      <c r="AA151" s="1"/>
      <c r="AB151" s="1"/>
      <c r="AC151" s="1"/>
      <c r="AD151" s="1"/>
      <c r="AG151" s="160"/>
      <c r="AH151" s="1"/>
      <c r="AI151" s="1"/>
    </row>
    <row r="152" spans="1:35">
      <c r="C152" s="169" t="s">
        <v>8</v>
      </c>
      <c r="D152" s="367" t="s">
        <v>91</v>
      </c>
      <c r="E152" s="367"/>
      <c r="F152" s="367"/>
      <c r="H152" s="13"/>
      <c r="I152" s="141"/>
      <c r="J152" s="141"/>
      <c r="K152" s="13"/>
      <c r="L152" s="141"/>
      <c r="M152" s="6"/>
      <c r="N152" s="6"/>
      <c r="O152" s="6"/>
      <c r="P152" s="6"/>
      <c r="Q152" s="6"/>
      <c r="S152" s="6"/>
      <c r="T152" s="1"/>
      <c r="U152" s="140"/>
      <c r="V152" s="1"/>
      <c r="W152" s="140"/>
      <c r="X152" s="1"/>
      <c r="Y152" s="1"/>
      <c r="Z152" s="1"/>
      <c r="AA152" s="1"/>
      <c r="AB152" s="1"/>
      <c r="AC152" s="1"/>
      <c r="AD152" s="1"/>
      <c r="AG152" s="160"/>
      <c r="AH152" s="1"/>
      <c r="AI152" s="1"/>
    </row>
    <row r="153" spans="1:35">
      <c r="C153" s="169" t="s">
        <v>8</v>
      </c>
      <c r="D153" s="367" t="s">
        <v>92</v>
      </c>
      <c r="E153" s="367"/>
      <c r="F153" s="367"/>
      <c r="H153" s="13"/>
      <c r="I153" s="141"/>
      <c r="J153" s="141"/>
      <c r="K153" s="13"/>
      <c r="L153" s="141"/>
      <c r="M153" s="6"/>
      <c r="N153" s="6"/>
      <c r="O153" s="6"/>
      <c r="P153" s="6"/>
      <c r="Q153" s="6"/>
      <c r="S153" s="6"/>
      <c r="T153" s="1"/>
      <c r="U153" s="140"/>
      <c r="V153" s="1"/>
      <c r="W153" s="140"/>
      <c r="X153" s="1"/>
      <c r="Y153" s="1"/>
      <c r="Z153" s="1"/>
      <c r="AA153" s="1"/>
      <c r="AB153" s="1"/>
      <c r="AC153" s="1"/>
      <c r="AD153" s="1"/>
      <c r="AG153" s="160"/>
      <c r="AH153" s="1"/>
      <c r="AI153" s="1"/>
    </row>
    <row r="154" spans="1:35">
      <c r="C154" s="169" t="s">
        <v>8</v>
      </c>
      <c r="D154" s="367" t="s">
        <v>93</v>
      </c>
      <c r="E154" s="367"/>
      <c r="F154" s="367"/>
      <c r="H154" s="13"/>
      <c r="I154" s="141"/>
      <c r="J154" s="141"/>
      <c r="K154" s="13"/>
      <c r="L154" s="141"/>
      <c r="M154" s="6"/>
      <c r="N154" s="6"/>
      <c r="O154" s="6"/>
      <c r="P154" s="6"/>
      <c r="Q154" s="6"/>
      <c r="S154" s="6"/>
      <c r="T154" s="1"/>
      <c r="U154" s="140"/>
      <c r="V154" s="1"/>
      <c r="W154" s="140"/>
      <c r="X154" s="1"/>
      <c r="Y154" s="1"/>
      <c r="Z154" s="1"/>
      <c r="AA154" s="1"/>
      <c r="AB154" s="1"/>
      <c r="AC154" s="1"/>
      <c r="AD154" s="1"/>
      <c r="AG154" s="160"/>
      <c r="AH154" s="1"/>
      <c r="AI154" s="1"/>
    </row>
    <row r="155" spans="1:35" ht="16.5" thickBot="1">
      <c r="H155" s="13"/>
      <c r="I155" s="141"/>
      <c r="J155" s="141"/>
      <c r="K155" s="13"/>
      <c r="L155" s="141"/>
      <c r="M155" s="6"/>
      <c r="N155" s="6"/>
      <c r="O155" s="6"/>
      <c r="P155" s="6"/>
      <c r="Q155" s="6"/>
      <c r="S155" s="6"/>
      <c r="T155" s="1"/>
      <c r="U155" s="140"/>
      <c r="V155" s="1"/>
      <c r="W155" s="140"/>
      <c r="X155" s="1"/>
      <c r="Y155" s="1"/>
      <c r="Z155" s="1"/>
      <c r="AA155" s="1"/>
      <c r="AB155" s="1"/>
      <c r="AC155" s="1"/>
      <c r="AD155" s="1"/>
      <c r="AG155" s="160"/>
      <c r="AH155" s="1"/>
      <c r="AI155" s="1"/>
    </row>
    <row r="156" spans="1:35" ht="16.5" thickBot="1">
      <c r="C156" s="371" t="s">
        <v>96</v>
      </c>
      <c r="D156" s="372"/>
      <c r="E156" s="372"/>
      <c r="F156" s="373"/>
      <c r="H156" s="13"/>
      <c r="I156" s="141"/>
      <c r="J156" s="141"/>
      <c r="K156" s="13"/>
      <c r="L156" s="141"/>
      <c r="M156" s="6"/>
      <c r="N156" s="6"/>
      <c r="O156" s="6"/>
      <c r="P156" s="6"/>
      <c r="Q156" s="6"/>
      <c r="S156" s="6"/>
      <c r="T156" s="1"/>
      <c r="U156" s="140"/>
      <c r="V156" s="1"/>
      <c r="W156" s="140"/>
      <c r="X156" s="1"/>
      <c r="Y156" s="1"/>
      <c r="Z156" s="1"/>
      <c r="AA156" s="1"/>
      <c r="AB156" s="1"/>
      <c r="AC156" s="1"/>
      <c r="AD156" s="1"/>
      <c r="AG156" s="160"/>
      <c r="AH156" s="1"/>
      <c r="AI156" s="1"/>
    </row>
    <row r="157" spans="1:35">
      <c r="C157" s="212" t="s">
        <v>81</v>
      </c>
      <c r="D157" s="374" t="s">
        <v>97</v>
      </c>
      <c r="E157" s="374"/>
      <c r="F157" s="375"/>
      <c r="H157" s="13"/>
      <c r="I157" s="141"/>
      <c r="J157" s="141"/>
      <c r="K157" s="13"/>
      <c r="L157" s="141"/>
      <c r="M157" s="6"/>
      <c r="N157" s="6"/>
      <c r="O157" s="6"/>
      <c r="P157" s="6"/>
      <c r="Q157" s="6"/>
      <c r="S157" s="6"/>
      <c r="T157" s="1"/>
      <c r="U157" s="140"/>
      <c r="V157" s="1"/>
      <c r="W157" s="140"/>
      <c r="X157" s="1"/>
      <c r="Y157" s="1"/>
      <c r="Z157" s="1"/>
      <c r="AA157" s="1"/>
      <c r="AB157" s="1"/>
      <c r="AC157" s="1"/>
      <c r="AD157" s="1"/>
      <c r="AG157" s="160"/>
      <c r="AH157" s="1"/>
      <c r="AI157" s="1"/>
    </row>
    <row r="158" spans="1:35">
      <c r="C158" s="213" t="s">
        <v>82</v>
      </c>
      <c r="D158" s="365" t="s">
        <v>98</v>
      </c>
      <c r="E158" s="365"/>
      <c r="F158" s="366"/>
    </row>
    <row r="159" spans="1:35">
      <c r="C159" s="213" t="s">
        <v>83</v>
      </c>
      <c r="D159" s="365" t="s">
        <v>99</v>
      </c>
      <c r="E159" s="365"/>
      <c r="F159" s="366"/>
    </row>
    <row r="160" spans="1:35">
      <c r="C160" s="214" t="s">
        <v>84</v>
      </c>
      <c r="D160" s="365" t="s">
        <v>100</v>
      </c>
      <c r="E160" s="365"/>
      <c r="F160" s="366"/>
    </row>
    <row r="161" spans="3:6">
      <c r="C161" s="214" t="s">
        <v>85</v>
      </c>
      <c r="D161" s="365" t="s">
        <v>101</v>
      </c>
      <c r="E161" s="365"/>
      <c r="F161" s="366"/>
    </row>
    <row r="162" spans="3:6" ht="18.75">
      <c r="C162" s="214" t="s">
        <v>86</v>
      </c>
      <c r="D162" s="365" t="s">
        <v>102</v>
      </c>
      <c r="E162" s="365"/>
      <c r="F162" s="366"/>
    </row>
    <row r="163" spans="3:6" ht="18.75">
      <c r="C163" s="213" t="s">
        <v>87</v>
      </c>
      <c r="D163" s="365" t="s">
        <v>103</v>
      </c>
      <c r="E163" s="365"/>
      <c r="F163" s="366"/>
    </row>
    <row r="164" spans="3:6">
      <c r="C164" s="215" t="s">
        <v>88</v>
      </c>
      <c r="D164" s="368" t="s">
        <v>104</v>
      </c>
      <c r="E164" s="369"/>
      <c r="F164" s="370"/>
    </row>
    <row r="165" spans="3:6" ht="18.75">
      <c r="C165" s="215" t="s">
        <v>89</v>
      </c>
      <c r="D165" s="365" t="s">
        <v>105</v>
      </c>
      <c r="E165" s="365"/>
      <c r="F165" s="366"/>
    </row>
    <row r="166" spans="3:6">
      <c r="C166" s="213" t="s">
        <v>90</v>
      </c>
      <c r="D166" s="365" t="s">
        <v>106</v>
      </c>
      <c r="E166" s="365"/>
      <c r="F166" s="366"/>
    </row>
    <row r="167" spans="3:6" ht="16.5" thickBot="1">
      <c r="C167" s="216" t="s">
        <v>94</v>
      </c>
      <c r="D167" s="376" t="s">
        <v>107</v>
      </c>
      <c r="E167" s="377"/>
      <c r="F167" s="378"/>
    </row>
  </sheetData>
  <autoFilter ref="A6:AE137" xr:uid="{C724CDAB-378C-47DB-9F45-08EE3BFB6E8B}">
    <sortState xmlns:xlrd2="http://schemas.microsoft.com/office/spreadsheetml/2017/richdata2" ref="A7:AE69">
      <sortCondition ref="T6:T69"/>
    </sortState>
  </autoFilter>
  <mergeCells count="59">
    <mergeCell ref="B4:B5"/>
    <mergeCell ref="D148:F149"/>
    <mergeCell ref="D140:F140"/>
    <mergeCell ref="I140:L140"/>
    <mergeCell ref="AA4:AD4"/>
    <mergeCell ref="Q139:R139"/>
    <mergeCell ref="D145:F145"/>
    <mergeCell ref="D146:F146"/>
    <mergeCell ref="D147:F147"/>
    <mergeCell ref="S4:U4"/>
    <mergeCell ref="L4:L5"/>
    <mergeCell ref="Q4:R4"/>
    <mergeCell ref="K4:K5"/>
    <mergeCell ref="Y4:Z4"/>
    <mergeCell ref="D167:F167"/>
    <mergeCell ref="D139:F139"/>
    <mergeCell ref="C151:F151"/>
    <mergeCell ref="O139:P139"/>
    <mergeCell ref="I139:N139"/>
    <mergeCell ref="I141:L141"/>
    <mergeCell ref="I142:L142"/>
    <mergeCell ref="I143:L143"/>
    <mergeCell ref="I144:L144"/>
    <mergeCell ref="I145:L145"/>
    <mergeCell ref="C148:C149"/>
    <mergeCell ref="D141:F141"/>
    <mergeCell ref="D142:F142"/>
    <mergeCell ref="D143:F143"/>
    <mergeCell ref="D144:F144"/>
    <mergeCell ref="D152:F152"/>
    <mergeCell ref="D166:F166"/>
    <mergeCell ref="D153:F153"/>
    <mergeCell ref="D154:F154"/>
    <mergeCell ref="D161:F161"/>
    <mergeCell ref="D162:F162"/>
    <mergeCell ref="D163:F163"/>
    <mergeCell ref="D164:F164"/>
    <mergeCell ref="D165:F165"/>
    <mergeCell ref="C156:F156"/>
    <mergeCell ref="D157:F157"/>
    <mergeCell ref="D158:F158"/>
    <mergeCell ref="D159:F159"/>
    <mergeCell ref="D160:F160"/>
    <mergeCell ref="AG5:AG6"/>
    <mergeCell ref="AH5:AH6"/>
    <mergeCell ref="AI5:AI6"/>
    <mergeCell ref="A4:A5"/>
    <mergeCell ref="I4:I5"/>
    <mergeCell ref="G4:G5"/>
    <mergeCell ref="H4:H5"/>
    <mergeCell ref="F4:F5"/>
    <mergeCell ref="E4:E5"/>
    <mergeCell ref="C4:C5"/>
    <mergeCell ref="D4:D5"/>
    <mergeCell ref="AE4:AE5"/>
    <mergeCell ref="J4:J5"/>
    <mergeCell ref="V4:X4"/>
    <mergeCell ref="M4:N4"/>
    <mergeCell ref="O4:P4"/>
  </mergeCells>
  <phoneticPr fontId="5" type="noConversion"/>
  <conditionalFormatting sqref="A7:AE137 AG7:AI137">
    <cfRule type="expression" dxfId="18" priority="15" stopIfTrue="1">
      <formula>$L7="X"</formula>
    </cfRule>
    <cfRule type="expression" dxfId="17" priority="23" stopIfTrue="1">
      <formula>$L7="O"</formula>
    </cfRule>
    <cfRule type="expression" dxfId="16" priority="24">
      <formula>$J7&gt;21</formula>
    </cfRule>
    <cfRule type="expression" dxfId="15" priority="25">
      <formula>$I7="A"</formula>
    </cfRule>
    <cfRule type="expression" dxfId="14" priority="26">
      <formula>$I7="B"</formula>
    </cfRule>
    <cfRule type="expression" dxfId="13" priority="27">
      <formula>$I7="C"</formula>
    </cfRule>
    <cfRule type="expression" dxfId="12" priority="28">
      <formula>AND($J7&gt;0,$J7&lt;=21)</formula>
    </cfRule>
  </conditionalFormatting>
  <hyperlinks>
    <hyperlink ref="M8" r:id="rId1" xr:uid="{3631FDB0-F23C-4657-966A-542B42531A77}"/>
    <hyperlink ref="M9" r:id="rId2" xr:uid="{060F282C-2AE2-468B-8797-54434A901693}"/>
    <hyperlink ref="M10" r:id="rId3" xr:uid="{62B55FE5-058E-4574-A72F-1E0D097978DB}"/>
    <hyperlink ref="M11" r:id="rId4" xr:uid="{0E77AE5A-0AB6-4F0B-9A5C-975C71E626EB}"/>
    <hyperlink ref="M12" r:id="rId5" xr:uid="{80BDF69A-3285-46BE-A1E8-D3D0955B1B70}"/>
    <hyperlink ref="M14" r:id="rId6" xr:uid="{83C7F517-52B4-4C85-BD81-AD8C762723D4}"/>
    <hyperlink ref="M15" r:id="rId7" xr:uid="{B7CC2D13-8090-4C36-A2F5-FA74C1D1A046}"/>
    <hyperlink ref="M16" r:id="rId8" xr:uid="{93A991A1-6E22-4E2D-BDAB-E8E505D569DA}"/>
    <hyperlink ref="M17" r:id="rId9" xr:uid="{2AD65BB6-92D7-4666-A466-EAA295EDC7C1}"/>
    <hyperlink ref="M18" r:id="rId10" xr:uid="{FB67F157-2791-4FBD-A5E1-E12F140EE1F1}"/>
    <hyperlink ref="M19" r:id="rId11" xr:uid="{5B9E0390-D45B-4F48-83C9-BA5DE1E8D71D}"/>
    <hyperlink ref="M20" r:id="rId12" xr:uid="{B4E1E37C-2CB7-4AA6-9359-D7805A7AD0A8}"/>
    <hyperlink ref="M21" r:id="rId13" xr:uid="{3E030D03-DA61-4DB5-ADEA-997F91B6E224}"/>
    <hyperlink ref="M22" r:id="rId14" xr:uid="{527D683B-F443-4289-91E1-7C89FDF4D666}"/>
    <hyperlink ref="M23" r:id="rId15" xr:uid="{C7077D32-AE0D-4AEE-A0BC-1C89875555AA}"/>
    <hyperlink ref="M24" r:id="rId16" xr:uid="{6943AD9A-866A-4477-8770-7F550B888EBF}"/>
    <hyperlink ref="M27" r:id="rId17" xr:uid="{DBEA52DD-C1F0-4BD1-9FD0-ECF8CAC2E89D}"/>
    <hyperlink ref="M29" r:id="rId18" xr:uid="{45B30E6D-A059-4EFF-A57F-E0838B0F1E4E}"/>
    <hyperlink ref="M28" r:id="rId19" xr:uid="{18B813B8-33EB-4E98-A4CA-2587448AF376}"/>
    <hyperlink ref="M30" r:id="rId20" xr:uid="{4E3CEC6E-FEF2-4D60-A2B8-7C8ADA3753EE}"/>
    <hyperlink ref="M31" r:id="rId21" xr:uid="{F7CBBAE7-B69C-4EAD-BEA1-CAE10E6D3421}"/>
    <hyperlink ref="M32" r:id="rId22" xr:uid="{14FBCCD0-CF2B-4311-85C4-D17D29C46BB5}"/>
    <hyperlink ref="M33" r:id="rId23" xr:uid="{4017F360-EB1D-4CA7-8FFC-7E945D35DB13}"/>
    <hyperlink ref="M34" r:id="rId24" xr:uid="{AFD33CA5-68B3-4463-B0D7-63FC234A7FED}"/>
    <hyperlink ref="M35" r:id="rId25" xr:uid="{137EE392-3FED-4EF3-A432-C2903699B56E}"/>
    <hyperlink ref="M36" r:id="rId26" xr:uid="{51F7494E-9649-4B7B-9901-9EDB03AA3498}"/>
    <hyperlink ref="M37" r:id="rId27" xr:uid="{3DFDDA1B-34DC-46C4-9C88-AE4406FF0A6C}"/>
    <hyperlink ref="M38" r:id="rId28" xr:uid="{42B08530-910E-47A1-A8AB-7737589553D0}"/>
    <hyperlink ref="M40" r:id="rId29" xr:uid="{3D6FD294-239B-4ECD-8F3E-D326B2140D0C}"/>
    <hyperlink ref="M39" r:id="rId30" xr:uid="{5FA5579D-40FA-47F2-99F8-0FBB5EDF3CFD}"/>
    <hyperlink ref="M41" r:id="rId31" xr:uid="{5E551015-67AB-4F79-82E6-8085FB5A32F7}"/>
    <hyperlink ref="M42" r:id="rId32" xr:uid="{C5AA51B6-5E09-4F93-9E7B-592D8DDEEFDA}"/>
    <hyperlink ref="M43" r:id="rId33" xr:uid="{BDC2CFCE-3DAB-4D6B-B89C-C3958F07E271}"/>
    <hyperlink ref="O7" r:id="rId34" xr:uid="{AA9563F9-8AC1-4E81-A830-AC4017241A98}"/>
    <hyperlink ref="O8" r:id="rId35" xr:uid="{F3257CFA-8C69-460F-9DD8-01C8B2DC0C6A}"/>
    <hyperlink ref="O9" r:id="rId36" xr:uid="{8E381746-0222-46B3-B8AF-270735163925}"/>
    <hyperlink ref="O10" r:id="rId37" xr:uid="{39E39C5E-DC35-4935-9DE3-173B82A3F8B3}"/>
    <hyperlink ref="O14" r:id="rId38" xr:uid="{A655CE47-0E03-4F93-A876-01BE40A64750}"/>
    <hyperlink ref="O15" r:id="rId39" xr:uid="{2A8B437F-6DDC-47E6-9670-7441E965D76D}"/>
    <hyperlink ref="O16" r:id="rId40" xr:uid="{3518D4E8-FAD8-42A0-ADF2-ABE0EDBF3129}"/>
    <hyperlink ref="O17" r:id="rId41" xr:uid="{8FF85755-50D9-4C5C-9B0B-A5EA26F0A76D}"/>
    <hyperlink ref="O21" r:id="rId42" xr:uid="{28616D78-6FB3-4FE6-ADF1-4443306DBDF0}"/>
    <hyperlink ref="O18" r:id="rId43" xr:uid="{B60A1664-0C6B-4189-A9D8-A93A40F46F58}"/>
    <hyperlink ref="O19" r:id="rId44" xr:uid="{0BD42B6F-8D43-42E6-B049-081C03EED707}"/>
    <hyperlink ref="O20" r:id="rId45" xr:uid="{0227C4D3-1D04-4271-B8D8-784897D1A429}"/>
    <hyperlink ref="O22" r:id="rId46" xr:uid="{1BDADDE1-4133-4EA5-9CB4-CFD7A0937EB2}"/>
    <hyperlink ref="O23" r:id="rId47" xr:uid="{E3B04183-FB2D-444C-AD7B-AE38046D8D67}"/>
    <hyperlink ref="O24" r:id="rId48" xr:uid="{7DBA77E2-F9B4-42A6-9EF0-1EB36AC4F2EE}"/>
    <hyperlink ref="O26" r:id="rId49" xr:uid="{51D2DDA7-30B6-4168-9AD4-8FE924185BF4}"/>
    <hyperlink ref="O30" r:id="rId50" xr:uid="{6F54241A-94C4-41F0-9424-BC82C436508F}"/>
    <hyperlink ref="M26" r:id="rId51" xr:uid="{014DD6EE-4A5A-4138-9A7C-4A682A3128B2}"/>
    <hyperlink ref="M25" r:id="rId52" xr:uid="{D72E323C-7746-4D08-B918-77C32ED9E090}"/>
    <hyperlink ref="O25" r:id="rId53" xr:uid="{A6CC7D2A-098A-4F9B-825F-34FFFC1AC772}"/>
    <hyperlink ref="O27" r:id="rId54" xr:uid="{727F20B6-99DE-441A-ACC4-89810A24143E}"/>
    <hyperlink ref="O28" r:id="rId55" xr:uid="{77DFF25C-DD90-4546-9843-B00AC8FEB99F}"/>
    <hyperlink ref="O29" r:id="rId56" xr:uid="{15111573-9CD0-46D7-86FD-D5AB0A5528BF}"/>
    <hyperlink ref="M44" r:id="rId57" xr:uid="{A59F60B7-8350-4CE3-AD6C-803F7557E02F}"/>
    <hyperlink ref="M47" r:id="rId58" xr:uid="{D8CBADF4-1B04-4D46-A5DC-8124F57130BE}"/>
    <hyperlink ref="O33" r:id="rId59" xr:uid="{99759D80-5E2D-4739-B24D-36EFAFA33637}"/>
    <hyperlink ref="O34" r:id="rId60" xr:uid="{E72A0B76-633C-403A-B6B0-2D6A54C61A88}"/>
    <hyperlink ref="O35" r:id="rId61" xr:uid="{78E42FE9-B544-4687-9500-3C0DD8FE4870}"/>
    <hyperlink ref="O36" r:id="rId62" xr:uid="{327AA2C2-6C1E-4A4A-AB92-E358D995A748}"/>
    <hyperlink ref="O37" r:id="rId63" xr:uid="{97C0B2AF-4EA4-4280-A257-A894C631EEAB}"/>
    <hyperlink ref="O38" r:id="rId64" xr:uid="{4BA5D606-4B0A-40E9-A429-2B7FFFB9C25D}"/>
    <hyperlink ref="M46" r:id="rId65" xr:uid="{2BF261F9-81B5-4315-AA14-A3E4213B6D61}"/>
    <hyperlink ref="M48" r:id="rId66" xr:uid="{EA3EB3FB-96B9-4AE4-893B-7CAF783E91DC}"/>
    <hyperlink ref="M49" r:id="rId67" xr:uid="{0CCA2D13-FE20-4B98-B499-BABA5DC285EE}"/>
    <hyperlink ref="M52" r:id="rId68" xr:uid="{9A7D1233-5A85-4646-AF71-F85C8DD38ECA}"/>
    <hyperlink ref="M53" r:id="rId69" xr:uid="{CBEF84CC-350C-42A9-8DD6-05887BA98C19}"/>
    <hyperlink ref="M50" r:id="rId70" xr:uid="{B9D32252-7587-4F4F-A0A7-347AE3B42EDA}"/>
    <hyperlink ref="M54" r:id="rId71" xr:uid="{A2B77619-2FFE-4526-B3A2-616D3CA141F5}"/>
    <hyperlink ref="M55" r:id="rId72" xr:uid="{DF7C3F87-95B0-4EBD-83EB-7450E86AF350}"/>
    <hyperlink ref="M56" r:id="rId73" xr:uid="{4610DE79-02E2-40D4-A1E7-57EC81C21FB1}"/>
    <hyperlink ref="M57" r:id="rId74" xr:uid="{2D46C697-9F2F-4468-B9A9-10A10916653A}"/>
    <hyperlink ref="M58" r:id="rId75" xr:uid="{46941B23-2C23-4012-A6D0-60EC0BDE8892}"/>
    <hyperlink ref="O40" r:id="rId76" xr:uid="{571DA884-4641-43ED-95A1-33BE5E20D7F9}"/>
    <hyperlink ref="O43" r:id="rId77" xr:uid="{8B58958C-E80D-40FF-885E-B42FF16E5A64}"/>
    <hyperlink ref="O44" r:id="rId78" xr:uid="{25321439-D152-43CC-A658-2CF25EF509ED}"/>
    <hyperlink ref="O31" r:id="rId79" xr:uid="{0587A63A-B845-43C5-83EB-041ACF823B38}"/>
    <hyperlink ref="O32" r:id="rId80" xr:uid="{732B1AD3-324C-4A0C-893B-D5F4028B2806}"/>
    <hyperlink ref="M60" r:id="rId81" xr:uid="{21CCF7AD-FBE4-4470-A7C4-2FD1A25CC864}"/>
    <hyperlink ref="M61" r:id="rId82" xr:uid="{DD9132EF-9329-4E6E-9048-72FDDA955E40}"/>
    <hyperlink ref="M63" r:id="rId83" xr:uid="{E535845F-F979-4141-B358-039FA7C20A5E}"/>
    <hyperlink ref="M62" r:id="rId84" xr:uid="{053BB5AF-D4AB-4D9C-8C35-3759B3A53309}"/>
    <hyperlink ref="O42" r:id="rId85" xr:uid="{7B68E25E-7013-49EC-95A2-A6BCECC8BAD5}"/>
    <hyperlink ref="O47" r:id="rId86" xr:uid="{A6E2E221-3F92-4A3C-BCAB-110790AEBFAB}"/>
    <hyperlink ref="M65" r:id="rId87" xr:uid="{238539EC-922B-4777-916D-220E52F55E05}"/>
    <hyperlink ref="O39" r:id="rId88" xr:uid="{D9CA7478-BEAE-4D9B-BEC2-E178025BA19A}"/>
    <hyperlink ref="O12" r:id="rId89" xr:uid="{D89B2A3C-5132-4FD8-A797-91A33AA2EFB9}"/>
    <hyperlink ref="O11" r:id="rId90" xr:uid="{F8DAC5A0-F779-498C-A499-3285CE215965}"/>
    <hyperlink ref="O46" r:id="rId91" xr:uid="{B68004B4-DF70-4A97-9301-34F8CCF0790D}"/>
    <hyperlink ref="M66" r:id="rId92" xr:uid="{88B00613-9D3C-4BEC-8D42-211F31ADDB88}"/>
    <hyperlink ref="M67" r:id="rId93" xr:uid="{BD86095B-2839-4971-AD70-9198F9E237A3}"/>
    <hyperlink ref="O61" r:id="rId94" xr:uid="{F87AEA16-4714-4BC3-A8AA-499CE218AFF3}"/>
    <hyperlink ref="O53" r:id="rId95" xr:uid="{ABD7A512-9687-48C1-9120-F3F03CBA9498}"/>
    <hyperlink ref="O52" r:id="rId96" xr:uid="{D2598838-3BB8-403F-964A-FDEAE2AEA4AF}"/>
    <hyperlink ref="M68" r:id="rId97" xr:uid="{671BE226-7476-40CE-8E1E-179F6AD701D2}"/>
    <hyperlink ref="M69" r:id="rId98" xr:uid="{5A96E5E9-096B-4EF6-BF57-ED86FA11ADA1}"/>
    <hyperlink ref="O49" r:id="rId99" xr:uid="{8C0208E4-E6A4-40AD-AF70-4123387E14D3}"/>
    <hyperlink ref="O50" r:id="rId100" xr:uid="{1D15DD34-C717-4A40-B564-8AC0DFA64357}"/>
    <hyperlink ref="O54" r:id="rId101" xr:uid="{E895244D-A38E-4355-A9B4-2B0B61D8F97C}"/>
    <hyperlink ref="M45" r:id="rId102" xr:uid="{291BE306-93A4-4911-B344-ED64C1506B08}"/>
    <hyperlink ref="O45" r:id="rId103" xr:uid="{D31F81EA-55B8-4D4A-828A-047C9DEB95AC}"/>
    <hyperlink ref="O48" r:id="rId104" xr:uid="{7369D18C-3ECF-4104-8C9B-B4D5F3C92F02}"/>
    <hyperlink ref="O63" r:id="rId105" xr:uid="{CC8525DC-E360-4953-A505-763AFAC9C5F4}"/>
    <hyperlink ref="O62" r:id="rId106" xr:uid="{CAC16C14-3D12-4768-B099-5908DC78B0F0}"/>
    <hyperlink ref="O69" r:id="rId107" xr:uid="{C779C105-A4CE-4A74-8BA5-398F55D9BFAB}"/>
    <hyperlink ref="O60" r:id="rId108" xr:uid="{398505E1-4324-44E8-A776-97C4C6FF07D6}"/>
    <hyperlink ref="O55" r:id="rId109" xr:uid="{9D0282B7-6955-41C0-9EFF-04D32AB31607}"/>
    <hyperlink ref="O56" r:id="rId110" xr:uid="{1643934A-4726-46AF-8B9B-E821DB3E36F3}"/>
    <hyperlink ref="O57" r:id="rId111" xr:uid="{50F77B9E-A04E-47BA-BF11-050E37F1ED1A}"/>
    <hyperlink ref="O58" r:id="rId112" xr:uid="{31CFBA4B-9996-4BAA-9CAB-98D23CAFC5A7}"/>
    <hyperlink ref="O65" r:id="rId113" xr:uid="{7B56F696-3976-49D0-9477-BEA4948A32A6}"/>
    <hyperlink ref="O68" r:id="rId114" xr:uid="{B5EC9E01-BFF8-4485-9F81-FEA51677A841}"/>
    <hyperlink ref="O67" r:id="rId115" xr:uid="{3044B8B0-2A27-44DB-9F51-E6A97E0F36A6}"/>
    <hyperlink ref="O66" r:id="rId116" xr:uid="{077ACEB9-04F5-4DEB-BAA4-9EF5FB436822}"/>
    <hyperlink ref="N7" r:id="rId117" xr:uid="{ACE6CE5C-7DF3-495A-A0A8-4F87A029E67B}"/>
    <hyperlink ref="N8" r:id="rId118" xr:uid="{404CC12C-6E37-4655-A40F-B84682BCB577}"/>
    <hyperlink ref="N9" r:id="rId119" xr:uid="{B0704C36-DA42-4DBA-A8C4-9CAC1F3CCD4E}"/>
    <hyperlink ref="N10" r:id="rId120" xr:uid="{3F09B34D-CF5C-4CDB-A0C7-784D0D5B9A12}"/>
    <hyperlink ref="N11" r:id="rId121" xr:uid="{BBF33FD1-5800-4535-A2FF-C3F3D0F0F49D}"/>
    <hyperlink ref="N12" r:id="rId122" xr:uid="{A1553D81-13F4-4B05-A069-150CA8786C8C}"/>
    <hyperlink ref="N14" r:id="rId123" xr:uid="{44936D93-3FBB-42B2-89EE-73BBBC352165}"/>
    <hyperlink ref="N15" r:id="rId124" xr:uid="{10CF9B01-903F-4A5F-AD2D-2DE2FF883B1F}"/>
    <hyperlink ref="N16" r:id="rId125" xr:uid="{B7259AAE-2DF7-4761-97C4-4D9CB65C9730}"/>
    <hyperlink ref="N17" r:id="rId126" xr:uid="{F6C268EF-BC32-4282-BD4E-563CB818D362}"/>
    <hyperlink ref="N18" r:id="rId127" xr:uid="{66138A80-4C79-4966-8EF3-1936E647DFE4}"/>
    <hyperlink ref="N19" r:id="rId128" xr:uid="{1EB48045-29C9-4754-8378-76B4712C7C9E}"/>
    <hyperlink ref="N20" r:id="rId129" xr:uid="{15744012-6CF3-462F-AD3F-9848A64D48E4}"/>
    <hyperlink ref="N21" r:id="rId130" xr:uid="{9F42EF36-E4CA-453A-9E7E-2F75924CD79E}"/>
    <hyperlink ref="N22" r:id="rId131" xr:uid="{600E9F98-2497-4596-8D32-BA7B2A9D7C2A}"/>
    <hyperlink ref="N23" r:id="rId132" xr:uid="{B2B71713-5F8D-411B-959D-9050C92EF670}"/>
    <hyperlink ref="N24" r:id="rId133" xr:uid="{537D5F74-D642-4F97-8ABB-40AEEC850A6E}"/>
    <hyperlink ref="N26" r:id="rId134" xr:uid="{828B6A72-8089-4C40-811E-2CFAC49E5983}"/>
    <hyperlink ref="N25" r:id="rId135" xr:uid="{AC28FBB9-CEC0-40DF-812A-4EB54F0526B3}"/>
    <hyperlink ref="N27" r:id="rId136" xr:uid="{A18BF0BB-10A8-4EA2-B0DC-0C8949F8CA53}"/>
    <hyperlink ref="N28" r:id="rId137" xr:uid="{7801E844-FAF3-4DA7-BE52-DA6A86E4BE95}"/>
    <hyperlink ref="N29" r:id="rId138" xr:uid="{7A3763DB-953C-4E2D-B043-A099CFEECDBE}"/>
    <hyperlink ref="N30" r:id="rId139" xr:uid="{2769CFA6-4261-4E06-A319-C22612D165A1}"/>
    <hyperlink ref="N31" r:id="rId140" xr:uid="{2418AD66-CA2F-4C1B-977B-714239E85E99}"/>
    <hyperlink ref="N32" r:id="rId141" xr:uid="{A0F2E5C2-F9F1-4ADD-A787-36AB7EC8155D}"/>
    <hyperlink ref="N33" r:id="rId142" xr:uid="{A0D662C3-8AF8-48C7-AF21-6367EA61704B}"/>
    <hyperlink ref="N34" r:id="rId143" xr:uid="{699F501E-5C9A-45F9-9F35-C87C125C9629}"/>
    <hyperlink ref="N35" r:id="rId144" xr:uid="{6AC721B9-52E0-40E9-A7C1-0A06010F00C0}"/>
    <hyperlink ref="N36" r:id="rId145" xr:uid="{6788A7C2-D424-40C9-BB31-578F573A2370}"/>
    <hyperlink ref="N37" r:id="rId146" xr:uid="{E346DB96-7EA8-4FC9-9057-A01CF0B25F88}"/>
    <hyperlink ref="N38" r:id="rId147" xr:uid="{1CEAD1C0-7BC1-4B1C-8C51-C89211E5E0C9}"/>
    <hyperlink ref="N40" r:id="rId148" xr:uid="{8268A491-5349-49B9-B029-DE71180FC838}"/>
    <hyperlink ref="N39" r:id="rId149" xr:uid="{77DFF8A2-45C1-4C81-B301-34FE675C5C78}"/>
    <hyperlink ref="N41" r:id="rId150" xr:uid="{99456FA5-0794-44C5-A115-8591437FC102}"/>
    <hyperlink ref="N42" r:id="rId151" xr:uid="{E3B6DC28-1E3F-4A6D-83DD-1B49E9F53982}"/>
    <hyperlink ref="N43" r:id="rId152" xr:uid="{3CD1B30B-0C3C-4F04-A5B1-3E668B2979D5}"/>
    <hyperlink ref="N44" r:id="rId153" xr:uid="{9F3A5629-B9B9-424E-9AAB-8C30A9FF8CDB}"/>
    <hyperlink ref="N47" r:id="rId154" xr:uid="{B0F3E41E-8813-4F57-9DDE-3BD3281B3F56}"/>
    <hyperlink ref="N46" r:id="rId155" xr:uid="{F5313DAA-764D-4502-9D04-94D06314034C}"/>
    <hyperlink ref="N45" r:id="rId156" xr:uid="{3494D09E-7785-47FE-B927-A1EEF3F7053B}"/>
    <hyperlink ref="N48" r:id="rId157" xr:uid="{CA4F1AC5-23D8-4BBF-8376-E761C451054A}"/>
    <hyperlink ref="N49" r:id="rId158" xr:uid="{74E20180-1D20-44AA-B875-30502DC9326F}"/>
    <hyperlink ref="N52" r:id="rId159" xr:uid="{CA85416B-5CF3-4E32-AB55-5601A3CB79C0}"/>
    <hyperlink ref="N53" r:id="rId160" xr:uid="{095FDC45-C8DF-4407-9DB5-FB71B2E0F618}"/>
    <hyperlink ref="N50" r:id="rId161" xr:uid="{6E589C07-9638-4B7A-AA37-086EEE74B72B}"/>
    <hyperlink ref="N54" r:id="rId162" xr:uid="{E4E27773-EC10-451D-9AE5-8036C9A16BE3}"/>
    <hyperlink ref="N55" r:id="rId163" xr:uid="{F57B96CB-11AA-4A67-BE07-524FFB48332F}"/>
    <hyperlink ref="N56" r:id="rId164" xr:uid="{886DD6BE-54A4-44F7-B483-AE6199A7959B}"/>
    <hyperlink ref="N57" r:id="rId165" xr:uid="{2EB2E046-DF9A-4729-AF8E-F23D795F569F}"/>
    <hyperlink ref="N58" r:id="rId166" xr:uid="{B7A45B1F-D0BC-40A0-80A5-AC40D2E5E366}"/>
    <hyperlink ref="N60" r:id="rId167" xr:uid="{75C754CD-D5B9-4D1F-BBFF-6B2FEC30F1D6}"/>
    <hyperlink ref="N61" r:id="rId168" xr:uid="{0116C3F3-45F6-49B9-8162-57F4C26992A9}"/>
    <hyperlink ref="N63" r:id="rId169" xr:uid="{B3D70E04-422A-4E3B-BD1A-1C2CA8012799}"/>
    <hyperlink ref="N62" r:id="rId170" xr:uid="{505D060E-279E-42E5-AEE7-C1D57B92D5E4}"/>
    <hyperlink ref="N64" r:id="rId171" xr:uid="{17DE21C6-1431-44DD-AB97-1E0EDDD6C6BD}"/>
    <hyperlink ref="N65" r:id="rId172" xr:uid="{62E5BC3C-12A8-4FAB-A24C-45EB8006EF82}"/>
    <hyperlink ref="N67" r:id="rId173" xr:uid="{55A47AA7-D668-4704-BEC1-4AAFF37C6463}"/>
    <hyperlink ref="N66" r:id="rId174" xr:uid="{E8A9B550-E1A9-450D-8415-07B0B7DF4206}"/>
    <hyperlink ref="N68" r:id="rId175" xr:uid="{5098170F-C54F-4FA7-AFF0-D14A4605FDD3}"/>
    <hyperlink ref="N69" r:id="rId176" xr:uid="{98C92FC4-14AB-4DAB-84CC-5E865EBFC204}"/>
    <hyperlink ref="P7" r:id="rId177" xr:uid="{551D6942-7EF7-4A83-BDEB-BC088F3F57BC}"/>
    <hyperlink ref="P8" r:id="rId178" xr:uid="{71539C34-F0ED-408D-8A3F-E4A5540F46BC}"/>
    <hyperlink ref="P9" r:id="rId179" xr:uid="{9503630F-BE2D-477E-A562-68B4F2F38B22}"/>
    <hyperlink ref="P10" r:id="rId180" xr:uid="{88F5DB95-6508-4A8C-9569-F3F3432B1CE4}"/>
    <hyperlink ref="P11" r:id="rId181" xr:uid="{F51BDC16-0EE5-4782-BA5B-A9380B46C43D}"/>
    <hyperlink ref="P12" r:id="rId182" xr:uid="{79B065D7-9B68-44C8-8DB1-F08C20FDDAE9}"/>
    <hyperlink ref="P14" r:id="rId183" xr:uid="{BED5346F-E8CF-4198-B902-84E79E49BA0D}"/>
    <hyperlink ref="P15" r:id="rId184" xr:uid="{4A40E42B-516C-4990-AD37-A2702C49A2D2}"/>
    <hyperlink ref="P16" r:id="rId185" xr:uid="{062C3D45-028C-4C53-8346-B23435860120}"/>
    <hyperlink ref="P17" r:id="rId186" xr:uid="{04DA05C1-548F-40C9-B577-DFBB7DE19970}"/>
    <hyperlink ref="P18" r:id="rId187" xr:uid="{CBE9F555-5086-486C-A2F3-0FFFDDDABBDB}"/>
    <hyperlink ref="P19" r:id="rId188" xr:uid="{BACF0CF1-B2B2-4803-A6DE-4E80EA05C6DE}"/>
    <hyperlink ref="P20" r:id="rId189" xr:uid="{37D756C2-1582-4A3D-8CA3-D311412AF04F}"/>
    <hyperlink ref="P21" r:id="rId190" xr:uid="{1D7A1453-73F4-4A01-9A55-12F1FDA53235}"/>
    <hyperlink ref="P22" r:id="rId191" xr:uid="{40C86020-9B68-447F-83B8-03C2C26C2498}"/>
    <hyperlink ref="P23" r:id="rId192" xr:uid="{3AB999DD-A0BC-4B26-A805-6835E96903FE}"/>
    <hyperlink ref="P24" r:id="rId193" xr:uid="{4CD03841-5C97-4CEB-AA7A-19DD72BCBC92}"/>
    <hyperlink ref="P26" r:id="rId194" xr:uid="{BFC8AB27-2F40-4D35-85FA-968B3628CB99}"/>
    <hyperlink ref="P25" r:id="rId195" xr:uid="{F0586593-7D21-4629-8F3A-BD180BCF3DAE}"/>
    <hyperlink ref="P27" r:id="rId196" xr:uid="{5B0F752A-680C-40B8-9AFD-2AA6D5A75614}"/>
    <hyperlink ref="P28" r:id="rId197" xr:uid="{339435AC-0D81-4272-AA70-C640058DA252}"/>
    <hyperlink ref="P29" r:id="rId198" xr:uid="{AFCD07D3-D0E2-49D2-8E63-86EC90EC8DFF}"/>
    <hyperlink ref="P30" r:id="rId199" xr:uid="{DE105A78-552F-4FD8-9BF5-67683D83D672}"/>
    <hyperlink ref="P31" r:id="rId200" xr:uid="{C81CCF1D-E17D-4AA7-B8D2-7D361D3A2F96}"/>
    <hyperlink ref="P32" r:id="rId201" xr:uid="{2FB40020-6447-4F78-8B86-63E8E32B8F91}"/>
    <hyperlink ref="P33" r:id="rId202" xr:uid="{8EAC8A80-B712-459C-8DF1-FE0B6BF19AE0}"/>
    <hyperlink ref="P34" r:id="rId203" xr:uid="{032CC17B-96A3-411C-BDB6-7268BCC8F230}"/>
    <hyperlink ref="P35" r:id="rId204" xr:uid="{9CB7CFAF-C640-4C9B-86BE-130CF1E0252E}"/>
    <hyperlink ref="P36" r:id="rId205" xr:uid="{68668DD7-4BD3-42F8-A547-39835C988209}"/>
    <hyperlink ref="P37" r:id="rId206" xr:uid="{ABFB649F-BC8D-4116-A0C8-091E269B943B}"/>
    <hyperlink ref="P38" r:id="rId207" xr:uid="{40EB6CB6-EF8A-4DE2-908B-911045AA1B62}"/>
    <hyperlink ref="P40" r:id="rId208" xr:uid="{BCC99D71-5987-4826-82C8-EDA875C5BDFB}"/>
    <hyperlink ref="P39" r:id="rId209" xr:uid="{63815C7F-0348-4371-AAD6-CC60E053AD41}"/>
    <hyperlink ref="P41" r:id="rId210" xr:uid="{8442BFE2-5BD8-4B7D-B5D8-FF7866F87AF4}"/>
    <hyperlink ref="P42" r:id="rId211" xr:uid="{B647983D-8102-46C0-92A1-FA5E45EF3972}"/>
    <hyperlink ref="P43" r:id="rId212" xr:uid="{6B532767-075D-4E54-9D9E-204B2C25B9D8}"/>
    <hyperlink ref="P44" r:id="rId213" xr:uid="{1C3C28BB-049A-4292-83A0-522DC579446C}"/>
    <hyperlink ref="P47" r:id="rId214" xr:uid="{CC848AEC-CCD1-4886-B90A-CB11EBA87099}"/>
    <hyperlink ref="P46" r:id="rId215" xr:uid="{B68ABBB5-4762-4058-AD25-8B462383AC5B}"/>
    <hyperlink ref="P45" r:id="rId216" xr:uid="{A16AC106-D4B8-4D38-B81A-00BBFB727141}"/>
    <hyperlink ref="P48" r:id="rId217" xr:uid="{EFBD5067-5159-4A26-8BA1-D069462866F9}"/>
    <hyperlink ref="P49" r:id="rId218" xr:uid="{3B36F293-F8BB-4826-8B62-A257347DA70A}"/>
    <hyperlink ref="P52" r:id="rId219" xr:uid="{75A1601C-2067-4C39-9C4D-EE49EF8B4F7E}"/>
    <hyperlink ref="P53" r:id="rId220" xr:uid="{DE602990-25B1-47A5-9A6A-CFE42DC82D98}"/>
    <hyperlink ref="P50" r:id="rId221" xr:uid="{810EC069-ACCB-4DF9-A223-960036556E94}"/>
    <hyperlink ref="P54" r:id="rId222" xr:uid="{B18E87AA-BF0E-48DE-9235-E1D23DD2BEE6}"/>
    <hyperlink ref="P55" r:id="rId223" xr:uid="{EA87C94B-AD7E-4A71-BDA1-0148428D40C1}"/>
    <hyperlink ref="P56" r:id="rId224" xr:uid="{518257F9-835D-470E-898D-40E90701FBB4}"/>
    <hyperlink ref="P57" r:id="rId225" xr:uid="{560CC5F2-C646-46EB-9A9E-9E19DE345E24}"/>
    <hyperlink ref="P58" r:id="rId226" xr:uid="{4C5EBA98-4B63-48B2-8728-EDB361B4A853}"/>
    <hyperlink ref="P60" r:id="rId227" xr:uid="{D74064FA-FA5B-4F1C-B342-395DC1D5D1C5}"/>
    <hyperlink ref="P61" r:id="rId228" xr:uid="{47B24FA1-B9A7-4936-AB1D-DCCC7687E960}"/>
    <hyperlink ref="P63" r:id="rId229" xr:uid="{22C489C1-73AF-4475-A668-6B6079D918E4}"/>
    <hyperlink ref="P62" r:id="rId230" xr:uid="{8B22A966-794A-47DF-B0F5-EE3381F7B76B}"/>
    <hyperlink ref="P64" r:id="rId231" xr:uid="{B66C39DE-7D6D-4ADE-9106-7F3EDFEDE8AD}"/>
    <hyperlink ref="P65" r:id="rId232" xr:uid="{9070488F-0764-44B1-8E78-BDEF1B0E3DAC}"/>
    <hyperlink ref="P67" r:id="rId233" xr:uid="{F82FFCA6-0296-480C-AFE5-F4254B96E000}"/>
    <hyperlink ref="P66" r:id="rId234" xr:uid="{943197F0-AD92-4E20-ACB9-85E2FC8AC2B6}"/>
    <hyperlink ref="P68" r:id="rId235" xr:uid="{B8D8E563-954E-4146-81D8-6B9C7FA5754F}"/>
    <hyperlink ref="P69" r:id="rId236" xr:uid="{B36E752F-3B1E-43A8-9FDB-009F10632DBE}"/>
    <hyperlink ref="C152" r:id="rId237" xr:uid="{8E310CD5-A28F-4463-BCF0-54C44E66ED53}"/>
    <hyperlink ref="C153" r:id="rId238" xr:uid="{5182D641-FE70-4AC5-A684-B03DCC409CD2}"/>
    <hyperlink ref="C154" r:id="rId239" xr:uid="{1AA76CB8-C0E3-43B4-9061-99A680A3D3C7}"/>
    <hyperlink ref="Q7" r:id="rId240" xr:uid="{D3D10629-3F3E-4216-8F11-F525BC7A698A}"/>
    <hyperlink ref="Q8" r:id="rId241" xr:uid="{91F15092-AC5D-4C7E-9E23-E3913E29C1F3}"/>
    <hyperlink ref="Q9" r:id="rId242" xr:uid="{381D2B0A-72F0-4FCE-A724-4D1E565A253A}"/>
    <hyperlink ref="Q10" r:id="rId243" xr:uid="{EEAA4407-C997-4442-A82F-3C59B1461078}"/>
    <hyperlink ref="Q11" r:id="rId244" xr:uid="{32C0BC23-53CA-4FCC-8A96-F48861BF83EC}"/>
    <hyperlink ref="Q12" r:id="rId245" xr:uid="{44C3B51E-ECA2-406A-9EBC-6B68517A1D54}"/>
    <hyperlink ref="Q14" r:id="rId246" xr:uid="{020F306D-7DCA-434C-855E-84E782753131}"/>
    <hyperlink ref="Q15" r:id="rId247" xr:uid="{DBD9BCB8-AF4D-4D84-9C18-BBAE0E8240CA}"/>
    <hyperlink ref="Q16" r:id="rId248" xr:uid="{06FDC7E7-5810-4126-A014-792FB3D03492}"/>
    <hyperlink ref="Q17" r:id="rId249" xr:uid="{0507EC40-3803-42C5-A736-C3E4CDD33882}"/>
    <hyperlink ref="Q18" r:id="rId250" xr:uid="{C49A3E31-8C51-4E55-95A0-FDC92691B587}"/>
    <hyperlink ref="Q19" r:id="rId251" xr:uid="{580220DD-5D36-41F4-A54D-D6EA50F4FEA4}"/>
    <hyperlink ref="Q20" r:id="rId252" xr:uid="{7C2A5435-97A5-4D25-833C-26FE5961AED9}"/>
    <hyperlink ref="Q21" r:id="rId253" xr:uid="{30BE5FB8-7275-4F13-8532-BF8D720FF211}"/>
    <hyperlink ref="Q22" r:id="rId254" xr:uid="{7B026783-E504-4990-93C4-285FC7BCB99D}"/>
    <hyperlink ref="Q23" r:id="rId255" xr:uid="{412D323C-A7D0-4870-935F-7EF8613C2158}"/>
    <hyperlink ref="Q24" r:id="rId256" xr:uid="{7A0EE93A-BF11-4D5B-8916-4D63AED84AC0}"/>
    <hyperlink ref="Q25" r:id="rId257" xr:uid="{4AF99CDF-06B1-488A-978D-7DB40DA89B7B}"/>
    <hyperlink ref="Q26" r:id="rId258" xr:uid="{29EDCF54-C960-4B50-B889-065513C4B4CD}"/>
    <hyperlink ref="Q27" r:id="rId259" xr:uid="{B08367D0-1275-469A-933F-674A9BEB933E}"/>
    <hyperlink ref="Q28" r:id="rId260" xr:uid="{E5F9CA51-21C4-44B2-8FBE-143EAC9C97F0}"/>
    <hyperlink ref="Q29" r:id="rId261" xr:uid="{A0314C84-56FA-4AC9-9C02-9738D32B0C70}"/>
    <hyperlink ref="Q30" r:id="rId262" xr:uid="{DCF409ED-6CA2-4FF4-9149-3F0F26C761E3}"/>
    <hyperlink ref="Q31" r:id="rId263" xr:uid="{D8AACE00-AEFA-4C17-8DD1-0909D36C04E9}"/>
    <hyperlink ref="Q32" r:id="rId264" xr:uid="{15E42CE6-F557-4ECA-BACD-8B0F233E9C40}"/>
    <hyperlink ref="Q33" r:id="rId265" xr:uid="{90520797-B096-4855-B882-1993499441D4}"/>
    <hyperlink ref="Q34" r:id="rId266" xr:uid="{99109324-C100-43BC-A740-753E73CD7898}"/>
    <hyperlink ref="Q35" r:id="rId267" xr:uid="{18600904-75F4-489F-B854-AE856AADD5D5}"/>
    <hyperlink ref="Q36" r:id="rId268" xr:uid="{CF8E841B-3DA8-467B-8120-7477A3D8999B}"/>
    <hyperlink ref="Q37" r:id="rId269" xr:uid="{19841888-CE92-4D39-A322-73E9D0F959ED}"/>
    <hyperlink ref="Q38" r:id="rId270" xr:uid="{787458C4-D8B2-485D-A3FD-B01D0EF21E0F}"/>
    <hyperlink ref="Q39" r:id="rId271" xr:uid="{0682F022-FBD5-4E3E-8DCD-773CAB5F8468}"/>
    <hyperlink ref="Q40" r:id="rId272" xr:uid="{49858E36-2F17-4BF9-8CB6-B7DDCDF82A0E}"/>
    <hyperlink ref="Q42" r:id="rId273" xr:uid="{4626F8B4-F098-4263-A805-4C4FC0C1D78B}"/>
    <hyperlink ref="Q43" r:id="rId274" xr:uid="{1CBA26B1-7C2B-4B2D-9E88-FC8C0425F6B5}"/>
    <hyperlink ref="Q44" r:id="rId275" xr:uid="{5864A189-10FA-45E5-8071-2F8EB1474AE9}"/>
    <hyperlink ref="Q45" r:id="rId276" xr:uid="{9EE8DD38-03D9-4B64-B7F4-16D9124F283A}"/>
    <hyperlink ref="Q46" r:id="rId277" xr:uid="{22E9A0E6-7F30-47B1-A057-3B588F4FD870}"/>
    <hyperlink ref="Q47" r:id="rId278" xr:uid="{6EEA2429-8427-42FE-9457-6B3699452CEA}"/>
    <hyperlink ref="Q48" r:id="rId279" xr:uid="{7E9E5150-7F70-450E-9B7C-046FC9576077}"/>
    <hyperlink ref="Q49" r:id="rId280" xr:uid="{6A681141-24EB-4506-AD11-CAD408A1089C}"/>
    <hyperlink ref="Q50" r:id="rId281" xr:uid="{C6E529E5-9329-42C1-8DA4-1451C9231A49}"/>
    <hyperlink ref="Q52" r:id="rId282" xr:uid="{CB058AA6-5328-4A66-A37E-18CC916ADF6C}"/>
    <hyperlink ref="Q53" r:id="rId283" xr:uid="{F3216ACA-60C7-46F5-8CE5-3F55FED43758}"/>
    <hyperlink ref="Q54" r:id="rId284" xr:uid="{C73D9018-E1A2-4137-89A5-CF8C34539F06}"/>
    <hyperlink ref="Q55" r:id="rId285" xr:uid="{25B40450-5AC1-48B9-BFB7-86BEB8A1A4E3}"/>
    <hyperlink ref="Q56" r:id="rId286" xr:uid="{D891F743-FBA9-481C-8207-44B1A900448E}"/>
    <hyperlink ref="Q57" r:id="rId287" xr:uid="{C09D1E7F-6BA8-4F16-8CD5-72CBC9CB5EF9}"/>
    <hyperlink ref="Q58" r:id="rId288" xr:uid="{BFE6DC95-F42E-4D83-8898-F4B3F536B5EC}"/>
    <hyperlink ref="Q60" r:id="rId289" xr:uid="{8A768DB8-FA5D-4A27-AFCB-5261D10B39D4}"/>
    <hyperlink ref="Q61" r:id="rId290" xr:uid="{7C166450-4F64-4676-8AB7-46BD87D1C235}"/>
    <hyperlink ref="Q62" r:id="rId291" xr:uid="{C0ECEE29-D111-49E8-8378-FA12476B44DB}"/>
    <hyperlink ref="Q63" r:id="rId292" xr:uid="{6DFBA92F-18F5-46A2-88B1-FCEBD44F9B77}"/>
    <hyperlink ref="Q67" r:id="rId293" xr:uid="{353EB638-B331-4EE7-AA84-B29FBA1384BA}"/>
    <hyperlink ref="Q68" r:id="rId294" xr:uid="{01BF89D4-789F-43FA-BFEB-F13011F8BE21}"/>
    <hyperlink ref="M64" r:id="rId295" xr:uid="{94CAFF27-7E67-45A2-A972-26C1BD168CD7}"/>
    <hyperlink ref="M13" r:id="rId296" xr:uid="{E662987F-A626-4442-BE49-81DD8DC8630A}"/>
    <hyperlink ref="O13" r:id="rId297" xr:uid="{CC71886A-D00D-4637-A9FC-F8AA36BC1570}"/>
    <hyperlink ref="N13" r:id="rId298" xr:uid="{6E57CE3B-BB2E-4960-B293-B4FCAB3F6FF8}"/>
    <hyperlink ref="P13" r:id="rId299" xr:uid="{FA7A1AC0-26C7-4487-BACB-8F31FC472D0E}"/>
    <hyperlink ref="Q13" r:id="rId300" xr:uid="{3A088D1F-5B31-41ED-953F-B4534A56A7FE}"/>
    <hyperlink ref="M7" r:id="rId301" xr:uid="{8381DF0A-107E-419D-88E0-C880DF2A1EE8}"/>
    <hyperlink ref="M104" r:id="rId302" xr:uid="{229A30E5-44F1-436C-90C8-5C14FC4B2F8E}"/>
    <hyperlink ref="M105" r:id="rId303" xr:uid="{6EBF20E9-1F9C-4740-9F98-90E81C21B9C9}"/>
    <hyperlink ref="M103" r:id="rId304" xr:uid="{7C8B09EE-5F3A-48B3-B143-C2F35FB3A68A}"/>
    <hyperlink ref="O41" r:id="rId305" xr:uid="{7A19713E-DDBE-4775-9C8B-57DFD2625BE0}"/>
    <hyperlink ref="Q41" r:id="rId306" xr:uid="{8001E701-A433-4979-8374-81D6D17B2A7B}"/>
    <hyperlink ref="O64" r:id="rId307" xr:uid="{952CD049-53FB-4912-8C0E-6823DC96ECBA}"/>
    <hyperlink ref="Q64" r:id="rId308" xr:uid="{A323EE8F-2DE7-4016-85CC-AC6664EEF2AB}"/>
    <hyperlink ref="Q65" r:id="rId309" xr:uid="{E6F65598-4909-4725-92D0-4B24A9C94757}"/>
    <hyperlink ref="Q66" r:id="rId310" xr:uid="{5FAFC97F-F54D-4595-9489-3FD90159D3DB}"/>
    <hyperlink ref="N103" r:id="rId311" xr:uid="{E94DAF60-8248-4B44-B4C5-610F4EA7CE41}"/>
    <hyperlink ref="N104" r:id="rId312" xr:uid="{FFA720A8-B5A0-416C-89D6-73C8BD2572A0}"/>
    <hyperlink ref="N105" r:id="rId313" xr:uid="{2BAD2C1B-0DAE-4DBA-A43C-6730871F0FD1}"/>
    <hyperlink ref="P103" r:id="rId314" xr:uid="{4BB46B78-2207-497A-AF6E-6E54BB8D0E87}"/>
    <hyperlink ref="O103" r:id="rId315" xr:uid="{1C60E618-9507-4743-80B5-D5C80E201912}"/>
    <hyperlink ref="P104" r:id="rId316" xr:uid="{37EA22A1-2D85-4404-933D-CD3BD209720A}"/>
    <hyperlink ref="O104" r:id="rId317" xr:uid="{D9B1897A-AE6B-4C8F-87C3-2255C0D5408F}"/>
    <hyperlink ref="O105" r:id="rId318" xr:uid="{FCFEE8BD-41AD-475E-86D3-189F88580EF4}"/>
    <hyperlink ref="P105" r:id="rId319" xr:uid="{11305A35-E5A0-4499-B491-80B4CF3CF350}"/>
    <hyperlink ref="O84" r:id="rId320" xr:uid="{2BCC528C-8EDB-4DE2-9B79-CA8C41ABE7C5}"/>
    <hyperlink ref="O100" r:id="rId321" xr:uid="{D35362DD-FE84-488B-8E67-088154C65995}"/>
    <hyperlink ref="N88" r:id="rId322" xr:uid="{FC8073A4-ECAB-4CD4-80B5-D3D4D292D77F}"/>
    <hyperlink ref="P88" r:id="rId323" xr:uid="{26DCE6A3-20B5-4E99-85A9-9BA5956E1CDF}"/>
    <hyperlink ref="N89" r:id="rId324" xr:uid="{F18EEA3C-CD79-41C9-9B98-8823953A7979}"/>
    <hyperlink ref="P89" r:id="rId325" xr:uid="{46DA4030-39A9-4C40-8EA3-BA478374D379}"/>
    <hyperlink ref="N70" r:id="rId326" xr:uid="{DC5CEAFE-BB8C-4852-92D7-85F0CE48D87A}"/>
    <hyperlink ref="P70" r:id="rId327" xr:uid="{354C85EA-C7ED-4D2D-8168-A982B8FEFBD9}"/>
    <hyperlink ref="N71" r:id="rId328" xr:uid="{68542A62-98FA-436D-A3A4-ACD35442EA32}"/>
    <hyperlink ref="P71" r:id="rId329" xr:uid="{33E3DC39-C3B5-4A71-B9F7-97B2FCC765AB}"/>
    <hyperlink ref="N77" r:id="rId330" xr:uid="{9B807428-B35A-4503-B528-AB5FF143ED7B}"/>
    <hyperlink ref="P77" r:id="rId331" xr:uid="{8361DBBD-C28A-4223-82D8-4633DD969EBD}"/>
    <hyperlink ref="N75" r:id="rId332" xr:uid="{F5147B8D-E00E-4F1F-BF1C-D54D23E42C17}"/>
    <hyperlink ref="P75" r:id="rId333" xr:uid="{712B2EE9-3DE7-48E9-8641-4EA47EE7D2C8}"/>
    <hyperlink ref="N74" r:id="rId334" xr:uid="{254A540A-E309-4B99-BB86-8FB61245A564}"/>
    <hyperlink ref="P74" r:id="rId335" xr:uid="{8884D616-C4C3-46C5-9B5B-7F8173E71990}"/>
    <hyperlink ref="N72" r:id="rId336" xr:uid="{29F4A1B1-777E-4BAB-8DE4-EF87EECA98B5}"/>
    <hyperlink ref="P72" r:id="rId337" xr:uid="{163814CE-1A00-4005-A9FA-BBD3E7B23580}"/>
    <hyperlink ref="N73" r:id="rId338" xr:uid="{CA09C602-2E6E-4776-AAA1-2452E2D4AE9C}"/>
    <hyperlink ref="P73" r:id="rId339" xr:uid="{70CB7531-3879-4C6D-A4D9-933504E7001C}"/>
    <hyperlink ref="N76" r:id="rId340" xr:uid="{BEA7F9EC-C6CA-4149-9197-A80F368D6B54}"/>
    <hyperlink ref="P76" r:id="rId341" xr:uid="{8DC7319D-D540-48FE-88B3-3C9B6F62A03E}"/>
    <hyperlink ref="N78" r:id="rId342" xr:uid="{3E5D816C-CD8F-4565-9755-D2AF59AC9838}"/>
    <hyperlink ref="P78" r:id="rId343" xr:uid="{96C9C410-4A13-4605-A6D7-1F9BEF83DBB5}"/>
    <hyperlink ref="N79" r:id="rId344" xr:uid="{890D3276-3FAD-4090-BFCF-83BD195D4FFD}"/>
    <hyperlink ref="P79" r:id="rId345" xr:uid="{EEAA91A2-B921-4594-BCE4-B5A32A24570B}"/>
    <hyperlink ref="N80" r:id="rId346" xr:uid="{88F9F089-2C95-463C-8D8C-88B9E7D17C6E}"/>
    <hyperlink ref="P80" r:id="rId347" xr:uid="{0CEACEF0-F702-4AEB-B04A-DC477E0A3180}"/>
    <hyperlink ref="N81" r:id="rId348" xr:uid="{1E640163-6A51-483A-BA6D-AC0381AACE44}"/>
    <hyperlink ref="N82" r:id="rId349" xr:uid="{E4D98C24-6AB1-41DC-9B3C-321C734C3159}"/>
    <hyperlink ref="P82" r:id="rId350" xr:uid="{69202593-E7F4-4605-BE14-51E13F7F8ED3}"/>
    <hyperlink ref="N83" r:id="rId351" xr:uid="{D06A736C-256F-44C9-857A-CB004DC86DA4}"/>
    <hyperlink ref="N84" r:id="rId352" xr:uid="{38BFA65D-226A-473E-B004-CE0B8E9864B5}"/>
    <hyperlink ref="N85" r:id="rId353" xr:uid="{D4E2379F-1135-4F46-A98E-C96482D90261}"/>
    <hyperlink ref="P85" r:id="rId354" xr:uid="{DADB2651-0E32-42AC-905C-1E4FE62BC1A7}"/>
    <hyperlink ref="N86" r:id="rId355" xr:uid="{A3A1C790-9E65-4A83-AC83-EF75A94D7940}"/>
    <hyperlink ref="P86" r:id="rId356" xr:uid="{02B68665-38A2-4A06-9726-ABD2EB15D5B1}"/>
    <hyperlink ref="N87" r:id="rId357" xr:uid="{14F5B8DF-D2A8-403E-B494-7AE478B42BD9}"/>
    <hyperlink ref="N90" r:id="rId358" xr:uid="{4E7AD7D3-54DF-4A6C-93B7-1C728AF5DDCE}"/>
    <hyperlink ref="P90" r:id="rId359" xr:uid="{6692E52B-B9BB-4C09-A3F9-E320DF02F381}"/>
    <hyperlink ref="N91" r:id="rId360" xr:uid="{6EC65F54-C0CA-4685-A53C-F083B45EF07C}"/>
    <hyperlink ref="P91" r:id="rId361" xr:uid="{889F6C9A-9A6D-4C52-A0E9-490BB7B998AD}"/>
    <hyperlink ref="N92" r:id="rId362" xr:uid="{4603959D-27E6-4241-95C2-CA95DB2E27BA}"/>
    <hyperlink ref="N93" r:id="rId363" xr:uid="{76187F9A-C40C-4B2C-92CE-95EAB3212691}"/>
    <hyperlink ref="N94" r:id="rId364" xr:uid="{168031AB-53AB-4D4F-9D32-0F4E160EDC60}"/>
    <hyperlink ref="P94" r:id="rId365" xr:uid="{8FE1122F-04EF-495B-A3B3-713F63557B8B}"/>
    <hyperlink ref="N95" r:id="rId366" xr:uid="{0EB7EED4-0252-4C80-BE40-A05B7CD82C45}"/>
    <hyperlink ref="N96" r:id="rId367" xr:uid="{916E7CD7-B049-44B0-A7A0-029817B917FF}"/>
    <hyperlink ref="P96" r:id="rId368" xr:uid="{DD39AAF3-69B6-48C4-9838-DFC9EE371658}"/>
    <hyperlink ref="N97" r:id="rId369" xr:uid="{4054A652-3609-488E-A09D-FDC03A07E8CA}"/>
    <hyperlink ref="P97" r:id="rId370" xr:uid="{87055677-C505-4C9C-9A98-58F1877E3082}"/>
    <hyperlink ref="N98" r:id="rId371" xr:uid="{7ECB7AD3-C0AB-449E-9CEA-91A56FA92F36}"/>
    <hyperlink ref="P98" r:id="rId372" xr:uid="{A80075F2-0F32-459F-A683-0F8CB1FEE5E6}"/>
    <hyperlink ref="N99" r:id="rId373" xr:uid="{4B7C9665-250B-49BB-89CE-DE0199548CBF}"/>
    <hyperlink ref="P99" r:id="rId374" xr:uid="{F7046E00-C719-4382-950C-7FCCD885E1C8}"/>
    <hyperlink ref="N100" r:id="rId375" xr:uid="{A8546375-2DB8-4FFB-AEDC-7CC78AC153EE}"/>
    <hyperlink ref="N101" r:id="rId376" xr:uid="{31655D2C-0BB4-4175-817F-537A4EADA1AC}"/>
    <hyperlink ref="P101" r:id="rId377" xr:uid="{58BFB164-F116-4F36-BE11-D746B7D0BAB4}"/>
    <hyperlink ref="N106" r:id="rId378" xr:uid="{07F1DEE9-3C2D-4170-AD21-B394D6490E57}"/>
    <hyperlink ref="N107" r:id="rId379" xr:uid="{EB2B12DD-4E53-4C7C-B6A8-DF862276BB0A}"/>
    <hyperlink ref="N108" r:id="rId380" xr:uid="{C42B2928-3D06-4416-9CEC-1DFE4DA33C00}"/>
    <hyperlink ref="M70" r:id="rId381" xr:uid="{63739ADA-B981-4D0D-9F2A-ABE58B469349}"/>
    <hyperlink ref="Q70" r:id="rId382" xr:uid="{4EC14B27-2B81-437D-B914-D5F1734C5302}"/>
    <hyperlink ref="O70" r:id="rId383" xr:uid="{CADCD1B8-9D7A-4A32-9FE0-CDEF3E1373E4}"/>
    <hyperlink ref="M71" r:id="rId384" xr:uid="{656F3F5A-48CD-4E65-A64D-43315718E629}"/>
    <hyperlink ref="Q71" r:id="rId385" xr:uid="{34DE4B18-CB6D-4601-9ED7-D101CA934C15}"/>
    <hyperlink ref="O71" r:id="rId386" xr:uid="{1E1D9BA6-8190-4BF4-A14F-F754A33832CE}"/>
    <hyperlink ref="M72" r:id="rId387" xr:uid="{3B494581-5B2D-45CA-9C06-C030E1EAC11C}"/>
    <hyperlink ref="Q72" r:id="rId388" xr:uid="{7E3C4EE0-848F-46DF-8AFC-2A20F4AB49CC}"/>
    <hyperlink ref="M73" r:id="rId389" xr:uid="{F3C0CC7D-C45C-4064-98C1-89B249923F3B}"/>
    <hyperlink ref="O73" r:id="rId390" xr:uid="{E3788AC6-5894-438B-ADE7-C00646EF6A55}"/>
    <hyperlink ref="Q73" r:id="rId391" xr:uid="{FF40D9A3-CB9E-4AC6-9B9E-4856FF9BE21E}"/>
    <hyperlink ref="M74" r:id="rId392" xr:uid="{AA2292C6-84EE-4BC6-9C2F-6C89E91CB5D1}"/>
    <hyperlink ref="Q74" r:id="rId393" xr:uid="{F8BBEF20-1E4E-4D8C-8832-B7C530960801}"/>
    <hyperlink ref="O72" r:id="rId394" xr:uid="{4FF053DA-4807-4C78-8FF1-06ED8AE8FD3B}"/>
    <hyperlink ref="O74" r:id="rId395" xr:uid="{E77A687B-8FDD-4A24-85E4-FE824A9AA438}"/>
    <hyperlink ref="M75" r:id="rId396" xr:uid="{8100249D-3AEC-4F6A-9F8B-8FDD1F5B456E}"/>
    <hyperlink ref="O75" r:id="rId397" xr:uid="{A0390861-8CA3-4193-8E51-C8D13AD9055C}"/>
    <hyperlink ref="Q75" r:id="rId398" xr:uid="{4213B9E8-11C5-4A00-9AA4-A67516AA47E1}"/>
    <hyperlink ref="M76" r:id="rId399" xr:uid="{101A8362-2FD4-4C71-826D-08277E96C043}"/>
    <hyperlink ref="O76" r:id="rId400" xr:uid="{83730B47-BEC4-4DCD-8889-B12028D38248}"/>
    <hyperlink ref="Q76" r:id="rId401" xr:uid="{1A218A5D-1707-41BC-A64E-6E9E176900F5}"/>
    <hyperlink ref="M77" r:id="rId402" xr:uid="{ED078938-D35A-4838-8EBD-577E7C409B1E}"/>
    <hyperlink ref="O77" r:id="rId403" xr:uid="{04F795DB-2588-46A2-9134-F4D23A7353B9}"/>
    <hyperlink ref="Q77" r:id="rId404" xr:uid="{6CE03668-E1FC-4EA6-A9D4-9504B5800595}"/>
    <hyperlink ref="M78" r:id="rId405" xr:uid="{5A20FBCA-D19B-4A53-A796-B24CB813C5A5}"/>
    <hyperlink ref="O78" r:id="rId406" xr:uid="{8BFCA211-965C-4A2C-BEB6-BED990235081}"/>
    <hyperlink ref="Q78" r:id="rId407" xr:uid="{1B143B90-B7AD-4348-AF9B-6DC088AB99EE}"/>
    <hyperlink ref="M79" r:id="rId408" xr:uid="{82B9F5EA-442E-46FF-A22F-CB0E915AE69E}"/>
    <hyperlink ref="O79" r:id="rId409" xr:uid="{F28D4A9C-60C3-4D82-A99B-58605EEF4C88}"/>
    <hyperlink ref="M80" r:id="rId410" xr:uid="{2DD93228-DF18-4FDD-A283-E2B499FFC7E4}"/>
    <hyperlink ref="O80" r:id="rId411" xr:uid="{27AE6412-56C6-43B4-9703-7037C375D196}"/>
    <hyperlink ref="M81" r:id="rId412" xr:uid="{7CB0ACD3-396B-47C6-AAC9-63F76E93C5C9}"/>
    <hyperlink ref="M82" r:id="rId413" xr:uid="{1AF928BC-222A-4E7F-90C0-9AEF5B513E33}"/>
    <hyperlink ref="O82" r:id="rId414" xr:uid="{13B355F4-9444-4DD8-BD10-622F21D0B4FD}"/>
    <hyperlink ref="Q82" r:id="rId415" xr:uid="{28B1B46B-2AAD-4CD4-BCAE-4BA66F1C0FA7}"/>
    <hyperlink ref="M84" r:id="rId416" xr:uid="{3B637D6A-5674-447F-99CA-649D7509B279}"/>
    <hyperlink ref="M83" r:id="rId417" xr:uid="{42F5E22F-81A2-44C3-A8DE-1FECAA32647C}"/>
    <hyperlink ref="M85" r:id="rId418" xr:uid="{160CF96B-FAAD-4B49-879B-FF98F55FF32C}"/>
    <hyperlink ref="Q85" r:id="rId419" xr:uid="{35D4C977-7585-437A-8F10-7FDC0E19B42F}"/>
    <hyperlink ref="O85" r:id="rId420" xr:uid="{A3D386C0-477D-4FF9-82CE-DCF6BDA120C7}"/>
    <hyperlink ref="M86" r:id="rId421" xr:uid="{700A38DC-4039-41C5-8485-B920F26148CD}"/>
    <hyperlink ref="O86" r:id="rId422" xr:uid="{3340CCF1-5403-4DE0-B685-7BF96322EC85}"/>
    <hyperlink ref="M87" r:id="rId423" xr:uid="{A708B30F-713D-4169-9AAE-F0358F17BD8F}"/>
    <hyperlink ref="M88" r:id="rId424" xr:uid="{BC91FE32-BCD7-4480-9EC8-E7C1729919B6}"/>
    <hyperlink ref="O88" r:id="rId425" xr:uid="{9F537985-57F2-42D1-95DE-46A252CFCB35}"/>
    <hyperlink ref="Q88" r:id="rId426" xr:uid="{4AEE5309-6CEA-41E3-9663-D8F46BB27849}"/>
    <hyperlink ref="M89" r:id="rId427" xr:uid="{55ED88E4-66DF-4B10-B50B-D1BB51008FD8}"/>
    <hyperlink ref="O89" r:id="rId428" xr:uid="{AEA44E9D-8DA3-490D-AFFB-029962D302CF}"/>
    <hyperlink ref="Q89" r:id="rId429" xr:uid="{276DBD46-C5E6-47D3-988C-513F712E5C1A}"/>
    <hyperlink ref="M90" r:id="rId430" xr:uid="{72BEFE01-AA34-4FB4-9CE6-CA4E99201E78}"/>
    <hyperlink ref="O90" r:id="rId431" xr:uid="{0899B5B7-55DE-4AD1-8DCB-7315D672E3F5}"/>
    <hyperlink ref="Q90" r:id="rId432" xr:uid="{E5CECC96-0CC9-4449-AD80-D54B0C283C84}"/>
    <hyperlink ref="M91" r:id="rId433" xr:uid="{D576BB37-044E-4434-85E7-090951EFFBD4}"/>
    <hyperlink ref="O91" r:id="rId434" xr:uid="{14B878B5-EFCE-4B97-87F7-06FCCE0F6066}"/>
    <hyperlink ref="M106" r:id="rId435" xr:uid="{4B747439-1035-411C-80E4-4CE58C616F09}"/>
    <hyperlink ref="M92" r:id="rId436" xr:uid="{BD5C3F0D-1C38-46F0-85E4-F7772B9EFA8D}"/>
    <hyperlink ref="M93" r:id="rId437" xr:uid="{81A8239C-3FCC-47D5-A031-1F4EE77EA195}"/>
    <hyperlink ref="M94" r:id="rId438" xr:uid="{F25C04D6-88B8-4961-99F7-2C5FADFAF24B}"/>
    <hyperlink ref="O94" r:id="rId439" xr:uid="{094375C4-A011-4762-8BA5-149A9C213E38}"/>
    <hyperlink ref="M95" r:id="rId440" xr:uid="{C5EF82F8-C491-4132-9B44-335C2767F648}"/>
    <hyperlink ref="M96" r:id="rId441" xr:uid="{B3F59486-709B-4C7E-899C-1D700EA562FC}"/>
    <hyperlink ref="O96" r:id="rId442" xr:uid="{3115DFB3-5BB7-418A-9FBA-342C5F609A1C}"/>
    <hyperlink ref="M97" r:id="rId443" xr:uid="{0593073D-AAE7-4EA1-8ACC-29AF3249E61E}"/>
    <hyperlink ref="O97" r:id="rId444" xr:uid="{EB6934AC-19B6-4DB3-B3DC-A998DF55061D}"/>
    <hyperlink ref="M98" r:id="rId445" xr:uid="{887A6708-FBFA-4E49-B344-EAE48BBDFC73}"/>
    <hyperlink ref="O98" r:id="rId446" xr:uid="{22B171EA-27BA-488A-AA79-B3C152F37F84}"/>
    <hyperlink ref="O99" r:id="rId447" xr:uid="{E8F8DE5E-1A1F-44C1-80F4-1596F9437FF4}"/>
    <hyperlink ref="M99" r:id="rId448" xr:uid="{6B7FCF0C-4128-4ED5-8585-45CC663CF2A4}"/>
    <hyperlink ref="M100" r:id="rId449" xr:uid="{40FB8D7A-6AD3-477A-93B5-A751B9ED1B02}"/>
    <hyperlink ref="M101" r:id="rId450" xr:uid="{830AC0EC-4256-462D-8A36-ADDA16486A56}"/>
    <hyperlink ref="M107" r:id="rId451" xr:uid="{700E923F-638D-4DC9-9B35-9F57D8B617FB}"/>
    <hyperlink ref="M108" r:id="rId452" xr:uid="{452B476E-1627-4ACC-AEEF-4F44C77CA629}"/>
    <hyperlink ref="M109" r:id="rId453" xr:uid="{2642E3DB-846E-4676-8589-9DBF2D245D3E}"/>
    <hyperlink ref="N109" r:id="rId454" xr:uid="{F6D38132-FFD3-4A17-BA3E-F2AB9CF62E3B}"/>
    <hyperlink ref="M110" r:id="rId455" xr:uid="{2133BE4D-8254-4B7C-95F6-159E4F737DE7}"/>
    <hyperlink ref="M111" r:id="rId456" xr:uid="{A59FF7F8-B777-4A93-9449-DCBCA9B6622F}"/>
    <hyperlink ref="P84" r:id="rId457" xr:uid="{3FB7A159-BC2F-436E-8D5B-D2C1139B4E94}"/>
    <hyperlink ref="M112" r:id="rId458" xr:uid="{F45BAB13-B77C-4F3E-9419-DECDB1709993}"/>
    <hyperlink ref="M113" r:id="rId459" xr:uid="{030CCFB8-835E-4585-9BA5-7E4547C9F734}"/>
    <hyperlink ref="O106" r:id="rId460" xr:uid="{4D8B5AE3-54E9-8F4F-9817-3ECBBD25C118}"/>
    <hyperlink ref="P106" r:id="rId461" xr:uid="{882FF15C-EF31-3B43-A97F-7D7441119ABF}"/>
    <hyperlink ref="O108" r:id="rId462" xr:uid="{334B4346-DF9A-4F9B-A0E8-85764EA0F278}"/>
    <hyperlink ref="O112" r:id="rId463" xr:uid="{C6CD3F23-F8CD-4999-B029-FE9D168A0540}"/>
    <hyperlink ref="O113" r:id="rId464" xr:uid="{3C8A229B-5BFF-43A1-A5AE-379340FF7EEB}"/>
    <hyperlink ref="M114" r:id="rId465" xr:uid="{FD84ACA2-3D5B-436C-81B2-3D0D5CC45B84}"/>
    <hyperlink ref="O110" r:id="rId466" xr:uid="{A0B3AE0B-1A0E-4519-BAC8-D1932854598A}"/>
    <hyperlink ref="O114" r:id="rId467" xr:uid="{21DFDBD5-EC1E-4316-949C-0A0D0C528FF9}"/>
    <hyperlink ref="M115" r:id="rId468" xr:uid="{19135FD1-A394-4AA1-87DC-494E4E0DC324}"/>
    <hyperlink ref="M116" r:id="rId469" xr:uid="{BB15811D-9E68-43D2-AED7-D0A391FB439B}"/>
    <hyperlink ref="M117" r:id="rId470" xr:uid="{DEAA9533-0E22-4DFD-B0D6-105D5ED49F9E}"/>
    <hyperlink ref="M118" r:id="rId471" xr:uid="{4A8DEE01-E3E7-40A9-835E-96FF0007D5F3}"/>
    <hyperlink ref="M119" r:id="rId472" xr:uid="{3D261996-76DA-4ADC-89FD-DF0319D68FF4}"/>
    <hyperlink ref="M120" r:id="rId473" xr:uid="{739F5A3A-91B0-42E5-972A-B01888565678}"/>
    <hyperlink ref="M121" r:id="rId474" xr:uid="{BF3CCEDD-B73B-47AF-B697-682FFEC253DC}"/>
    <hyperlink ref="M122" r:id="rId475" xr:uid="{23BA5177-BC80-4DDA-BD4C-6FB28B1E468F}"/>
    <hyperlink ref="O116" r:id="rId476" xr:uid="{7F715F8B-CAF8-418B-AD38-A24220D02796}"/>
    <hyperlink ref="M123" r:id="rId477" xr:uid="{A28F78FE-C9E5-49E6-82AA-DA15E17E83C2}"/>
    <hyperlink ref="O120" r:id="rId478" xr:uid="{47CC3472-42AE-4F9A-ABE1-19000D80F0A0}"/>
    <hyperlink ref="O122" r:id="rId479" xr:uid="{14979101-2F10-460C-A20C-7B6617C1AA38}"/>
    <hyperlink ref="O115" r:id="rId480" xr:uid="{8B1BAA8D-A863-4984-AD2A-6B27898CDA4C}"/>
    <hyperlink ref="M124" r:id="rId481" xr:uid="{08FE4321-AED4-4DC3-8DE6-CE339076976D}"/>
    <hyperlink ref="O119" r:id="rId482" xr:uid="{F872AEEB-AA8C-4510-9D8A-33D24B15D41B}"/>
    <hyperlink ref="M125" r:id="rId483" xr:uid="{90FF7FC8-F32B-0E48-B581-3A187C858144}"/>
    <hyperlink ref="M126" r:id="rId484" xr:uid="{D81A8D89-57B9-4AC2-AFA0-1CBD7D71D4C7}"/>
    <hyperlink ref="O109" r:id="rId485" xr:uid="{DE6E956E-2468-47C5-BE2F-AFFBCF1B37EF}"/>
    <hyperlink ref="M127" r:id="rId486" xr:uid="{846D3E5B-B6B3-7042-B64A-66749617DB66}"/>
    <hyperlink ref="M128" r:id="rId487" xr:uid="{5EFD9CCE-0AF3-481C-9311-D037C1F004BE}"/>
    <hyperlink ref="M129" r:id="rId488" xr:uid="{132A45D3-F0FA-43BD-98B8-185FEA48CDD4}"/>
    <hyperlink ref="O124" r:id="rId489" xr:uid="{C571DB50-7A19-428F-AFE3-25F479CEEF04}"/>
    <hyperlink ref="O127" r:id="rId490" xr:uid="{16504821-B149-4116-99A9-4B9A8D7D515D}"/>
    <hyperlink ref="O126" r:id="rId491" xr:uid="{FA35EC2D-7785-4283-88A3-32CD6E413161}"/>
    <hyperlink ref="O125" r:id="rId492" xr:uid="{FBB487A6-E250-41A0-95C9-36672D50D28B}"/>
    <hyperlink ref="M130" r:id="rId493" xr:uid="{EF4DA1D5-D4CA-43CB-83A3-60F6B2232C21}"/>
    <hyperlink ref="M131" r:id="rId494" xr:uid="{EA2D300D-ACAC-4458-966E-088A32D5CD22}"/>
    <hyperlink ref="M132" r:id="rId495" xr:uid="{7F190DDB-8A5F-486F-8B8D-58BFD97DE967}"/>
    <hyperlink ref="M133" r:id="rId496" xr:uid="{ECCF68AE-AB34-47D5-8D2A-7325D8660689}"/>
    <hyperlink ref="M134" r:id="rId497" xr:uid="{CB8AF97E-9DC3-471D-83EC-AD597E73F69A}"/>
    <hyperlink ref="M135" r:id="rId498" xr:uid="{80B00F06-D45F-42B9-8E93-41FF6E915245}"/>
  </hyperlinks>
  <pageMargins left="0.25" right="0.17" top="0.5" bottom="0.25" header="0.3" footer="0.3"/>
  <pageSetup paperSize="9" scale="28" orientation="landscape" horizontalDpi="300" verticalDpi="300" r:id="rId499"/>
  <colBreaks count="1" manualBreakCount="1">
    <brk id="30" max="56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8261-1CEF-42DB-8488-C430D415EC88}">
  <dimension ref="A1:AI53"/>
  <sheetViews>
    <sheetView zoomScale="85" zoomScaleNormal="85" zoomScaleSheetLayoutView="85" workbookViewId="0">
      <pane xSplit="5" ySplit="6" topLeftCell="P33" activePane="bottomRight" state="frozen"/>
      <selection pane="topRight" activeCell="D1" sqref="D1"/>
      <selection pane="bottomLeft" activeCell="A7" sqref="A7"/>
      <selection pane="bottomRight" activeCell="L40" sqref="L40"/>
    </sheetView>
  </sheetViews>
  <sheetFormatPr defaultColWidth="9.140625" defaultRowHeight="15.75"/>
  <cols>
    <col min="1" max="1" width="6.7109375" style="1" customWidth="1"/>
    <col min="2" max="2" width="9.7109375" style="1" bestFit="1" customWidth="1"/>
    <col min="3" max="3" width="8.7109375" style="140" customWidth="1"/>
    <col min="4" max="4" width="24.42578125" style="1" customWidth="1"/>
    <col min="5" max="5" width="16.42578125" style="172" customWidth="1"/>
    <col min="6" max="7" width="35.42578125" style="1" customWidth="1"/>
    <col min="8" max="9" width="16.42578125" style="140" customWidth="1"/>
    <col min="10" max="10" width="16.42578125" style="1" customWidth="1"/>
    <col min="11" max="11" width="16.42578125" style="140" customWidth="1"/>
    <col min="12" max="16" width="13.42578125" style="13" customWidth="1"/>
    <col min="17" max="17" width="13.42578125" style="172" customWidth="1"/>
    <col min="18" max="19" width="16.42578125" style="13" customWidth="1"/>
    <col min="20" max="20" width="16.42578125" style="141" customWidth="1"/>
    <col min="21" max="21" width="16.42578125" style="6" customWidth="1"/>
    <col min="22" max="22" width="16.42578125" style="172" customWidth="1"/>
    <col min="23" max="27" width="16.42578125" style="6" customWidth="1"/>
    <col min="28" max="28" width="18.42578125" style="6" customWidth="1"/>
    <col min="29" max="29" width="16.42578125" style="6" customWidth="1"/>
    <col min="30" max="30" width="35.28515625" style="160" customWidth="1"/>
    <col min="31" max="31" width="9.140625" style="1"/>
    <col min="32" max="32" width="9.140625" style="1" customWidth="1"/>
    <col min="33" max="33" width="18.42578125" style="219" customWidth="1"/>
    <col min="34" max="35" width="18.42578125" style="6" customWidth="1"/>
    <col min="36" max="16384" width="9.140625" style="1"/>
  </cols>
  <sheetData>
    <row r="1" spans="1:35" s="6" customFormat="1" ht="32.25" thickBot="1">
      <c r="A1" s="15" t="s">
        <v>63</v>
      </c>
      <c r="B1" s="15"/>
      <c r="C1" s="161"/>
      <c r="D1" s="15"/>
      <c r="E1" s="170"/>
      <c r="F1" s="8"/>
      <c r="G1" s="14"/>
      <c r="H1" s="133" t="s">
        <v>62</v>
      </c>
      <c r="I1" s="176">
        <f ca="1">TODAY()</f>
        <v>46309</v>
      </c>
      <c r="J1" s="131"/>
      <c r="K1" s="197"/>
      <c r="L1" s="12"/>
      <c r="M1" s="12"/>
      <c r="N1" s="12"/>
      <c r="O1" s="12"/>
      <c r="P1" s="12"/>
      <c r="Q1" s="172"/>
      <c r="R1" s="12"/>
      <c r="S1" s="12"/>
      <c r="T1" s="141"/>
      <c r="U1" s="8"/>
      <c r="V1" s="170"/>
      <c r="W1" s="8"/>
      <c r="X1" s="8"/>
      <c r="Y1" s="8"/>
      <c r="Z1" s="8"/>
      <c r="AA1" s="8"/>
      <c r="AB1" s="8"/>
      <c r="AC1" s="8"/>
      <c r="AD1" s="157"/>
      <c r="AG1" s="157"/>
      <c r="AH1" s="8"/>
      <c r="AI1" s="8"/>
    </row>
    <row r="2" spans="1:35" ht="19.5">
      <c r="A2" s="4" t="s">
        <v>51</v>
      </c>
      <c r="B2" s="4"/>
      <c r="C2" s="134"/>
      <c r="D2" s="4"/>
      <c r="E2" s="171"/>
      <c r="F2" s="4"/>
      <c r="G2" s="4"/>
      <c r="H2" s="134"/>
      <c r="I2" s="134"/>
      <c r="J2" s="4"/>
      <c r="K2" s="134"/>
      <c r="L2" s="12"/>
      <c r="M2" s="12"/>
      <c r="N2" s="12"/>
      <c r="O2" s="12"/>
      <c r="P2" s="12"/>
      <c r="R2" s="12"/>
      <c r="S2" s="12"/>
      <c r="U2" s="7"/>
      <c r="V2" s="171"/>
      <c r="W2" s="7"/>
      <c r="X2" s="7"/>
      <c r="Y2" s="7"/>
      <c r="Z2" s="7"/>
      <c r="AA2" s="7"/>
      <c r="AB2" s="7"/>
      <c r="AC2" s="7"/>
      <c r="AD2" s="158"/>
      <c r="AG2" s="218"/>
      <c r="AH2" s="7"/>
      <c r="AI2" s="7"/>
    </row>
    <row r="3" spans="1:35" ht="19.5" thickBot="1">
      <c r="A3" s="3"/>
      <c r="B3" s="3"/>
      <c r="C3" s="162"/>
      <c r="D3" s="3"/>
      <c r="F3" s="2"/>
      <c r="G3" s="2"/>
      <c r="H3" s="135"/>
      <c r="I3" s="135"/>
      <c r="J3" s="2"/>
      <c r="K3" s="135"/>
      <c r="L3" s="10"/>
      <c r="M3" s="10"/>
      <c r="N3" s="10"/>
      <c r="O3" s="10"/>
      <c r="P3" s="10"/>
      <c r="Q3" s="179"/>
      <c r="R3" s="10"/>
      <c r="S3" s="10"/>
      <c r="T3" s="185"/>
      <c r="AD3" s="159"/>
    </row>
    <row r="4" spans="1:35" s="5" customFormat="1" ht="36" customHeight="1" thickBot="1">
      <c r="A4" s="350" t="s">
        <v>0</v>
      </c>
      <c r="B4" s="406" t="s">
        <v>515</v>
      </c>
      <c r="C4" s="359" t="s">
        <v>45</v>
      </c>
      <c r="D4" s="348" t="s">
        <v>46</v>
      </c>
      <c r="E4" s="357" t="s">
        <v>47</v>
      </c>
      <c r="F4" s="348" t="s">
        <v>4</v>
      </c>
      <c r="G4" s="355" t="s">
        <v>5</v>
      </c>
      <c r="H4" s="352" t="s">
        <v>48</v>
      </c>
      <c r="I4" s="352" t="s">
        <v>49</v>
      </c>
      <c r="J4" s="348" t="s">
        <v>78</v>
      </c>
      <c r="K4" s="352" t="s">
        <v>80</v>
      </c>
      <c r="L4" s="363" t="s">
        <v>53</v>
      </c>
      <c r="M4" s="364"/>
      <c r="N4" s="362" t="s">
        <v>55</v>
      </c>
      <c r="O4" s="364"/>
      <c r="P4" s="362" t="s">
        <v>72</v>
      </c>
      <c r="Q4" s="364"/>
      <c r="R4" s="363" t="s">
        <v>53</v>
      </c>
      <c r="S4" s="363"/>
      <c r="T4" s="364"/>
      <c r="U4" s="362" t="s">
        <v>55</v>
      </c>
      <c r="V4" s="363"/>
      <c r="W4" s="364"/>
      <c r="X4" s="415" t="s">
        <v>72</v>
      </c>
      <c r="Y4" s="427"/>
      <c r="Z4" s="415" t="s">
        <v>112</v>
      </c>
      <c r="AA4" s="413"/>
      <c r="AB4" s="413"/>
      <c r="AC4" s="414"/>
      <c r="AD4" s="348" t="s">
        <v>79</v>
      </c>
      <c r="AG4" s="236"/>
    </row>
    <row r="5" spans="1:35" ht="78.75">
      <c r="A5" s="351"/>
      <c r="B5" s="407"/>
      <c r="C5" s="360"/>
      <c r="D5" s="354"/>
      <c r="E5" s="358"/>
      <c r="F5" s="354"/>
      <c r="G5" s="356"/>
      <c r="H5" s="353"/>
      <c r="I5" s="353"/>
      <c r="J5" s="354"/>
      <c r="K5" s="353"/>
      <c r="L5" s="79" t="s">
        <v>52</v>
      </c>
      <c r="M5" s="83" t="s">
        <v>54</v>
      </c>
      <c r="N5" s="82" t="s">
        <v>52</v>
      </c>
      <c r="O5" s="81" t="s">
        <v>54</v>
      </c>
      <c r="P5" s="82" t="s">
        <v>52</v>
      </c>
      <c r="Q5" s="180" t="s">
        <v>73</v>
      </c>
      <c r="R5" s="79" t="s">
        <v>56</v>
      </c>
      <c r="S5" s="89" t="s">
        <v>57</v>
      </c>
      <c r="T5" s="186" t="s">
        <v>58</v>
      </c>
      <c r="U5" s="87" t="s">
        <v>59</v>
      </c>
      <c r="V5" s="190" t="s">
        <v>60</v>
      </c>
      <c r="W5" s="81" t="s">
        <v>61</v>
      </c>
      <c r="X5" s="246" t="s">
        <v>113</v>
      </c>
      <c r="Y5" s="247" t="s">
        <v>114</v>
      </c>
      <c r="Z5" s="248" t="s">
        <v>115</v>
      </c>
      <c r="AA5" s="190" t="s">
        <v>116</v>
      </c>
      <c r="AB5" s="249" t="s">
        <v>117</v>
      </c>
      <c r="AC5" s="250" t="s">
        <v>118</v>
      </c>
      <c r="AD5" s="361"/>
      <c r="AG5" s="417" t="s">
        <v>119</v>
      </c>
      <c r="AH5" s="419" t="s">
        <v>120</v>
      </c>
      <c r="AI5" s="421" t="s">
        <v>121</v>
      </c>
    </row>
    <row r="6" spans="1:35" ht="16.5" thickBot="1">
      <c r="A6" s="94"/>
      <c r="B6" s="94"/>
      <c r="C6" s="163"/>
      <c r="D6" s="77"/>
      <c r="E6" s="173"/>
      <c r="F6" s="77"/>
      <c r="G6" s="80"/>
      <c r="H6" s="136"/>
      <c r="I6" s="181"/>
      <c r="J6" s="85"/>
      <c r="K6" s="198"/>
      <c r="L6" s="80"/>
      <c r="M6" s="34"/>
      <c r="N6" s="95"/>
      <c r="O6" s="74"/>
      <c r="P6" s="142"/>
      <c r="Q6" s="200"/>
      <c r="R6" s="80"/>
      <c r="S6" s="36"/>
      <c r="T6" s="181"/>
      <c r="U6" s="90"/>
      <c r="V6" s="191"/>
      <c r="W6" s="74"/>
      <c r="X6" s="77"/>
      <c r="Y6" s="34"/>
      <c r="Z6" s="77"/>
      <c r="AA6" s="86"/>
      <c r="AB6" s="86"/>
      <c r="AC6" s="86"/>
      <c r="AD6" s="74"/>
      <c r="AG6" s="418"/>
      <c r="AH6" s="420"/>
      <c r="AI6" s="422"/>
    </row>
    <row r="7" spans="1:35" s="9" customFormat="1" ht="47.25">
      <c r="A7" s="33">
        <f t="shared" ref="A7:A40" si="0">A6+1</f>
        <v>1</v>
      </c>
      <c r="B7" s="33" t="str">
        <f t="shared" ref="B7:B33" si="1">MID(D7, FIND("-", D7) + 1, 4)</f>
        <v>5.10</v>
      </c>
      <c r="C7" s="164" t="s">
        <v>522</v>
      </c>
      <c r="D7" s="25" t="s">
        <v>519</v>
      </c>
      <c r="E7" s="174">
        <f t="shared" ref="E7:E40" si="2">IF($T7=0,$S7+22,$T7+21)</f>
        <v>45490</v>
      </c>
      <c r="F7" s="30" t="s">
        <v>520</v>
      </c>
      <c r="G7" s="26" t="s">
        <v>521</v>
      </c>
      <c r="H7" s="137" t="s">
        <v>2</v>
      </c>
      <c r="I7" s="164">
        <f t="shared" ref="I7:I13" si="3">IF(ISBLANK($V7),_xlfn.DAYS($I$1,$T7),_xlfn.DAYS($V7,$T7))</f>
        <v>27</v>
      </c>
      <c r="J7" s="47">
        <f>IF(($I7-21)&gt;0,$I7-21,0)</f>
        <v>6</v>
      </c>
      <c r="K7" s="164"/>
      <c r="L7" s="54" t="s">
        <v>8</v>
      </c>
      <c r="M7" s="65" t="s">
        <v>8</v>
      </c>
      <c r="N7" s="39" t="s">
        <v>8</v>
      </c>
      <c r="O7" s="143" t="s">
        <v>8</v>
      </c>
      <c r="P7" s="149" t="s">
        <v>8</v>
      </c>
      <c r="Q7" s="201" t="s">
        <v>2</v>
      </c>
      <c r="R7" s="42">
        <v>45462</v>
      </c>
      <c r="S7" s="88">
        <v>45462</v>
      </c>
      <c r="T7" s="187">
        <v>45469</v>
      </c>
      <c r="U7" s="29">
        <v>45481</v>
      </c>
      <c r="V7" s="188">
        <v>45496</v>
      </c>
      <c r="W7" s="331" t="s">
        <v>523</v>
      </c>
      <c r="X7" s="252">
        <v>45524</v>
      </c>
      <c r="Y7" s="255">
        <v>45525</v>
      </c>
      <c r="Z7" s="29">
        <f>IF(AND($Q7="",$H7=""),"",IF(OR($Q7="B",$Q7="C"),IF($Y7&lt;&gt;"",$Y7+7,IF($X7&lt;&gt;"",$X7+8,"")),IF($Q7="",IF(OR($H7="B",$H7="C"),IF($V7&lt;&gt;"",$V7+7,IF($U7&lt;&gt;"",$U7+8,""))),"")))</f>
        <v>45532</v>
      </c>
      <c r="AA7" s="253">
        <v>45861</v>
      </c>
      <c r="AB7" s="253" t="str">
        <f>IF(OR($Q7="B",$Q7="C"),IF($Z7="","",IF($AA7="",IF($Z7&gt;=$I$1,"In progress","Not submit yet"),IF($Z7&gt;=$AA7,"Timely Response","Late Resubmission"))),"")</f>
        <v>Late Resubmission</v>
      </c>
      <c r="AC7" s="254">
        <f>IF(AB7="Late Resubmission",IF(AA7="","",AA7-Z7),IF(AB7="Not submit yet",IF(Z7="","",$I$1-Z7),""))</f>
        <v>329</v>
      </c>
      <c r="AD7" s="91"/>
      <c r="AG7" s="237" t="str">
        <f>IF(AND(RIGHT($D7,1)&gt;="A",RIGHT($D7,1)&lt;="Z"),LEFT($D7,LEN($D7)-1),$D7)</f>
        <v>LTIA-5.10-VIETUR-80000-RFA-SDS-0080</v>
      </c>
      <c r="AH7" s="242" t="b" cm="1">
        <f t="array" ref="AH7">$D7=_xlfn.XLOOKUP(
AG7,
_xlfn._xlws.FILTER($AG$7:$AG$4869,$K$7:$K$4869&lt;&gt;"X"),
_xlfn._xlws.FILTER($D$7:$D$4869,$K$7:$K$4869&lt;&gt;"X"),
"",
0,
-1
)</f>
        <v>0</v>
      </c>
      <c r="AI7" s="240" t="str">
        <f>IF($AH7,IF(OR($Q7="B",$Q7="C"),"YES",IF($Q7="",IF(OR($H7="B",$H7="C"),"YES",""),"")),"")</f>
        <v/>
      </c>
    </row>
    <row r="8" spans="1:35" s="9" customFormat="1" ht="94.5">
      <c r="A8" s="33">
        <f t="shared" si="0"/>
        <v>2</v>
      </c>
      <c r="B8" s="33" t="str">
        <f t="shared" si="1"/>
        <v>5.10</v>
      </c>
      <c r="C8" s="164" t="s">
        <v>527</v>
      </c>
      <c r="D8" s="25" t="s">
        <v>524</v>
      </c>
      <c r="E8" s="174">
        <f t="shared" si="2"/>
        <v>45562</v>
      </c>
      <c r="F8" s="31" t="s">
        <v>525</v>
      </c>
      <c r="G8" s="21" t="s">
        <v>526</v>
      </c>
      <c r="H8" s="138" t="s">
        <v>2</v>
      </c>
      <c r="I8" s="164">
        <f t="shared" si="3"/>
        <v>25</v>
      </c>
      <c r="J8" s="47">
        <f t="shared" ref="J8:J40" si="4">IF(($I8-21)&gt;0,$I8-21,0)</f>
        <v>4</v>
      </c>
      <c r="K8" s="164"/>
      <c r="L8" s="54" t="s">
        <v>8</v>
      </c>
      <c r="M8" s="41" t="s">
        <v>8</v>
      </c>
      <c r="N8" s="40" t="s">
        <v>8</v>
      </c>
      <c r="O8" s="148" t="s">
        <v>8</v>
      </c>
      <c r="P8" s="40" t="s">
        <v>8</v>
      </c>
      <c r="Q8" s="155" t="s">
        <v>2</v>
      </c>
      <c r="R8" s="27">
        <v>45540</v>
      </c>
      <c r="S8" s="27">
        <v>45540</v>
      </c>
      <c r="T8" s="187">
        <v>45541</v>
      </c>
      <c r="U8" s="29">
        <v>45553</v>
      </c>
      <c r="V8" s="188">
        <v>45566</v>
      </c>
      <c r="W8" s="235" t="s">
        <v>190</v>
      </c>
      <c r="X8" s="230">
        <v>45596</v>
      </c>
      <c r="Y8" s="227">
        <v>45674</v>
      </c>
      <c r="Z8" s="29">
        <f t="shared" ref="Z8:Z42" si="5">IF(AND($Q8="",$H8=""),"",IF(OR($Q8="B",$Q8="C"),IF($Y8&lt;&gt;"",$Y8+7,IF($X8&lt;&gt;"",$X8+8,"")),IF($Q8="",IF(OR($H8="B",$H8="C"),IF($V8&lt;&gt;"",$V8+7,IF($U8&lt;&gt;"",$U8+8,""))),"")))</f>
        <v>45681</v>
      </c>
      <c r="AA8" s="229">
        <v>45850</v>
      </c>
      <c r="AB8" s="229" t="str">
        <f t="shared" ref="AB8:AB40" si="6">IF(OR($Q8="B",$Q8="C"),IF($Z8="","",IF($AA8="",IF($Z8&gt;=$I$1,"In progress","Not submit yet"),IF($Z8&gt;=$AA8,"Timely Response","Late Resubmission"))),"")</f>
        <v>Late Resubmission</v>
      </c>
      <c r="AC8" s="183">
        <f t="shared" ref="AC8:AC33" si="7">IF(AB8="Late Resubmission",IF(AA8="","",AA8-Z8),IF(AB8="Not submit yet",IF(Z8="","",$I$1-Z8),""))</f>
        <v>169</v>
      </c>
      <c r="AD8" s="92"/>
      <c r="AG8" s="238" t="str">
        <f t="shared" ref="AG8:AG40" si="8">IF(AND(RIGHT($D8,1)&gt;="A",RIGHT($D8,1)&lt;="Z"),LEFT($D8,LEN($D8)-1),$D8)</f>
        <v>LTIA-5.10-VIETUR-80000-RFA-SDS-0122</v>
      </c>
      <c r="AH8" s="243" t="b" cm="1">
        <f t="array" ref="AH8">$D8=_xlfn.XLOOKUP(
AG8,
_xlfn._xlws.FILTER($AG$7:$AG$4869,$K$7:$K$4869&lt;&gt;"X"),
_xlfn._xlws.FILTER($D$7:$D$4869,$K$7:$K$4869&lt;&gt;"X"),
"",
0,
-1
)</f>
        <v>0</v>
      </c>
      <c r="AI8" s="75" t="str">
        <f t="shared" ref="AI8:AI38" si="9">IF(
AND(
$AH8,
OR($Q8="B",$Q8="C")
),
"YES",
""
)</f>
        <v/>
      </c>
    </row>
    <row r="9" spans="1:35" s="9" customFormat="1" ht="110.25">
      <c r="A9" s="33">
        <f t="shared" si="0"/>
        <v>3</v>
      </c>
      <c r="B9" s="33" t="str">
        <f t="shared" si="1"/>
        <v>5.10</v>
      </c>
      <c r="C9" s="164" t="s">
        <v>531</v>
      </c>
      <c r="D9" s="25" t="s">
        <v>528</v>
      </c>
      <c r="E9" s="174">
        <f t="shared" si="2"/>
        <v>45608</v>
      </c>
      <c r="F9" s="31" t="s">
        <v>529</v>
      </c>
      <c r="G9" s="21" t="s">
        <v>530</v>
      </c>
      <c r="H9" s="138" t="s">
        <v>2</v>
      </c>
      <c r="I9" s="164">
        <f t="shared" si="3"/>
        <v>43</v>
      </c>
      <c r="J9" s="47">
        <f t="shared" si="4"/>
        <v>22</v>
      </c>
      <c r="K9" s="164"/>
      <c r="L9" s="54" t="s">
        <v>8</v>
      </c>
      <c r="M9" s="65" t="s">
        <v>8</v>
      </c>
      <c r="N9" s="40" t="s">
        <v>8</v>
      </c>
      <c r="O9" s="41" t="s">
        <v>8</v>
      </c>
      <c r="P9" s="40" t="s">
        <v>8</v>
      </c>
      <c r="Q9" s="155" t="s">
        <v>2</v>
      </c>
      <c r="R9" s="27">
        <v>45583</v>
      </c>
      <c r="S9" s="27">
        <v>45583</v>
      </c>
      <c r="T9" s="187">
        <v>45587</v>
      </c>
      <c r="U9" s="29">
        <v>45611</v>
      </c>
      <c r="V9" s="188">
        <v>45630</v>
      </c>
      <c r="W9" s="235" t="s">
        <v>532</v>
      </c>
      <c r="X9" s="230">
        <v>45657</v>
      </c>
      <c r="Y9" s="227">
        <v>45659</v>
      </c>
      <c r="Z9" s="29">
        <f t="shared" si="5"/>
        <v>45666</v>
      </c>
      <c r="AA9" s="229">
        <v>45861</v>
      </c>
      <c r="AB9" s="229" t="str">
        <f t="shared" si="6"/>
        <v>Late Resubmission</v>
      </c>
      <c r="AC9" s="183">
        <f t="shared" si="7"/>
        <v>195</v>
      </c>
      <c r="AD9" s="92"/>
      <c r="AG9" s="238" t="str">
        <f t="shared" si="8"/>
        <v>LTIA-5.10-VIETUR-80000-RFA-SDS-0140</v>
      </c>
      <c r="AH9" s="243" t="b" cm="1">
        <f t="array" ref="AH9">$D9=_xlfn.XLOOKUP(
AG9,
_xlfn._xlws.FILTER($AG$7:$AG$4869,$K$7:$K$4869&lt;&gt;"X"),
_xlfn._xlws.FILTER($D$7:$D$4869,$K$7:$K$4869&lt;&gt;"X"),
"",
0,
-1
)</f>
        <v>0</v>
      </c>
      <c r="AI9" s="75" t="str">
        <f t="shared" si="9"/>
        <v/>
      </c>
    </row>
    <row r="10" spans="1:35" s="9" customFormat="1" ht="94.5">
      <c r="A10" s="33">
        <f t="shared" si="0"/>
        <v>4</v>
      </c>
      <c r="B10" s="33" t="str">
        <f t="shared" si="1"/>
        <v>5.10</v>
      </c>
      <c r="C10" s="164" t="s">
        <v>527</v>
      </c>
      <c r="D10" s="25" t="s">
        <v>533</v>
      </c>
      <c r="E10" s="174">
        <f t="shared" si="2"/>
        <v>45638</v>
      </c>
      <c r="F10" s="31" t="s">
        <v>534</v>
      </c>
      <c r="G10" s="21" t="s">
        <v>535</v>
      </c>
      <c r="H10" s="138" t="s">
        <v>2</v>
      </c>
      <c r="I10" s="164">
        <f t="shared" si="3"/>
        <v>43</v>
      </c>
      <c r="J10" s="47">
        <f t="shared" si="4"/>
        <v>22</v>
      </c>
      <c r="K10" s="164"/>
      <c r="L10" s="54" t="s">
        <v>8</v>
      </c>
      <c r="M10" s="65" t="s">
        <v>8</v>
      </c>
      <c r="N10" s="40" t="s">
        <v>8</v>
      </c>
      <c r="O10" s="41" t="s">
        <v>8</v>
      </c>
      <c r="P10" s="40" t="s">
        <v>8</v>
      </c>
      <c r="Q10" s="155" t="s">
        <v>2</v>
      </c>
      <c r="R10" s="27">
        <v>45610</v>
      </c>
      <c r="S10" s="27">
        <v>45610</v>
      </c>
      <c r="T10" s="187">
        <v>45617</v>
      </c>
      <c r="U10" s="29">
        <v>45630</v>
      </c>
      <c r="V10" s="188">
        <v>45660</v>
      </c>
      <c r="W10" s="235" t="s">
        <v>190</v>
      </c>
      <c r="X10" s="230">
        <v>45672</v>
      </c>
      <c r="Y10" s="227">
        <v>45674</v>
      </c>
      <c r="Z10" s="29">
        <f t="shared" si="5"/>
        <v>45681</v>
      </c>
      <c r="AA10" s="229">
        <v>45861</v>
      </c>
      <c r="AB10" s="229" t="str">
        <f t="shared" si="6"/>
        <v>Late Resubmission</v>
      </c>
      <c r="AC10" s="183">
        <f t="shared" si="7"/>
        <v>180</v>
      </c>
      <c r="AD10" s="76"/>
      <c r="AG10" s="238" t="str">
        <f t="shared" si="8"/>
        <v>LTIA-5.10-VIETUR-80000-RFA-SDS-0160</v>
      </c>
      <c r="AH10" s="243" t="b" cm="1">
        <f t="array" ref="AH10">$D10=_xlfn.XLOOKUP(
AG10,
_xlfn._xlws.FILTER($AG$7:$AG$4869,$K$7:$K$4869&lt;&gt;"X"),
_xlfn._xlws.FILTER($D$7:$D$4869,$K$7:$K$4869&lt;&gt;"X"),
"",
0,
-1
)</f>
        <v>0</v>
      </c>
      <c r="AI10" s="75" t="str">
        <f t="shared" si="9"/>
        <v/>
      </c>
    </row>
    <row r="11" spans="1:35" s="9" customFormat="1" ht="94.5">
      <c r="A11" s="33">
        <f t="shared" si="0"/>
        <v>5</v>
      </c>
      <c r="B11" s="33" t="str">
        <f t="shared" si="1"/>
        <v>5.10</v>
      </c>
      <c r="C11" s="164" t="s">
        <v>527</v>
      </c>
      <c r="D11" s="25" t="s">
        <v>536</v>
      </c>
      <c r="E11" s="174">
        <f t="shared" si="2"/>
        <v>45659</v>
      </c>
      <c r="F11" s="31" t="s">
        <v>537</v>
      </c>
      <c r="G11" s="21" t="s">
        <v>538</v>
      </c>
      <c r="H11" s="138" t="s">
        <v>2</v>
      </c>
      <c r="I11" s="164">
        <f t="shared" si="3"/>
        <v>77</v>
      </c>
      <c r="J11" s="47">
        <f t="shared" si="4"/>
        <v>56</v>
      </c>
      <c r="K11" s="164"/>
      <c r="L11" s="54" t="s">
        <v>8</v>
      </c>
      <c r="M11" s="65" t="s">
        <v>8</v>
      </c>
      <c r="N11" s="40" t="s">
        <v>8</v>
      </c>
      <c r="O11" s="41" t="s">
        <v>8</v>
      </c>
      <c r="P11" s="40" t="s">
        <v>8</v>
      </c>
      <c r="Q11" s="155" t="s">
        <v>2</v>
      </c>
      <c r="R11" s="27">
        <v>45636</v>
      </c>
      <c r="S11" s="27">
        <v>45636</v>
      </c>
      <c r="T11" s="187">
        <v>45638</v>
      </c>
      <c r="U11" s="29">
        <v>45636</v>
      </c>
      <c r="V11" s="188">
        <v>45715</v>
      </c>
      <c r="W11" s="235" t="s">
        <v>523</v>
      </c>
      <c r="X11" s="230">
        <v>45721</v>
      </c>
      <c r="Y11" s="227">
        <v>45722</v>
      </c>
      <c r="Z11" s="29">
        <f t="shared" si="5"/>
        <v>45729</v>
      </c>
      <c r="AA11" s="229">
        <v>45861</v>
      </c>
      <c r="AB11" s="229" t="str">
        <f t="shared" si="6"/>
        <v>Late Resubmission</v>
      </c>
      <c r="AC11" s="183">
        <f t="shared" si="7"/>
        <v>132</v>
      </c>
      <c r="AD11" s="332" t="s">
        <v>539</v>
      </c>
      <c r="AG11" s="238" t="str">
        <f t="shared" si="8"/>
        <v>LTIA-5.10-VIETUR-80000-RFA-SDS-0197</v>
      </c>
      <c r="AH11" s="243" t="b" cm="1">
        <f t="array" ref="AH11">$D11=_xlfn.XLOOKUP(
AG11,
_xlfn._xlws.FILTER($AG$7:$AG$4869,$K$7:$K$4869&lt;&gt;"X"),
_xlfn._xlws.FILTER($D$7:$D$4869,$K$7:$K$4869&lt;&gt;"X"),
"",
0,
-1
)</f>
        <v>0</v>
      </c>
      <c r="AI11" s="75" t="str">
        <f t="shared" si="9"/>
        <v/>
      </c>
    </row>
    <row r="12" spans="1:35" s="58" customFormat="1" ht="78.75">
      <c r="A12" s="33">
        <f t="shared" si="0"/>
        <v>6</v>
      </c>
      <c r="B12" s="33" t="str">
        <f t="shared" si="1"/>
        <v>5.10</v>
      </c>
      <c r="C12" s="164" t="s">
        <v>543</v>
      </c>
      <c r="D12" s="25" t="s">
        <v>540</v>
      </c>
      <c r="E12" s="196">
        <f t="shared" si="2"/>
        <v>45720</v>
      </c>
      <c r="F12" s="31" t="s">
        <v>541</v>
      </c>
      <c r="G12" s="21" t="s">
        <v>542</v>
      </c>
      <c r="H12" s="177" t="s">
        <v>2</v>
      </c>
      <c r="I12" s="164">
        <f t="shared" si="3"/>
        <v>42</v>
      </c>
      <c r="J12" s="47">
        <f t="shared" si="4"/>
        <v>21</v>
      </c>
      <c r="K12" s="164"/>
      <c r="L12" s="54" t="s">
        <v>8</v>
      </c>
      <c r="M12" s="65" t="s">
        <v>8</v>
      </c>
      <c r="N12" s="40" t="s">
        <v>8</v>
      </c>
      <c r="O12" s="41" t="s">
        <v>8</v>
      </c>
      <c r="P12" s="40" t="s">
        <v>8</v>
      </c>
      <c r="Q12" s="155" t="s">
        <v>2</v>
      </c>
      <c r="R12" s="55">
        <v>45673</v>
      </c>
      <c r="S12" s="55">
        <v>45673</v>
      </c>
      <c r="T12" s="202">
        <v>45699</v>
      </c>
      <c r="U12" s="56">
        <v>45716</v>
      </c>
      <c r="V12" s="203">
        <v>45741</v>
      </c>
      <c r="W12" s="235" t="s">
        <v>544</v>
      </c>
      <c r="X12" s="231">
        <v>45756</v>
      </c>
      <c r="Y12" s="235">
        <v>45756</v>
      </c>
      <c r="Z12" s="29">
        <f t="shared" si="5"/>
        <v>45763</v>
      </c>
      <c r="AA12" s="229"/>
      <c r="AB12" s="229" t="str">
        <f t="shared" ca="1" si="6"/>
        <v>Not submit yet</v>
      </c>
      <c r="AC12" s="183">
        <f t="shared" ca="1" si="7"/>
        <v>546</v>
      </c>
      <c r="AD12" s="92"/>
      <c r="AG12" s="238" t="str">
        <f t="shared" si="8"/>
        <v>LTIA-5.10-VIETUR-80000-RFA-SDS-0214</v>
      </c>
      <c r="AH12" s="243" t="b" cm="1">
        <f t="array" ref="AH12">$D12=_xlfn.XLOOKUP(
AG12,
_xlfn._xlws.FILTER($AG$7:$AG$4869,$K$7:$K$4869&lt;&gt;"X"),
_xlfn._xlws.FILTER($D$7:$D$4869,$K$7:$K$4869&lt;&gt;"X"),
"",
0,
-1
)</f>
        <v>1</v>
      </c>
      <c r="AI12" s="75" t="str">
        <f t="shared" si="9"/>
        <v>YES</v>
      </c>
    </row>
    <row r="13" spans="1:35" s="9" customFormat="1" ht="63">
      <c r="A13" s="33">
        <f t="shared" si="0"/>
        <v>7</v>
      </c>
      <c r="B13" s="33" t="str">
        <f t="shared" si="1"/>
        <v>5.10</v>
      </c>
      <c r="C13" s="137"/>
      <c r="D13" s="25" t="s">
        <v>545</v>
      </c>
      <c r="E13" s="196">
        <f t="shared" si="2"/>
        <v>45720</v>
      </c>
      <c r="F13" s="31" t="s">
        <v>546</v>
      </c>
      <c r="G13" s="21" t="s">
        <v>547</v>
      </c>
      <c r="H13" s="138" t="s">
        <v>1</v>
      </c>
      <c r="I13" s="164">
        <f t="shared" si="3"/>
        <v>44</v>
      </c>
      <c r="J13" s="47">
        <f t="shared" si="4"/>
        <v>23</v>
      </c>
      <c r="K13" s="164"/>
      <c r="L13" s="54" t="s">
        <v>8</v>
      </c>
      <c r="M13" s="65" t="s">
        <v>8</v>
      </c>
      <c r="N13" s="40" t="s">
        <v>8</v>
      </c>
      <c r="O13" s="41" t="s">
        <v>8</v>
      </c>
      <c r="P13" s="40" t="s">
        <v>8</v>
      </c>
      <c r="Q13" s="155" t="s">
        <v>1</v>
      </c>
      <c r="R13" s="27">
        <v>45677</v>
      </c>
      <c r="S13" s="27">
        <v>45677</v>
      </c>
      <c r="T13" s="187">
        <v>45699</v>
      </c>
      <c r="U13" s="29">
        <v>45719</v>
      </c>
      <c r="V13" s="188">
        <v>45743</v>
      </c>
      <c r="W13" s="235" t="s">
        <v>190</v>
      </c>
      <c r="X13" s="230">
        <v>45751</v>
      </c>
      <c r="Y13" s="227">
        <v>45751</v>
      </c>
      <c r="Z13" s="29">
        <f t="shared" si="5"/>
        <v>45758</v>
      </c>
      <c r="AA13" s="229">
        <v>45919</v>
      </c>
      <c r="AB13" s="229" t="str">
        <f t="shared" si="6"/>
        <v>Late Resubmission</v>
      </c>
      <c r="AC13" s="183">
        <f t="shared" si="7"/>
        <v>161</v>
      </c>
      <c r="AD13" s="92"/>
      <c r="AG13" s="238" t="str">
        <f t="shared" si="8"/>
        <v>LTIA-5.10-VIETUR-80000-RFA-SDS-0222</v>
      </c>
      <c r="AH13" s="243" t="b" cm="1">
        <f t="array" ref="AH13">$D13=_xlfn.XLOOKUP(
AG13,
_xlfn._xlws.FILTER($AG$7:$AG$4869,$K$7:$K$4869&lt;&gt;"X"),
_xlfn._xlws.FILTER($D$7:$D$4869,$K$7:$K$4869&lt;&gt;"X"),
"",
0,
-1
)</f>
        <v>0</v>
      </c>
      <c r="AI13" s="75" t="str">
        <f t="shared" si="9"/>
        <v/>
      </c>
    </row>
    <row r="14" spans="1:35" s="9" customFormat="1" ht="47.25">
      <c r="A14" s="33">
        <f t="shared" si="0"/>
        <v>8</v>
      </c>
      <c r="B14" s="33" t="str">
        <f t="shared" si="1"/>
        <v>5.10</v>
      </c>
      <c r="C14" s="137" t="s">
        <v>131</v>
      </c>
      <c r="D14" s="25" t="s">
        <v>548</v>
      </c>
      <c r="E14" s="174">
        <f t="shared" si="2"/>
        <v>45822</v>
      </c>
      <c r="F14" s="31" t="s">
        <v>549</v>
      </c>
      <c r="G14" s="21" t="s">
        <v>550</v>
      </c>
      <c r="H14" s="138" t="s">
        <v>2</v>
      </c>
      <c r="I14" s="164">
        <f t="shared" ref="I14:I40" si="10">IF(ISBLANK($V14),_xlfn.DAYS($I$1,$T14),_xlfn.DAYS($V14,$T14))</f>
        <v>25</v>
      </c>
      <c r="J14" s="47">
        <f t="shared" si="4"/>
        <v>4</v>
      </c>
      <c r="K14" s="164"/>
      <c r="L14" s="54" t="s">
        <v>8</v>
      </c>
      <c r="M14" s="65" t="s">
        <v>8</v>
      </c>
      <c r="N14" s="40" t="s">
        <v>8</v>
      </c>
      <c r="O14" s="41" t="s">
        <v>8</v>
      </c>
      <c r="P14" s="40" t="s">
        <v>8</v>
      </c>
      <c r="Q14" s="155" t="s">
        <v>2</v>
      </c>
      <c r="R14" s="27">
        <v>45799</v>
      </c>
      <c r="S14" s="27">
        <v>45799</v>
      </c>
      <c r="T14" s="187">
        <v>45801</v>
      </c>
      <c r="U14" s="29">
        <v>45817</v>
      </c>
      <c r="V14" s="188">
        <v>45826</v>
      </c>
      <c r="W14" s="235" t="s">
        <v>301</v>
      </c>
      <c r="X14" s="230">
        <v>45846</v>
      </c>
      <c r="Y14" s="227">
        <v>45846</v>
      </c>
      <c r="Z14" s="29">
        <f t="shared" si="5"/>
        <v>45853</v>
      </c>
      <c r="AA14" s="229"/>
      <c r="AB14" s="229" t="str">
        <f t="shared" ca="1" si="6"/>
        <v>Not submit yet</v>
      </c>
      <c r="AC14" s="183">
        <f t="shared" ca="1" si="7"/>
        <v>456</v>
      </c>
      <c r="AD14" s="92"/>
      <c r="AG14" s="238" t="str">
        <f t="shared" si="8"/>
        <v>LTIA-5.10-VIETUR-80000-RFA-SDS-0297</v>
      </c>
      <c r="AH14" s="243" t="b" cm="1">
        <f t="array" ref="AH14">$D14=_xlfn.XLOOKUP(
AG14,
_xlfn._xlws.FILTER($AG$7:$AG$4869,$K$7:$K$4869&lt;&gt;"X"),
_xlfn._xlws.FILTER($D$7:$D$4869,$K$7:$K$4869&lt;&gt;"X"),
"",
0,
-1
)</f>
        <v>1</v>
      </c>
      <c r="AI14" s="75" t="str">
        <f t="shared" si="9"/>
        <v>YES</v>
      </c>
    </row>
    <row r="15" spans="1:35" s="9" customFormat="1" ht="63">
      <c r="A15" s="33">
        <f t="shared" si="0"/>
        <v>9</v>
      </c>
      <c r="B15" s="33" t="str">
        <f t="shared" si="1"/>
        <v>5.10</v>
      </c>
      <c r="C15" s="137"/>
      <c r="D15" s="25" t="s">
        <v>551</v>
      </c>
      <c r="E15" s="174">
        <f t="shared" si="2"/>
        <v>45832</v>
      </c>
      <c r="F15" s="31" t="s">
        <v>552</v>
      </c>
      <c r="G15" s="21" t="s">
        <v>553</v>
      </c>
      <c r="H15" s="138" t="s">
        <v>2</v>
      </c>
      <c r="I15" s="164">
        <f t="shared" si="10"/>
        <v>8</v>
      </c>
      <c r="J15" s="47">
        <f t="shared" si="4"/>
        <v>0</v>
      </c>
      <c r="K15" s="164"/>
      <c r="L15" s="54" t="s">
        <v>8</v>
      </c>
      <c r="M15" s="65" t="s">
        <v>8</v>
      </c>
      <c r="N15" s="40" t="s">
        <v>8</v>
      </c>
      <c r="O15" s="41" t="s">
        <v>8</v>
      </c>
      <c r="P15" s="40" t="s">
        <v>8</v>
      </c>
      <c r="Q15" s="155" t="s">
        <v>2</v>
      </c>
      <c r="R15" s="27">
        <v>45804</v>
      </c>
      <c r="S15" s="27">
        <v>45804</v>
      </c>
      <c r="T15" s="187">
        <v>45811</v>
      </c>
      <c r="U15" s="29">
        <v>45818</v>
      </c>
      <c r="V15" s="188">
        <v>45819</v>
      </c>
      <c r="W15" s="235" t="s">
        <v>554</v>
      </c>
      <c r="X15" s="230">
        <v>45842</v>
      </c>
      <c r="Y15" s="227">
        <v>45842</v>
      </c>
      <c r="Z15" s="29">
        <f t="shared" si="5"/>
        <v>45849</v>
      </c>
      <c r="AA15" s="229">
        <v>45861</v>
      </c>
      <c r="AB15" s="229" t="str">
        <f t="shared" si="6"/>
        <v>Late Resubmission</v>
      </c>
      <c r="AC15" s="183">
        <f t="shared" si="7"/>
        <v>12</v>
      </c>
      <c r="AD15" s="92"/>
      <c r="AG15" s="238" t="str">
        <f t="shared" si="8"/>
        <v>LTIA-5.10-VIETUR-80000-RFA-SDS-0310</v>
      </c>
      <c r="AH15" s="243" t="b" cm="1">
        <f t="array" ref="AH15">$D15=_xlfn.XLOOKUP(
AG15,
_xlfn._xlws.FILTER($AG$7:$AG$4869,$K$7:$K$4869&lt;&gt;"X"),
_xlfn._xlws.FILTER($D$7:$D$4869,$K$7:$K$4869&lt;&gt;"X"),
"",
0,
-1
)</f>
        <v>0</v>
      </c>
      <c r="AI15" s="75" t="str">
        <f t="shared" si="9"/>
        <v/>
      </c>
    </row>
    <row r="16" spans="1:35" s="9" customFormat="1" ht="63">
      <c r="A16" s="33">
        <f t="shared" si="0"/>
        <v>10</v>
      </c>
      <c r="B16" s="33" t="str">
        <f t="shared" si="1"/>
        <v>5.10</v>
      </c>
      <c r="C16" s="137" t="s">
        <v>556</v>
      </c>
      <c r="D16" s="25" t="s">
        <v>555</v>
      </c>
      <c r="E16" s="174">
        <f t="shared" si="2"/>
        <v>45873</v>
      </c>
      <c r="F16" s="31" t="s">
        <v>557</v>
      </c>
      <c r="G16" s="21" t="s">
        <v>558</v>
      </c>
      <c r="H16" s="138" t="s">
        <v>2</v>
      </c>
      <c r="I16" s="164">
        <f t="shared" si="10"/>
        <v>18</v>
      </c>
      <c r="J16" s="47">
        <f t="shared" si="4"/>
        <v>0</v>
      </c>
      <c r="K16" s="164"/>
      <c r="L16" s="54" t="s">
        <v>8</v>
      </c>
      <c r="M16" s="65" t="s">
        <v>8</v>
      </c>
      <c r="N16" s="40" t="s">
        <v>8</v>
      </c>
      <c r="O16" s="41" t="s">
        <v>8</v>
      </c>
      <c r="P16" s="40" t="s">
        <v>8</v>
      </c>
      <c r="Q16" s="155" t="s">
        <v>2</v>
      </c>
      <c r="R16" s="27">
        <v>45848</v>
      </c>
      <c r="S16" s="27">
        <v>45848</v>
      </c>
      <c r="T16" s="187">
        <v>45852</v>
      </c>
      <c r="U16" s="29">
        <v>45862</v>
      </c>
      <c r="V16" s="188">
        <v>45870</v>
      </c>
      <c r="W16" s="235" t="s">
        <v>559</v>
      </c>
      <c r="X16" s="230">
        <v>45954</v>
      </c>
      <c r="Y16" s="227">
        <v>45957</v>
      </c>
      <c r="Z16" s="29">
        <f t="shared" si="5"/>
        <v>45964</v>
      </c>
      <c r="AA16" s="229"/>
      <c r="AB16" s="229" t="str">
        <f t="shared" ca="1" si="6"/>
        <v>Not submit yet</v>
      </c>
      <c r="AC16" s="183">
        <f t="shared" ca="1" si="7"/>
        <v>345</v>
      </c>
      <c r="AD16" s="92"/>
      <c r="AG16" s="238" t="str">
        <f t="shared" si="8"/>
        <v>LTIA-5.10-VIETUR-80000-RFA-SDS-0330</v>
      </c>
      <c r="AH16" s="243" t="b" cm="1">
        <f t="array" ref="AH16">$D16=_xlfn.XLOOKUP(
AG16,
_xlfn._xlws.FILTER($AG$7:$AG$4869,$K$7:$K$4869&lt;&gt;"X"),
_xlfn._xlws.FILTER($D$7:$D$4869,$K$7:$K$4869&lt;&gt;"X"),
"",
0,
-1
)</f>
        <v>1</v>
      </c>
      <c r="AI16" s="75" t="str">
        <f t="shared" si="9"/>
        <v>YES</v>
      </c>
    </row>
    <row r="17" spans="1:35" s="9" customFormat="1" ht="110.25">
      <c r="A17" s="33">
        <f t="shared" si="0"/>
        <v>11</v>
      </c>
      <c r="B17" s="33" t="str">
        <f t="shared" si="1"/>
        <v>5.10</v>
      </c>
      <c r="C17" s="164" t="s">
        <v>563</v>
      </c>
      <c r="D17" s="25" t="s">
        <v>560</v>
      </c>
      <c r="E17" s="174">
        <f t="shared" si="2"/>
        <v>45876</v>
      </c>
      <c r="F17" s="31" t="s">
        <v>561</v>
      </c>
      <c r="G17" s="21" t="s">
        <v>562</v>
      </c>
      <c r="H17" s="138" t="s">
        <v>2</v>
      </c>
      <c r="I17" s="164">
        <f t="shared" si="10"/>
        <v>15</v>
      </c>
      <c r="J17" s="47">
        <f t="shared" si="4"/>
        <v>0</v>
      </c>
      <c r="K17" s="164"/>
      <c r="L17" s="54" t="s">
        <v>8</v>
      </c>
      <c r="M17" s="65" t="s">
        <v>8</v>
      </c>
      <c r="N17" s="40" t="s">
        <v>8</v>
      </c>
      <c r="O17" s="41" t="s">
        <v>8</v>
      </c>
      <c r="P17" s="40" t="s">
        <v>8</v>
      </c>
      <c r="Q17" s="155" t="s">
        <v>2</v>
      </c>
      <c r="R17" s="27">
        <v>45850</v>
      </c>
      <c r="S17" s="27">
        <v>45850</v>
      </c>
      <c r="T17" s="187">
        <v>45855</v>
      </c>
      <c r="U17" s="29">
        <v>45862</v>
      </c>
      <c r="V17" s="188">
        <v>45870</v>
      </c>
      <c r="W17" s="235" t="s">
        <v>559</v>
      </c>
      <c r="X17" s="230">
        <v>45954</v>
      </c>
      <c r="Y17" s="227">
        <v>45957</v>
      </c>
      <c r="Z17" s="29">
        <f t="shared" si="5"/>
        <v>45964</v>
      </c>
      <c r="AA17" s="229"/>
      <c r="AB17" s="229" t="str">
        <f t="shared" ca="1" si="6"/>
        <v>Not submit yet</v>
      </c>
      <c r="AC17" s="183">
        <f t="shared" ca="1" si="7"/>
        <v>345</v>
      </c>
      <c r="AD17" s="92"/>
      <c r="AG17" s="238" t="str">
        <f t="shared" si="8"/>
        <v>LTIA-5.10-VIETUR-80000-RFA-SDS-0122</v>
      </c>
      <c r="AH17" s="243" t="b" cm="1">
        <f t="array" ref="AH17">$D17=_xlfn.XLOOKUP(
AG17,
_xlfn._xlws.FILTER($AG$7:$AG$4869,$K$7:$K$4869&lt;&gt;"X"),
_xlfn._xlws.FILTER($D$7:$D$4869,$K$7:$K$4869&lt;&gt;"X"),
"",
0,
-1
)</f>
        <v>1</v>
      </c>
      <c r="AI17" s="75" t="str">
        <f t="shared" si="9"/>
        <v>YES</v>
      </c>
    </row>
    <row r="18" spans="1:35" s="9" customFormat="1" ht="47.25">
      <c r="A18" s="33">
        <f t="shared" si="0"/>
        <v>12</v>
      </c>
      <c r="B18" s="33" t="str">
        <f t="shared" si="1"/>
        <v>5.10</v>
      </c>
      <c r="C18" s="137" t="s">
        <v>556</v>
      </c>
      <c r="D18" s="25" t="s">
        <v>564</v>
      </c>
      <c r="E18" s="174">
        <f t="shared" si="2"/>
        <v>45887</v>
      </c>
      <c r="F18" s="31" t="s">
        <v>520</v>
      </c>
      <c r="G18" s="21" t="s">
        <v>521</v>
      </c>
      <c r="H18" s="138" t="s">
        <v>2</v>
      </c>
      <c r="I18" s="164">
        <f t="shared" si="10"/>
        <v>42</v>
      </c>
      <c r="J18" s="47">
        <f t="shared" si="4"/>
        <v>21</v>
      </c>
      <c r="K18" s="164"/>
      <c r="L18" s="54" t="s">
        <v>8</v>
      </c>
      <c r="M18" s="65" t="s">
        <v>8</v>
      </c>
      <c r="N18" s="40" t="s">
        <v>8</v>
      </c>
      <c r="O18" s="41" t="s">
        <v>8</v>
      </c>
      <c r="P18" s="40" t="s">
        <v>8</v>
      </c>
      <c r="Q18" s="155" t="s">
        <v>2</v>
      </c>
      <c r="R18" s="27">
        <v>45861</v>
      </c>
      <c r="S18" s="27">
        <v>45861</v>
      </c>
      <c r="T18" s="187">
        <v>45866</v>
      </c>
      <c r="U18" s="29">
        <v>45874</v>
      </c>
      <c r="V18" s="188">
        <v>45908</v>
      </c>
      <c r="W18" s="235" t="s">
        <v>559</v>
      </c>
      <c r="X18" s="230">
        <v>45954</v>
      </c>
      <c r="Y18" s="227">
        <v>45957</v>
      </c>
      <c r="Z18" s="29">
        <f t="shared" si="5"/>
        <v>45964</v>
      </c>
      <c r="AA18" s="229"/>
      <c r="AB18" s="229" t="str">
        <f t="shared" ca="1" si="6"/>
        <v>Not submit yet</v>
      </c>
      <c r="AC18" s="183">
        <f t="shared" ca="1" si="7"/>
        <v>345</v>
      </c>
      <c r="AD18" s="92"/>
      <c r="AG18" s="238" t="str">
        <f t="shared" si="8"/>
        <v>LTIA-5.10-VIETUR-80000-RFA-SDS-0080</v>
      </c>
      <c r="AH18" s="243" t="b" cm="1">
        <f t="array" ref="AH18">$D18=_xlfn.XLOOKUP(
AG18,
_xlfn._xlws.FILTER($AG$7:$AG$4869,$K$7:$K$4869&lt;&gt;"X"),
_xlfn._xlws.FILTER($D$7:$D$4869,$K$7:$K$4869&lt;&gt;"X"),
"",
0,
-1
)</f>
        <v>1</v>
      </c>
      <c r="AI18" s="75" t="str">
        <f t="shared" si="9"/>
        <v>YES</v>
      </c>
    </row>
    <row r="19" spans="1:35" s="9" customFormat="1" ht="47.25">
      <c r="A19" s="33">
        <f t="shared" si="0"/>
        <v>13</v>
      </c>
      <c r="B19" s="33" t="str">
        <f t="shared" si="1"/>
        <v>5.10</v>
      </c>
      <c r="C19" s="137" t="s">
        <v>556</v>
      </c>
      <c r="D19" s="25" t="s">
        <v>565</v>
      </c>
      <c r="E19" s="174">
        <f t="shared" si="2"/>
        <v>45887</v>
      </c>
      <c r="F19" s="31" t="s">
        <v>529</v>
      </c>
      <c r="G19" s="21" t="s">
        <v>530</v>
      </c>
      <c r="H19" s="138" t="s">
        <v>2</v>
      </c>
      <c r="I19" s="164">
        <f t="shared" si="10"/>
        <v>42</v>
      </c>
      <c r="J19" s="47">
        <f t="shared" si="4"/>
        <v>21</v>
      </c>
      <c r="K19" s="164"/>
      <c r="L19" s="54" t="s">
        <v>8</v>
      </c>
      <c r="M19" s="65" t="s">
        <v>8</v>
      </c>
      <c r="N19" s="40" t="s">
        <v>8</v>
      </c>
      <c r="O19" s="41" t="s">
        <v>8</v>
      </c>
      <c r="P19" s="40" t="s">
        <v>8</v>
      </c>
      <c r="Q19" s="155" t="s">
        <v>2</v>
      </c>
      <c r="R19" s="27">
        <v>45861</v>
      </c>
      <c r="S19" s="27">
        <v>45861</v>
      </c>
      <c r="T19" s="187">
        <v>45866</v>
      </c>
      <c r="U19" s="29">
        <v>45628</v>
      </c>
      <c r="V19" s="188">
        <v>45908</v>
      </c>
      <c r="W19" s="235" t="s">
        <v>559</v>
      </c>
      <c r="X19" s="230">
        <v>45954</v>
      </c>
      <c r="Y19" s="227">
        <v>45957</v>
      </c>
      <c r="Z19" s="29">
        <f t="shared" si="5"/>
        <v>45964</v>
      </c>
      <c r="AA19" s="229">
        <v>45908</v>
      </c>
      <c r="AB19" s="229" t="str">
        <f t="shared" si="6"/>
        <v>Timely Response</v>
      </c>
      <c r="AC19" s="183" t="str">
        <f t="shared" si="7"/>
        <v/>
      </c>
      <c r="AD19" s="92"/>
      <c r="AG19" s="238" t="str">
        <f t="shared" si="8"/>
        <v>LTIA-5.10-VIETUR-80000-RFA-SDS-0140</v>
      </c>
      <c r="AH19" s="243" t="b" cm="1">
        <f t="array" ref="AH19">$D19=_xlfn.XLOOKUP(
AG19,
_xlfn._xlws.FILTER($AG$7:$AG$4869,$K$7:$K$4869&lt;&gt;"X"),
_xlfn._xlws.FILTER($D$7:$D$4869,$K$7:$K$4869&lt;&gt;"X"),
"",
0,
-1
)</f>
        <v>0</v>
      </c>
      <c r="AI19" s="75" t="str">
        <f t="shared" si="9"/>
        <v/>
      </c>
    </row>
    <row r="20" spans="1:35" s="9" customFormat="1" ht="47.25">
      <c r="A20" s="33">
        <f t="shared" si="0"/>
        <v>14</v>
      </c>
      <c r="B20" s="33" t="str">
        <f t="shared" si="1"/>
        <v>5.10</v>
      </c>
      <c r="C20" s="137" t="s">
        <v>556</v>
      </c>
      <c r="D20" s="25" t="s">
        <v>566</v>
      </c>
      <c r="E20" s="174">
        <f t="shared" si="2"/>
        <v>45887</v>
      </c>
      <c r="F20" s="31" t="s">
        <v>534</v>
      </c>
      <c r="G20" s="21" t="s">
        <v>535</v>
      </c>
      <c r="H20" s="138" t="s">
        <v>2</v>
      </c>
      <c r="I20" s="164">
        <f t="shared" si="10"/>
        <v>42</v>
      </c>
      <c r="J20" s="47">
        <f t="shared" si="4"/>
        <v>21</v>
      </c>
      <c r="K20" s="164"/>
      <c r="L20" s="54" t="s">
        <v>8</v>
      </c>
      <c r="M20" s="65" t="s">
        <v>8</v>
      </c>
      <c r="N20" s="40" t="s">
        <v>8</v>
      </c>
      <c r="O20" s="41" t="s">
        <v>8</v>
      </c>
      <c r="P20" s="40" t="s">
        <v>8</v>
      </c>
      <c r="Q20" s="155" t="s">
        <v>2</v>
      </c>
      <c r="R20" s="27">
        <v>45861</v>
      </c>
      <c r="S20" s="27">
        <v>45861</v>
      </c>
      <c r="T20" s="187">
        <v>45866</v>
      </c>
      <c r="U20" s="29">
        <v>45646</v>
      </c>
      <c r="V20" s="188">
        <v>45908</v>
      </c>
      <c r="W20" s="235" t="s">
        <v>559</v>
      </c>
      <c r="X20" s="230">
        <v>45954</v>
      </c>
      <c r="Y20" s="227">
        <v>45957</v>
      </c>
      <c r="Z20" s="29">
        <f t="shared" si="5"/>
        <v>45964</v>
      </c>
      <c r="AA20" s="229">
        <v>45972</v>
      </c>
      <c r="AB20" s="229" t="str">
        <f t="shared" si="6"/>
        <v>Late Resubmission</v>
      </c>
      <c r="AC20" s="183">
        <f t="shared" si="7"/>
        <v>8</v>
      </c>
      <c r="AD20" s="92"/>
      <c r="AG20" s="238" t="str">
        <f t="shared" si="8"/>
        <v>LTIA-5.10-VIETUR-80000-RFA-SDS-0160</v>
      </c>
      <c r="AH20" s="243" t="b" cm="1">
        <f t="array" ref="AH20">$D20=_xlfn.XLOOKUP(
AG20,
_xlfn._xlws.FILTER($AG$7:$AG$4869,$K$7:$K$4869&lt;&gt;"X"),
_xlfn._xlws.FILTER($D$7:$D$4869,$K$7:$K$4869&lt;&gt;"X"),
"",
0,
-1
)</f>
        <v>0</v>
      </c>
      <c r="AI20" s="75" t="str">
        <f t="shared" si="9"/>
        <v/>
      </c>
    </row>
    <row r="21" spans="1:35" s="9" customFormat="1" ht="47.25">
      <c r="A21" s="33">
        <f t="shared" si="0"/>
        <v>15</v>
      </c>
      <c r="B21" s="33" t="str">
        <f t="shared" si="1"/>
        <v>5.10</v>
      </c>
      <c r="C21" s="137" t="s">
        <v>556</v>
      </c>
      <c r="D21" s="25" t="s">
        <v>567</v>
      </c>
      <c r="E21" s="174">
        <f t="shared" si="2"/>
        <v>45887</v>
      </c>
      <c r="F21" s="31" t="s">
        <v>537</v>
      </c>
      <c r="G21" s="21" t="s">
        <v>538</v>
      </c>
      <c r="H21" s="138" t="s">
        <v>2</v>
      </c>
      <c r="I21" s="164">
        <f t="shared" si="10"/>
        <v>42</v>
      </c>
      <c r="J21" s="47">
        <f t="shared" si="4"/>
        <v>21</v>
      </c>
      <c r="K21" s="164"/>
      <c r="L21" s="54" t="s">
        <v>8</v>
      </c>
      <c r="M21" s="65" t="s">
        <v>8</v>
      </c>
      <c r="N21" s="40" t="s">
        <v>8</v>
      </c>
      <c r="O21" s="41" t="s">
        <v>8</v>
      </c>
      <c r="P21" s="40" t="s">
        <v>8</v>
      </c>
      <c r="Q21" s="155" t="s">
        <v>2</v>
      </c>
      <c r="R21" s="27">
        <v>45861</v>
      </c>
      <c r="S21" s="27">
        <v>45861</v>
      </c>
      <c r="T21" s="188">
        <v>45866</v>
      </c>
      <c r="U21" s="29">
        <v>45648</v>
      </c>
      <c r="V21" s="188">
        <v>45908</v>
      </c>
      <c r="W21" s="235" t="s">
        <v>559</v>
      </c>
      <c r="X21" s="230">
        <v>45954</v>
      </c>
      <c r="Y21" s="227">
        <v>45957</v>
      </c>
      <c r="Z21" s="29">
        <f t="shared" si="5"/>
        <v>45964</v>
      </c>
      <c r="AA21" s="229">
        <v>45959</v>
      </c>
      <c r="AB21" s="229" t="str">
        <f t="shared" si="6"/>
        <v>Timely Response</v>
      </c>
      <c r="AC21" s="183" t="str">
        <f t="shared" si="7"/>
        <v/>
      </c>
      <c r="AD21" s="332" t="s">
        <v>568</v>
      </c>
      <c r="AG21" s="238" t="str">
        <f t="shared" si="8"/>
        <v>LTIA-5.10-VIETUR-80000-RFA-SDS-0197</v>
      </c>
      <c r="AH21" s="243" t="b" cm="1">
        <f t="array" ref="AH21">$D21=_xlfn.XLOOKUP(
AG21,
_xlfn._xlws.FILTER($AG$7:$AG$4869,$K$7:$K$4869&lt;&gt;"X"),
_xlfn._xlws.FILTER($D$7:$D$4869,$K$7:$K$4869&lt;&gt;"X"),
"",
0,
-1
)</f>
        <v>0</v>
      </c>
      <c r="AI21" s="75" t="str">
        <f t="shared" si="9"/>
        <v/>
      </c>
    </row>
    <row r="22" spans="1:35" s="9" customFormat="1" ht="63">
      <c r="A22" s="33">
        <f t="shared" si="0"/>
        <v>16</v>
      </c>
      <c r="B22" s="33" t="str">
        <f t="shared" si="1"/>
        <v>5.10</v>
      </c>
      <c r="C22" s="137" t="s">
        <v>571</v>
      </c>
      <c r="D22" s="25" t="s">
        <v>569</v>
      </c>
      <c r="E22" s="174">
        <f t="shared" si="2"/>
        <v>46009</v>
      </c>
      <c r="F22" s="31" t="s">
        <v>552</v>
      </c>
      <c r="G22" s="21" t="s">
        <v>570</v>
      </c>
      <c r="H22" s="138" t="s">
        <v>3</v>
      </c>
      <c r="I22" s="164">
        <f t="shared" si="10"/>
        <v>1</v>
      </c>
      <c r="J22" s="47">
        <f t="shared" si="4"/>
        <v>0</v>
      </c>
      <c r="K22" s="164"/>
      <c r="L22" s="54" t="s">
        <v>8</v>
      </c>
      <c r="M22" s="65" t="s">
        <v>8</v>
      </c>
      <c r="N22" s="40" t="s">
        <v>8</v>
      </c>
      <c r="O22" s="41" t="s">
        <v>8</v>
      </c>
      <c r="P22" s="40" t="s">
        <v>8</v>
      </c>
      <c r="Q22" s="155" t="s">
        <v>3</v>
      </c>
      <c r="R22" s="27">
        <v>45861</v>
      </c>
      <c r="S22" s="27">
        <v>45861</v>
      </c>
      <c r="T22" s="188">
        <v>45988</v>
      </c>
      <c r="U22" s="29">
        <v>45880</v>
      </c>
      <c r="V22" s="188">
        <v>45989</v>
      </c>
      <c r="W22" s="235" t="s">
        <v>572</v>
      </c>
      <c r="X22" s="230">
        <v>45994</v>
      </c>
      <c r="Y22" s="227">
        <v>45995</v>
      </c>
      <c r="Z22" s="29" t="str">
        <f t="shared" si="5"/>
        <v/>
      </c>
      <c r="AA22" s="229"/>
      <c r="AB22" s="229" t="str">
        <f t="shared" si="6"/>
        <v/>
      </c>
      <c r="AC22" s="183" t="str">
        <f t="shared" si="7"/>
        <v/>
      </c>
      <c r="AD22" s="92" t="s">
        <v>886</v>
      </c>
      <c r="AG22" s="238" t="str">
        <f t="shared" si="8"/>
        <v>LTIA-5.10-VIETUR-80000-RFA-SDS-0310</v>
      </c>
      <c r="AH22" s="243" t="b" cm="1">
        <f t="array" ref="AH22">$D22=_xlfn.XLOOKUP(
AG22,
_xlfn._xlws.FILTER($AG$7:$AG$4869,$K$7:$K$4869&lt;&gt;"X"),
_xlfn._xlws.FILTER($D$7:$D$4869,$K$7:$K$4869&lt;&gt;"X"),
"",
0,
-1
)</f>
        <v>1</v>
      </c>
      <c r="AI22" s="75" t="str">
        <f t="shared" si="9"/>
        <v/>
      </c>
    </row>
    <row r="23" spans="1:35" s="9" customFormat="1" ht="47.25">
      <c r="A23" s="33">
        <f t="shared" si="0"/>
        <v>17</v>
      </c>
      <c r="B23" s="33" t="str">
        <f t="shared" si="1"/>
        <v>5.10</v>
      </c>
      <c r="C23" s="164" t="s">
        <v>576</v>
      </c>
      <c r="D23" s="25" t="s">
        <v>573</v>
      </c>
      <c r="E23" s="174">
        <f>IF($T23=0,$S23+22,$T23+21)</f>
        <v>45902</v>
      </c>
      <c r="F23" s="31" t="s">
        <v>574</v>
      </c>
      <c r="G23" s="21" t="s">
        <v>575</v>
      </c>
      <c r="H23" s="138" t="s">
        <v>2</v>
      </c>
      <c r="I23" s="164">
        <f>IF(ISBLANK($V23),_xlfn.DAYS($I$1,$T23),_xlfn.DAYS($V23,$T23))</f>
        <v>27</v>
      </c>
      <c r="J23" s="47">
        <f t="shared" si="4"/>
        <v>6</v>
      </c>
      <c r="K23" s="164"/>
      <c r="L23" s="54" t="s">
        <v>8</v>
      </c>
      <c r="M23" s="65" t="s">
        <v>8</v>
      </c>
      <c r="N23" s="40" t="s">
        <v>8</v>
      </c>
      <c r="O23" s="41" t="s">
        <v>8</v>
      </c>
      <c r="P23" s="40" t="s">
        <v>8</v>
      </c>
      <c r="Q23" s="155" t="s">
        <v>2</v>
      </c>
      <c r="R23" s="27">
        <v>45880</v>
      </c>
      <c r="S23" s="27">
        <v>45880</v>
      </c>
      <c r="T23" s="188">
        <v>45881</v>
      </c>
      <c r="U23" s="29">
        <v>45891</v>
      </c>
      <c r="V23" s="188">
        <v>45908</v>
      </c>
      <c r="W23" s="235" t="s">
        <v>559</v>
      </c>
      <c r="X23" s="230">
        <v>45954</v>
      </c>
      <c r="Y23" s="227">
        <v>45957</v>
      </c>
      <c r="Z23" s="29">
        <f t="shared" si="5"/>
        <v>45964</v>
      </c>
      <c r="AA23" s="229"/>
      <c r="AB23" s="229" t="str">
        <f t="shared" ca="1" si="6"/>
        <v>Not submit yet</v>
      </c>
      <c r="AC23" s="183">
        <f t="shared" ca="1" si="7"/>
        <v>345</v>
      </c>
      <c r="AD23" s="92"/>
      <c r="AG23" s="238" t="str">
        <f t="shared" si="8"/>
        <v>LTIA-5.10-VIETUR-80000-RFA-SDS-0350</v>
      </c>
      <c r="AH23" s="243" t="b" cm="1">
        <f t="array" ref="AH23">$D23=_xlfn.XLOOKUP(
AG23,
_xlfn._xlws.FILTER($AG$7:$AG$4869,$K$7:$K$4869&lt;&gt;"X"),
_xlfn._xlws.FILTER($D$7:$D$4869,$K$7:$K$4869&lt;&gt;"X"),
"",
0,
-1
)</f>
        <v>1</v>
      </c>
      <c r="AI23" s="75" t="str">
        <f t="shared" si="9"/>
        <v>YES</v>
      </c>
    </row>
    <row r="24" spans="1:35" s="9" customFormat="1" ht="78.75">
      <c r="A24" s="33">
        <f t="shared" si="0"/>
        <v>18</v>
      </c>
      <c r="B24" s="33" t="str">
        <f t="shared" si="1"/>
        <v>5.10</v>
      </c>
      <c r="C24" s="137" t="s">
        <v>131</v>
      </c>
      <c r="D24" s="25" t="s">
        <v>577</v>
      </c>
      <c r="E24" s="174">
        <f>IF($T24=0,$S24+22,$T24+21)</f>
        <v>45930</v>
      </c>
      <c r="F24" s="31" t="s">
        <v>578</v>
      </c>
      <c r="G24" s="21" t="s">
        <v>579</v>
      </c>
      <c r="H24" s="138" t="s">
        <v>2</v>
      </c>
      <c r="I24" s="164">
        <f>IF(ISBLANK($V24),_xlfn.DAYS($I$1,$T24),_xlfn.DAYS($V24,$T24))</f>
        <v>8</v>
      </c>
      <c r="J24" s="47">
        <f t="shared" si="4"/>
        <v>0</v>
      </c>
      <c r="K24" s="164"/>
      <c r="L24" s="54" t="s">
        <v>8</v>
      </c>
      <c r="M24" s="65" t="s">
        <v>8</v>
      </c>
      <c r="N24" s="40" t="s">
        <v>8</v>
      </c>
      <c r="O24" s="41" t="s">
        <v>8</v>
      </c>
      <c r="P24" s="40" t="s">
        <v>8</v>
      </c>
      <c r="Q24" s="155" t="s">
        <v>2</v>
      </c>
      <c r="R24" s="27">
        <v>45908</v>
      </c>
      <c r="S24" s="27">
        <v>45908</v>
      </c>
      <c r="T24" s="188">
        <v>45909</v>
      </c>
      <c r="U24" s="29">
        <v>45873</v>
      </c>
      <c r="V24" s="188">
        <v>45917</v>
      </c>
      <c r="W24" s="235" t="s">
        <v>559</v>
      </c>
      <c r="X24" s="230">
        <v>46153</v>
      </c>
      <c r="Y24" s="227">
        <v>45957</v>
      </c>
      <c r="Z24" s="29">
        <f t="shared" si="5"/>
        <v>45964</v>
      </c>
      <c r="AA24" s="229"/>
      <c r="AB24" s="229" t="str">
        <f t="shared" ca="1" si="6"/>
        <v>Not submit yet</v>
      </c>
      <c r="AC24" s="183">
        <f t="shared" ca="1" si="7"/>
        <v>345</v>
      </c>
      <c r="AD24" s="92"/>
      <c r="AG24" s="238" t="str">
        <f t="shared" si="8"/>
        <v>LTIA-5.10-VIETUR-80000-RFA-SDS-0140</v>
      </c>
      <c r="AH24" s="243" t="b" cm="1">
        <f t="array" ref="AH24">$D24=_xlfn.XLOOKUP(
AG24,
_xlfn._xlws.FILTER($AG$7:$AG$4869,$K$7:$K$4869&lt;&gt;"X"),
_xlfn._xlws.FILTER($D$7:$D$4869,$K$7:$K$4869&lt;&gt;"X"),
"",
0,
-1
)</f>
        <v>1</v>
      </c>
      <c r="AI24" s="75" t="str">
        <f t="shared" si="9"/>
        <v>YES</v>
      </c>
    </row>
    <row r="25" spans="1:35" s="9" customFormat="1" ht="63">
      <c r="A25" s="33">
        <f t="shared" si="0"/>
        <v>19</v>
      </c>
      <c r="B25" s="33" t="str">
        <f t="shared" si="1"/>
        <v>5.10</v>
      </c>
      <c r="C25" s="137"/>
      <c r="D25" s="25" t="s">
        <v>580</v>
      </c>
      <c r="E25" s="174">
        <f>IF($T25=0,$S25+22,$T25+21)</f>
        <v>45953</v>
      </c>
      <c r="F25" s="31" t="s">
        <v>546</v>
      </c>
      <c r="G25" s="21" t="s">
        <v>547</v>
      </c>
      <c r="H25" s="138" t="s">
        <v>2</v>
      </c>
      <c r="I25" s="164">
        <f>IF(ISBLANK($V25),_xlfn.DAYS($I$1,$T25),_xlfn.DAYS($V25,$T25))</f>
        <v>13</v>
      </c>
      <c r="J25" s="47">
        <f t="shared" si="4"/>
        <v>0</v>
      </c>
      <c r="K25" s="164"/>
      <c r="L25" s="54" t="s">
        <v>8</v>
      </c>
      <c r="M25" s="65" t="s">
        <v>8</v>
      </c>
      <c r="N25" s="40" t="s">
        <v>8</v>
      </c>
      <c r="O25" s="41" t="s">
        <v>8</v>
      </c>
      <c r="P25" s="40" t="s">
        <v>8</v>
      </c>
      <c r="Q25" s="155" t="s">
        <v>2</v>
      </c>
      <c r="R25" s="27">
        <v>45919</v>
      </c>
      <c r="S25" s="27">
        <v>45919</v>
      </c>
      <c r="T25" s="188">
        <v>45932</v>
      </c>
      <c r="U25" s="29">
        <v>45940</v>
      </c>
      <c r="V25" s="188">
        <v>45945</v>
      </c>
      <c r="W25" s="235" t="s">
        <v>581</v>
      </c>
      <c r="X25" s="230">
        <v>46029</v>
      </c>
      <c r="Y25" s="227">
        <v>46030</v>
      </c>
      <c r="Z25" s="29">
        <f t="shared" si="5"/>
        <v>46037</v>
      </c>
      <c r="AA25" s="229"/>
      <c r="AB25" s="229" t="str">
        <f t="shared" ca="1" si="6"/>
        <v>Not submit yet</v>
      </c>
      <c r="AC25" s="183">
        <f t="shared" ca="1" si="7"/>
        <v>272</v>
      </c>
      <c r="AD25" s="92" t="s">
        <v>887</v>
      </c>
      <c r="AG25" s="238" t="str">
        <f t="shared" si="8"/>
        <v>LTIA-5.10-VIETUR-80000-RFA-SDS-0222</v>
      </c>
      <c r="AH25" s="243" t="b" cm="1">
        <f t="array" ref="AH25">$D25=_xlfn.XLOOKUP(
AG25,
_xlfn._xlws.FILTER($AG$7:$AG$4869,$K$7:$K$4869&lt;&gt;"X"),
_xlfn._xlws.FILTER($D$7:$D$4869,$K$7:$K$4869&lt;&gt;"X"),
"",
0,
-1
)</f>
        <v>1</v>
      </c>
      <c r="AI25" s="75" t="str">
        <f t="shared" si="9"/>
        <v>YES</v>
      </c>
    </row>
    <row r="26" spans="1:35" s="9" customFormat="1" ht="47.25">
      <c r="A26" s="33">
        <f t="shared" si="0"/>
        <v>20</v>
      </c>
      <c r="B26" s="33" t="str">
        <f t="shared" si="1"/>
        <v>5.10</v>
      </c>
      <c r="C26" s="137" t="s">
        <v>195</v>
      </c>
      <c r="D26" s="25" t="s">
        <v>582</v>
      </c>
      <c r="E26" s="174">
        <f t="shared" si="2"/>
        <v>45953</v>
      </c>
      <c r="F26" s="31" t="s">
        <v>583</v>
      </c>
      <c r="G26" s="21" t="s">
        <v>584</v>
      </c>
      <c r="H26" s="138" t="s">
        <v>2</v>
      </c>
      <c r="I26" s="164">
        <f t="shared" si="10"/>
        <v>13</v>
      </c>
      <c r="J26" s="47">
        <f t="shared" si="4"/>
        <v>0</v>
      </c>
      <c r="K26" s="164"/>
      <c r="L26" s="54" t="s">
        <v>8</v>
      </c>
      <c r="M26" s="65" t="s">
        <v>8</v>
      </c>
      <c r="N26" s="40" t="s">
        <v>12</v>
      </c>
      <c r="O26" s="41" t="s">
        <v>8</v>
      </c>
      <c r="P26" s="40" t="s">
        <v>8</v>
      </c>
      <c r="Q26" s="155" t="s">
        <v>2</v>
      </c>
      <c r="R26" s="27">
        <v>45930</v>
      </c>
      <c r="S26" s="27">
        <v>45930</v>
      </c>
      <c r="T26" s="188">
        <v>45932</v>
      </c>
      <c r="U26" s="29">
        <v>45940</v>
      </c>
      <c r="V26" s="188">
        <v>45945</v>
      </c>
      <c r="W26" s="235" t="s">
        <v>581</v>
      </c>
      <c r="X26" s="230">
        <v>45978</v>
      </c>
      <c r="Y26" s="227">
        <v>45979</v>
      </c>
      <c r="Z26" s="29">
        <f t="shared" si="5"/>
        <v>45986</v>
      </c>
      <c r="AA26" s="229"/>
      <c r="AB26" s="229" t="str">
        <f t="shared" ca="1" si="6"/>
        <v>Not submit yet</v>
      </c>
      <c r="AC26" s="183">
        <f t="shared" ca="1" si="7"/>
        <v>323</v>
      </c>
      <c r="AD26" s="92"/>
      <c r="AG26" s="238" t="str">
        <f t="shared" si="8"/>
        <v>LTIA-5.10-VIETUR-80000-RFA-SDS-0371</v>
      </c>
      <c r="AH26" s="243" t="b" cm="1">
        <f t="array" ref="AH26">$D26=_xlfn.XLOOKUP(
AG26,
_xlfn._xlws.FILTER($AG$7:$AG$4869,$K$7:$K$4869&lt;&gt;"X"),
_xlfn._xlws.FILTER($D$7:$D$4869,$K$7:$K$4869&lt;&gt;"X"),
"",
0,
-1
)</f>
        <v>1</v>
      </c>
      <c r="AI26" s="75" t="str">
        <f t="shared" si="9"/>
        <v>YES</v>
      </c>
    </row>
    <row r="27" spans="1:35" s="9" customFormat="1" ht="47.25">
      <c r="A27" s="33">
        <f t="shared" si="0"/>
        <v>21</v>
      </c>
      <c r="B27" s="33" t="str">
        <f t="shared" si="1"/>
        <v>5.10</v>
      </c>
      <c r="C27" s="137" t="s">
        <v>131</v>
      </c>
      <c r="D27" s="25" t="s">
        <v>585</v>
      </c>
      <c r="E27" s="174">
        <f t="shared" si="2"/>
        <v>45982</v>
      </c>
      <c r="F27" s="31" t="s">
        <v>537</v>
      </c>
      <c r="G27" s="21" t="s">
        <v>538</v>
      </c>
      <c r="H27" s="138" t="s">
        <v>2</v>
      </c>
      <c r="I27" s="164">
        <f t="shared" si="10"/>
        <v>19</v>
      </c>
      <c r="J27" s="47">
        <f t="shared" si="4"/>
        <v>0</v>
      </c>
      <c r="K27" s="164"/>
      <c r="L27" s="54" t="s">
        <v>8</v>
      </c>
      <c r="M27" s="65" t="s">
        <v>8</v>
      </c>
      <c r="N27" s="40" t="s">
        <v>8</v>
      </c>
      <c r="O27" s="41" t="s">
        <v>8</v>
      </c>
      <c r="P27" s="40" t="s">
        <v>8</v>
      </c>
      <c r="Q27" s="155" t="s">
        <v>2</v>
      </c>
      <c r="R27" s="27">
        <v>45959</v>
      </c>
      <c r="S27" s="27">
        <v>45959</v>
      </c>
      <c r="T27" s="188">
        <v>45961</v>
      </c>
      <c r="U27" s="29">
        <v>45945</v>
      </c>
      <c r="V27" s="188">
        <v>45980</v>
      </c>
      <c r="W27" s="235" t="s">
        <v>190</v>
      </c>
      <c r="X27" s="230">
        <v>45995</v>
      </c>
      <c r="Y27" s="227">
        <v>45999</v>
      </c>
      <c r="Z27" s="29">
        <f t="shared" si="5"/>
        <v>46006</v>
      </c>
      <c r="AA27" s="229"/>
      <c r="AB27" s="229" t="str">
        <f t="shared" ca="1" si="6"/>
        <v>Not submit yet</v>
      </c>
      <c r="AC27" s="183">
        <f t="shared" ca="1" si="7"/>
        <v>303</v>
      </c>
      <c r="AD27" s="92"/>
      <c r="AG27" s="238" t="str">
        <f t="shared" si="8"/>
        <v>LTIA-5.10-VIETUR-80000-RFA-SDS-0197</v>
      </c>
      <c r="AH27" s="243" t="b" cm="1">
        <f t="array" ref="AH27">$D27=_xlfn.XLOOKUP(
AG27,
_xlfn._xlws.FILTER($AG$7:$AG$4869,$K$7:$K$4869&lt;&gt;"X"),
_xlfn._xlws.FILTER($D$7:$D$4869,$K$7:$K$4869&lt;&gt;"X"),
"",
0,
-1
)</f>
        <v>1</v>
      </c>
      <c r="AI27" s="75" t="str">
        <f t="shared" si="9"/>
        <v>YES</v>
      </c>
    </row>
    <row r="28" spans="1:35" s="9" customFormat="1" ht="63">
      <c r="A28" s="33">
        <f t="shared" si="0"/>
        <v>22</v>
      </c>
      <c r="B28" s="33" t="str">
        <f t="shared" si="1"/>
        <v>5.10</v>
      </c>
      <c r="C28" s="137" t="s">
        <v>197</v>
      </c>
      <c r="D28" s="25" t="s">
        <v>586</v>
      </c>
      <c r="E28" s="174">
        <f t="shared" si="2"/>
        <v>45987</v>
      </c>
      <c r="F28" s="31" t="s">
        <v>587</v>
      </c>
      <c r="G28" s="21" t="s">
        <v>588</v>
      </c>
      <c r="H28" s="138" t="s">
        <v>1</v>
      </c>
      <c r="I28" s="164">
        <f t="shared" si="10"/>
        <v>28</v>
      </c>
      <c r="J28" s="47">
        <f t="shared" si="4"/>
        <v>7</v>
      </c>
      <c r="K28" s="164"/>
      <c r="L28" s="54" t="s">
        <v>8</v>
      </c>
      <c r="M28" s="65" t="s">
        <v>8</v>
      </c>
      <c r="N28" s="40" t="s">
        <v>8</v>
      </c>
      <c r="O28" s="41" t="s">
        <v>8</v>
      </c>
      <c r="P28" s="40" t="s">
        <v>8</v>
      </c>
      <c r="Q28" s="155" t="s">
        <v>1</v>
      </c>
      <c r="R28" s="27">
        <v>45965</v>
      </c>
      <c r="S28" s="27">
        <v>45965</v>
      </c>
      <c r="T28" s="188">
        <v>45966</v>
      </c>
      <c r="U28" s="29">
        <v>45979</v>
      </c>
      <c r="V28" s="188">
        <v>45994</v>
      </c>
      <c r="W28" s="235" t="s">
        <v>190</v>
      </c>
      <c r="X28" s="230">
        <v>46146</v>
      </c>
      <c r="Y28" s="227">
        <v>46136</v>
      </c>
      <c r="Z28" s="29">
        <f t="shared" si="5"/>
        <v>46143</v>
      </c>
      <c r="AA28" s="229">
        <v>46268</v>
      </c>
      <c r="AB28" s="229" t="str">
        <f t="shared" si="6"/>
        <v>Late Resubmission</v>
      </c>
      <c r="AC28" s="183">
        <f t="shared" si="7"/>
        <v>125</v>
      </c>
      <c r="AD28" s="92"/>
      <c r="AG28" s="238" t="str">
        <f t="shared" si="8"/>
        <v>LTIA-5.10-VIETUR-80000-RFA-SDS-0394</v>
      </c>
      <c r="AH28" s="243" t="b" cm="1">
        <f t="array" ref="AH28">$D28=_xlfn.XLOOKUP(
AG28,
_xlfn._xlws.FILTER($AG$7:$AG$4869,$K$7:$K$4869&lt;&gt;"X"),
_xlfn._xlws.FILTER($D$7:$D$4869,$K$7:$K$4869&lt;&gt;"X"),
"",
0,
-1
)</f>
        <v>1</v>
      </c>
      <c r="AI28" s="75" t="str">
        <f t="shared" si="9"/>
        <v>YES</v>
      </c>
    </row>
    <row r="29" spans="1:35" s="9" customFormat="1" ht="47.25">
      <c r="A29" s="33">
        <f t="shared" si="0"/>
        <v>23</v>
      </c>
      <c r="B29" s="33" t="str">
        <f t="shared" si="1"/>
        <v>5.10</v>
      </c>
      <c r="C29" s="137" t="s">
        <v>180</v>
      </c>
      <c r="D29" s="25" t="s">
        <v>589</v>
      </c>
      <c r="E29" s="174">
        <f>IF($T29=0,$S29+22,$T29+21)</f>
        <v>46035</v>
      </c>
      <c r="F29" s="31" t="s">
        <v>590</v>
      </c>
      <c r="G29" s="21" t="s">
        <v>591</v>
      </c>
      <c r="H29" s="138"/>
      <c r="I29" s="164"/>
      <c r="J29" s="47"/>
      <c r="K29" s="164" t="s">
        <v>13</v>
      </c>
      <c r="L29" s="54" t="s">
        <v>8</v>
      </c>
      <c r="M29" s="65" t="s">
        <v>8</v>
      </c>
      <c r="N29" s="40"/>
      <c r="O29" s="41"/>
      <c r="P29" s="40"/>
      <c r="Q29" s="155"/>
      <c r="R29" s="27">
        <v>45972</v>
      </c>
      <c r="S29" s="27">
        <v>45972</v>
      </c>
      <c r="T29" s="188">
        <v>46014</v>
      </c>
      <c r="U29" s="29"/>
      <c r="V29" s="188"/>
      <c r="W29" s="227"/>
      <c r="X29" s="230"/>
      <c r="Y29" s="227"/>
      <c r="Z29" s="29" t="str">
        <f t="shared" si="5"/>
        <v/>
      </c>
      <c r="AA29" s="229"/>
      <c r="AB29" s="229" t="str">
        <f t="shared" si="6"/>
        <v/>
      </c>
      <c r="AC29" s="183" t="str">
        <f t="shared" si="7"/>
        <v/>
      </c>
      <c r="AD29" s="92" t="s">
        <v>1004</v>
      </c>
      <c r="AG29" s="238" t="str">
        <f t="shared" si="8"/>
        <v>LTIA-5.10-VIETUR-80000-RFA-SDS-0372</v>
      </c>
      <c r="AH29" s="243" t="b" cm="1">
        <f t="array" ref="AH29">$D29=_xlfn.XLOOKUP(
AG29,
_xlfn._xlws.FILTER($AG$7:$AG$4869,$K$7:$K$4869&lt;&gt;"X"),
_xlfn._xlws.FILTER($D$7:$D$4869,$K$7:$K$4869&lt;&gt;"X"),
"",
0,
-1
)</f>
        <v>1</v>
      </c>
      <c r="AI29" s="75" t="str">
        <f t="shared" si="9"/>
        <v/>
      </c>
    </row>
    <row r="30" spans="1:35" s="9" customFormat="1" ht="47.25">
      <c r="A30" s="33">
        <f t="shared" si="0"/>
        <v>24</v>
      </c>
      <c r="B30" s="33" t="str">
        <f t="shared" si="1"/>
        <v>5.10</v>
      </c>
      <c r="C30" s="137" t="s">
        <v>197</v>
      </c>
      <c r="D30" s="25" t="s">
        <v>592</v>
      </c>
      <c r="E30" s="174">
        <f t="shared" si="2"/>
        <v>45993</v>
      </c>
      <c r="F30" s="31" t="s">
        <v>534</v>
      </c>
      <c r="G30" s="21" t="s">
        <v>535</v>
      </c>
      <c r="H30" s="138" t="s">
        <v>2</v>
      </c>
      <c r="I30" s="164">
        <f t="shared" si="10"/>
        <v>10</v>
      </c>
      <c r="J30" s="47">
        <f t="shared" si="4"/>
        <v>0</v>
      </c>
      <c r="K30" s="164"/>
      <c r="L30" s="54" t="s">
        <v>8</v>
      </c>
      <c r="M30" s="65" t="s">
        <v>8</v>
      </c>
      <c r="N30" s="40" t="s">
        <v>8</v>
      </c>
      <c r="O30" s="41" t="s">
        <v>8</v>
      </c>
      <c r="P30" s="40" t="s">
        <v>8</v>
      </c>
      <c r="Q30" s="155" t="s">
        <v>2</v>
      </c>
      <c r="R30" s="27">
        <v>45972</v>
      </c>
      <c r="S30" s="27">
        <v>45972</v>
      </c>
      <c r="T30" s="188">
        <v>45972</v>
      </c>
      <c r="U30" s="29">
        <v>45982</v>
      </c>
      <c r="V30" s="188">
        <v>45982</v>
      </c>
      <c r="W30" s="235" t="s">
        <v>190</v>
      </c>
      <c r="X30" s="230">
        <v>45995</v>
      </c>
      <c r="Y30" s="227">
        <v>45999</v>
      </c>
      <c r="Z30" s="29">
        <f t="shared" si="5"/>
        <v>46006</v>
      </c>
      <c r="AA30" s="229"/>
      <c r="AB30" s="229" t="str">
        <f t="shared" ca="1" si="6"/>
        <v>Not submit yet</v>
      </c>
      <c r="AC30" s="183">
        <f t="shared" ca="1" si="7"/>
        <v>303</v>
      </c>
      <c r="AD30" s="92" t="s">
        <v>593</v>
      </c>
      <c r="AG30" s="238" t="str">
        <f t="shared" si="8"/>
        <v>LTIA-5.10-VIETUR-80000-RFA-SDS-0160</v>
      </c>
      <c r="AH30" s="243" t="b" cm="1">
        <f t="array" ref="AH30">$D30=_xlfn.XLOOKUP(
AG30,
_xlfn._xlws.FILTER($AG$7:$AG$4869,$K$7:$K$4869&lt;&gt;"X"),
_xlfn._xlws.FILTER($D$7:$D$4869,$K$7:$K$4869&lt;&gt;"X"),
"",
0,
-1
)</f>
        <v>1</v>
      </c>
      <c r="AI30" s="75" t="str">
        <f t="shared" si="9"/>
        <v>YES</v>
      </c>
    </row>
    <row r="31" spans="1:35" s="9" customFormat="1" ht="63">
      <c r="A31" s="33">
        <f t="shared" si="0"/>
        <v>25</v>
      </c>
      <c r="B31" s="33" t="str">
        <f t="shared" si="1"/>
        <v>5.10</v>
      </c>
      <c r="C31" s="137" t="s">
        <v>144</v>
      </c>
      <c r="D31" s="25" t="s">
        <v>594</v>
      </c>
      <c r="E31" s="174">
        <f>IF($T31=0,$S31+22,$T31+21)</f>
        <v>46162</v>
      </c>
      <c r="F31" s="31" t="s">
        <v>595</v>
      </c>
      <c r="G31" s="21" t="s">
        <v>596</v>
      </c>
      <c r="H31" s="138" t="s">
        <v>1</v>
      </c>
      <c r="I31" s="164">
        <f ca="1">IF(ISBLANK($V31),_xlfn.DAYS($I$1,$T31),_xlfn.DAYS($V31,$T31))</f>
        <v>168</v>
      </c>
      <c r="J31" s="47">
        <f t="shared" ca="1" si="4"/>
        <v>147</v>
      </c>
      <c r="K31" s="164"/>
      <c r="L31" s="54" t="s">
        <v>8</v>
      </c>
      <c r="M31" s="65" t="s">
        <v>8</v>
      </c>
      <c r="N31" s="40"/>
      <c r="O31" s="41"/>
      <c r="P31" s="40"/>
      <c r="Q31" s="155"/>
      <c r="R31" s="27">
        <v>46014</v>
      </c>
      <c r="S31" s="27">
        <v>46014</v>
      </c>
      <c r="T31" s="188">
        <v>46141</v>
      </c>
      <c r="U31" s="29"/>
      <c r="V31" s="188"/>
      <c r="W31" s="227"/>
      <c r="X31" s="230"/>
      <c r="Y31" s="227"/>
      <c r="Z31" s="29" t="str">
        <f t="shared" si="5"/>
        <v/>
      </c>
      <c r="AA31" s="229"/>
      <c r="AB31" s="229" t="str">
        <f t="shared" si="6"/>
        <v/>
      </c>
      <c r="AC31" s="183" t="str">
        <f t="shared" si="7"/>
        <v/>
      </c>
      <c r="AD31" s="92" t="s">
        <v>597</v>
      </c>
      <c r="AG31" s="238" t="str">
        <f t="shared" si="8"/>
        <v>LTIA-5.10-VIETUR-80000-RFA-SDS-0415</v>
      </c>
      <c r="AH31" s="243" t="b" cm="1">
        <f t="array" ref="AH31">$D31=_xlfn.XLOOKUP(
AG31,
_xlfn._xlws.FILTER($AG$7:$AG$4869,$K$7:$K$4869&lt;&gt;"X"),
_xlfn._xlws.FILTER($D$7:$D$4869,$K$7:$K$4869&lt;&gt;"X"),
"",
0,
-1
)</f>
        <v>1</v>
      </c>
      <c r="AI31" s="75" t="str">
        <f t="shared" si="9"/>
        <v/>
      </c>
    </row>
    <row r="32" spans="1:35" s="9" customFormat="1" ht="47.25">
      <c r="A32" s="33">
        <f t="shared" si="0"/>
        <v>26</v>
      </c>
      <c r="B32" s="33" t="str">
        <f t="shared" si="1"/>
        <v>5.10</v>
      </c>
      <c r="C32" s="164" t="s">
        <v>376</v>
      </c>
      <c r="D32" s="25" t="s">
        <v>598</v>
      </c>
      <c r="E32" s="174">
        <f t="shared" si="2"/>
        <v>46048</v>
      </c>
      <c r="F32" s="31" t="s">
        <v>599</v>
      </c>
      <c r="G32" s="21" t="s">
        <v>600</v>
      </c>
      <c r="H32" s="138" t="s">
        <v>1</v>
      </c>
      <c r="I32" s="164">
        <f t="shared" si="10"/>
        <v>98</v>
      </c>
      <c r="J32" s="47">
        <f t="shared" si="4"/>
        <v>77</v>
      </c>
      <c r="K32" s="164"/>
      <c r="L32" s="54" t="s">
        <v>8</v>
      </c>
      <c r="M32" s="65" t="s">
        <v>8</v>
      </c>
      <c r="N32" s="40" t="s">
        <v>8</v>
      </c>
      <c r="O32" s="41" t="s">
        <v>8</v>
      </c>
      <c r="P32" s="40" t="s">
        <v>8</v>
      </c>
      <c r="Q32" s="155" t="s">
        <v>1</v>
      </c>
      <c r="R32" s="27">
        <v>46018</v>
      </c>
      <c r="S32" s="27">
        <v>46018</v>
      </c>
      <c r="T32" s="188">
        <v>46027</v>
      </c>
      <c r="U32" s="29">
        <v>46045</v>
      </c>
      <c r="V32" s="188">
        <v>46125</v>
      </c>
      <c r="W32" s="235" t="s">
        <v>190</v>
      </c>
      <c r="X32" s="230">
        <v>46146</v>
      </c>
      <c r="Y32" s="227">
        <v>46136</v>
      </c>
      <c r="Z32" s="29">
        <f t="shared" si="5"/>
        <v>46143</v>
      </c>
      <c r="AA32" s="229">
        <v>46268</v>
      </c>
      <c r="AB32" s="229" t="str">
        <f t="shared" si="6"/>
        <v>Late Resubmission</v>
      </c>
      <c r="AC32" s="183">
        <f t="shared" si="7"/>
        <v>125</v>
      </c>
      <c r="AD32" s="92" t="s">
        <v>601</v>
      </c>
      <c r="AG32" s="238" t="str">
        <f t="shared" si="8"/>
        <v>LTIA-5.10-VIETUR-80000-RFA-SDS-0417</v>
      </c>
      <c r="AH32" s="243" t="b" cm="1">
        <f t="array" ref="AH32">$D32=_xlfn.XLOOKUP(
AG32,
_xlfn._xlws.FILTER($AG$7:$AG$4869,$K$7:$K$4869&lt;&gt;"X"),
_xlfn._xlws.FILTER($D$7:$D$4869,$K$7:$K$4869&lt;&gt;"X"),
"",
0,
-1
)</f>
        <v>0</v>
      </c>
      <c r="AI32" s="75" t="str">
        <f t="shared" si="9"/>
        <v/>
      </c>
    </row>
    <row r="33" spans="1:35" s="9" customFormat="1" ht="47.25">
      <c r="A33" s="33">
        <f t="shared" si="0"/>
        <v>27</v>
      </c>
      <c r="B33" s="33" t="str">
        <f t="shared" si="1"/>
        <v>5.10</v>
      </c>
      <c r="C33" s="137"/>
      <c r="D33" s="25" t="s">
        <v>602</v>
      </c>
      <c r="E33" s="174">
        <f t="shared" si="2"/>
        <v>46100</v>
      </c>
      <c r="F33" s="31" t="s">
        <v>603</v>
      </c>
      <c r="G33" s="21" t="s">
        <v>604</v>
      </c>
      <c r="H33" s="138" t="s">
        <v>1</v>
      </c>
      <c r="I33" s="164">
        <f t="shared" si="10"/>
        <v>20</v>
      </c>
      <c r="J33" s="47">
        <f t="shared" si="4"/>
        <v>0</v>
      </c>
      <c r="K33" s="164"/>
      <c r="L33" s="54" t="s">
        <v>8</v>
      </c>
      <c r="M33" s="65" t="s">
        <v>8</v>
      </c>
      <c r="N33" s="40" t="s">
        <v>8</v>
      </c>
      <c r="O33" s="41" t="s">
        <v>8</v>
      </c>
      <c r="P33" s="40"/>
      <c r="Q33" s="155"/>
      <c r="R33" s="27">
        <v>46051</v>
      </c>
      <c r="S33" s="27">
        <v>46051</v>
      </c>
      <c r="T33" s="188">
        <v>46079</v>
      </c>
      <c r="U33" s="29">
        <v>46093</v>
      </c>
      <c r="V33" s="188">
        <v>46099</v>
      </c>
      <c r="W33" s="235" t="s">
        <v>606</v>
      </c>
      <c r="X33" s="230"/>
      <c r="Y33" s="227"/>
      <c r="Z33" s="29">
        <f t="shared" si="5"/>
        <v>46106</v>
      </c>
      <c r="AA33" s="229"/>
      <c r="AB33" s="229" t="str">
        <f t="shared" si="6"/>
        <v/>
      </c>
      <c r="AC33" s="183" t="str">
        <f t="shared" si="7"/>
        <v/>
      </c>
      <c r="AD33" s="92" t="s">
        <v>605</v>
      </c>
      <c r="AG33" s="238" t="str">
        <f t="shared" si="8"/>
        <v>LTIA-5.10-VIETUR-80000-RFA-SDS-0428</v>
      </c>
      <c r="AH33" s="243" t="b" cm="1">
        <f t="array" ref="AH33">$D33=_xlfn.XLOOKUP(
AG33,
_xlfn._xlws.FILTER($AG$7:$AG$4869,$K$7:$K$4869&lt;&gt;"X"),
_xlfn._xlws.FILTER($D$7:$D$4869,$K$7:$K$4869&lt;&gt;"X"),
"",
0,
-1
)</f>
        <v>1</v>
      </c>
      <c r="AI33" s="75" t="str">
        <f t="shared" si="9"/>
        <v/>
      </c>
    </row>
    <row r="34" spans="1:35" s="9" customFormat="1" ht="78.75">
      <c r="A34" s="33">
        <f t="shared" si="0"/>
        <v>28</v>
      </c>
      <c r="B34" s="33" t="str">
        <f>MID(D34, FIND("-", D34) + 1, 4)</f>
        <v>5.11</v>
      </c>
      <c r="C34" s="164" t="s">
        <v>342</v>
      </c>
      <c r="D34" s="25" t="s">
        <v>909</v>
      </c>
      <c r="E34" s="174"/>
      <c r="F34" s="31" t="s">
        <v>910</v>
      </c>
      <c r="G34" s="21" t="s">
        <v>911</v>
      </c>
      <c r="H34" s="138"/>
      <c r="I34" s="164"/>
      <c r="J34" s="47"/>
      <c r="K34" s="164" t="s">
        <v>13</v>
      </c>
      <c r="L34" s="54" t="s">
        <v>8</v>
      </c>
      <c r="M34" s="65"/>
      <c r="N34" s="40"/>
      <c r="O34" s="41"/>
      <c r="P34" s="40"/>
      <c r="Q34" s="155"/>
      <c r="R34" s="27">
        <v>46199</v>
      </c>
      <c r="S34" s="27">
        <v>46199</v>
      </c>
      <c r="T34" s="188">
        <v>46199</v>
      </c>
      <c r="U34" s="29"/>
      <c r="V34" s="188"/>
      <c r="W34" s="235"/>
      <c r="X34" s="230"/>
      <c r="Y34" s="227"/>
      <c r="Z34" s="29" t="str">
        <f t="shared" si="5"/>
        <v/>
      </c>
      <c r="AA34" s="229"/>
      <c r="AB34" s="229" t="str">
        <f t="shared" si="6"/>
        <v/>
      </c>
      <c r="AC34" s="183" t="str">
        <f t="shared" ref="AC34:AC35" si="11">IF(AB34="Late Resubmission",IF(AA34="","",AA34-Z34),IF(AB34="Not submit yet",IF(Z34="","",$I$1-Z34),""))</f>
        <v/>
      </c>
      <c r="AD34" s="92" t="s">
        <v>917</v>
      </c>
      <c r="AG34" s="238" t="str">
        <f t="shared" si="8"/>
        <v>LTIA-5.11-LTICT-72020-RFA-SDS-0001</v>
      </c>
      <c r="AH34" s="243" t="b" cm="1">
        <f t="array" ref="AH34">$D34=_xlfn.XLOOKUP(
AG34,
_xlfn._xlws.FILTER($AG$7:$AG$4869,$K$7:$K$4869&lt;&gt;"X"),
_xlfn._xlws.FILTER($D$7:$D$4869,$K$7:$K$4869&lt;&gt;"X"),
"",
0,
-1
)</f>
        <v>0</v>
      </c>
      <c r="AI34" s="75" t="str">
        <f t="shared" si="9"/>
        <v/>
      </c>
    </row>
    <row r="35" spans="1:35" s="9" customFormat="1" ht="47.25">
      <c r="A35" s="33">
        <f t="shared" si="0"/>
        <v>29</v>
      </c>
      <c r="B35" s="33" t="str">
        <f t="shared" ref="B35" si="12">MID(D35, FIND("-", D35) + 1, 4)</f>
        <v>5.10</v>
      </c>
      <c r="C35" s="164" t="s">
        <v>197</v>
      </c>
      <c r="D35" s="25" t="s">
        <v>975</v>
      </c>
      <c r="E35" s="174">
        <f t="shared" si="2"/>
        <v>46325</v>
      </c>
      <c r="F35" s="31" t="s">
        <v>976</v>
      </c>
      <c r="G35" s="21" t="s">
        <v>600</v>
      </c>
      <c r="H35" s="138"/>
      <c r="I35" s="164">
        <f t="shared" ca="1" si="10"/>
        <v>5</v>
      </c>
      <c r="J35" s="47">
        <f t="shared" ca="1" si="4"/>
        <v>0</v>
      </c>
      <c r="K35" s="164"/>
      <c r="L35" s="54" t="s">
        <v>8</v>
      </c>
      <c r="M35" s="65"/>
      <c r="N35" s="40"/>
      <c r="O35" s="41"/>
      <c r="P35" s="40"/>
      <c r="Q35" s="155"/>
      <c r="R35" s="27">
        <v>46268</v>
      </c>
      <c r="S35" s="27">
        <v>46268</v>
      </c>
      <c r="T35" s="188">
        <v>46304</v>
      </c>
      <c r="U35" s="29"/>
      <c r="V35" s="188"/>
      <c r="W35" s="235"/>
      <c r="X35" s="230"/>
      <c r="Y35" s="227"/>
      <c r="Z35" s="29" t="str">
        <f t="shared" si="5"/>
        <v/>
      </c>
      <c r="AA35" s="229"/>
      <c r="AB35" s="229" t="str">
        <f t="shared" si="6"/>
        <v/>
      </c>
      <c r="AC35" s="183" t="str">
        <f t="shared" si="11"/>
        <v/>
      </c>
      <c r="AD35" s="92" t="s">
        <v>1056</v>
      </c>
      <c r="AG35" s="238" t="str">
        <f t="shared" si="8"/>
        <v>LTIA-5.10-VIETUR-80000-RFA-SDS-0417</v>
      </c>
      <c r="AH35" s="243" t="b" cm="1">
        <f t="array" ref="AH35">$D35=_xlfn.XLOOKUP(
AG35,
_xlfn._xlws.FILTER($AG$7:$AG$4869,$K$7:$K$4869&lt;&gt;"X"),
_xlfn._xlws.FILTER($D$7:$D$4869,$K$7:$K$4869&lt;&gt;"X"),
"",
0,
-1
)</f>
        <v>1</v>
      </c>
      <c r="AI35" s="75" t="str">
        <f t="shared" si="9"/>
        <v/>
      </c>
    </row>
    <row r="36" spans="1:35" s="9" customFormat="1" ht="47.25">
      <c r="A36" s="33">
        <f t="shared" si="0"/>
        <v>30</v>
      </c>
      <c r="B36" s="33" t="str">
        <f t="shared" ref="B36" si="13">MID(D36, FIND("-", D36) + 1, 4)</f>
        <v>5.10</v>
      </c>
      <c r="C36" s="164" t="s">
        <v>180</v>
      </c>
      <c r="D36" s="25" t="s">
        <v>589</v>
      </c>
      <c r="E36" s="174">
        <f t="shared" si="2"/>
        <v>46302</v>
      </c>
      <c r="F36" s="31" t="s">
        <v>984</v>
      </c>
      <c r="G36" s="21" t="s">
        <v>985</v>
      </c>
      <c r="H36" s="138" t="s">
        <v>1</v>
      </c>
      <c r="I36" s="164">
        <f t="shared" si="10"/>
        <v>19</v>
      </c>
      <c r="J36" s="47">
        <f t="shared" si="4"/>
        <v>0</v>
      </c>
      <c r="K36" s="164"/>
      <c r="L36" s="54" t="s">
        <v>8</v>
      </c>
      <c r="M36" s="65"/>
      <c r="N36" s="40" t="s">
        <v>8</v>
      </c>
      <c r="O36" s="41"/>
      <c r="P36" s="40"/>
      <c r="Q36" s="155"/>
      <c r="R36" s="27">
        <v>46281</v>
      </c>
      <c r="S36" s="27">
        <v>46281</v>
      </c>
      <c r="T36" s="188">
        <v>46281</v>
      </c>
      <c r="U36" s="29">
        <v>46293</v>
      </c>
      <c r="V36" s="188">
        <v>46300</v>
      </c>
      <c r="W36" s="235" t="s">
        <v>240</v>
      </c>
      <c r="X36" s="230"/>
      <c r="Y36" s="227"/>
      <c r="Z36" s="29">
        <f t="shared" si="5"/>
        <v>46307</v>
      </c>
      <c r="AA36" s="229"/>
      <c r="AB36" s="229" t="str">
        <f t="shared" si="6"/>
        <v/>
      </c>
      <c r="AC36" s="183" t="str">
        <f t="shared" ref="AC36" si="14">IF(AB36="Late Resubmission",IF(AA36="","",AA36-Z36),IF(AB36="Not submit yet",IF(Z36="","",$I$1-Z36),""))</f>
        <v/>
      </c>
      <c r="AD36" s="92" t="s">
        <v>1011</v>
      </c>
      <c r="AG36" s="238" t="str">
        <f t="shared" si="8"/>
        <v>LTIA-5.10-VIETUR-80000-RFA-SDS-0372</v>
      </c>
      <c r="AH36" s="243" t="b" cm="1">
        <f t="array" ref="AH36">$D36=_xlfn.XLOOKUP(
AG36,
_xlfn._xlws.FILTER($AG$7:$AG$4869,$K$7:$K$4869&lt;&gt;"X"),
_xlfn._xlws.FILTER($D$7:$D$4869,$K$7:$K$4869&lt;&gt;"X"),
"",
0,
-1
)</f>
        <v>1</v>
      </c>
      <c r="AI36" s="75" t="str">
        <f t="shared" si="9"/>
        <v/>
      </c>
    </row>
    <row r="37" spans="1:35" s="9" customFormat="1" ht="47.25">
      <c r="A37" s="33">
        <f t="shared" si="0"/>
        <v>31</v>
      </c>
      <c r="B37" s="33" t="str">
        <f t="shared" ref="B37" si="15">MID(D37, FIND("-", D37) + 1, 4)</f>
        <v>5.10</v>
      </c>
      <c r="C37" s="164"/>
      <c r="D37" s="25" t="s">
        <v>986</v>
      </c>
      <c r="E37" s="174">
        <f t="shared" si="2"/>
        <v>46302</v>
      </c>
      <c r="F37" s="31" t="s">
        <v>987</v>
      </c>
      <c r="G37" s="21" t="s">
        <v>988</v>
      </c>
      <c r="H37" s="138" t="s">
        <v>1</v>
      </c>
      <c r="I37" s="164">
        <f t="shared" ca="1" si="10"/>
        <v>28</v>
      </c>
      <c r="J37" s="47">
        <f t="shared" ca="1" si="4"/>
        <v>7</v>
      </c>
      <c r="K37" s="164"/>
      <c r="L37" s="54" t="s">
        <v>8</v>
      </c>
      <c r="M37" s="65"/>
      <c r="N37" s="40"/>
      <c r="O37" s="41"/>
      <c r="P37" s="40"/>
      <c r="Q37" s="155"/>
      <c r="R37" s="27">
        <v>46281</v>
      </c>
      <c r="S37" s="27">
        <v>46281</v>
      </c>
      <c r="T37" s="188">
        <v>46281</v>
      </c>
      <c r="U37" s="29"/>
      <c r="V37" s="188"/>
      <c r="W37" s="235" t="s">
        <v>240</v>
      </c>
      <c r="X37" s="230"/>
      <c r="Y37" s="227"/>
      <c r="Z37" s="29" t="str">
        <f t="shared" si="5"/>
        <v/>
      </c>
      <c r="AA37" s="229"/>
      <c r="AB37" s="229" t="str">
        <f t="shared" si="6"/>
        <v/>
      </c>
      <c r="AC37" s="183" t="str">
        <f t="shared" ref="AC37" si="16">IF(AB37="Late Resubmission",IF(AA37="","",AA37-Z37),IF(AB37="Not submit yet",IF(Z37="","",$I$1-Z37),""))</f>
        <v/>
      </c>
      <c r="AD37" s="92" t="s">
        <v>1025</v>
      </c>
      <c r="AG37" s="238" t="str">
        <f t="shared" si="8"/>
        <v>LTIA-5.10-VIETUR-80000-RFA-SDS-0484</v>
      </c>
      <c r="AH37" s="243" t="b" cm="1">
        <f t="array" ref="AH37">$D37=_xlfn.XLOOKUP(
AG37,
_xlfn._xlws.FILTER($AG$7:$AG$4869,$K$7:$K$4869&lt;&gt;"X"),
_xlfn._xlws.FILTER($D$7:$D$4869,$K$7:$K$4869&lt;&gt;"X"),
"",
0,
-1
)</f>
        <v>1</v>
      </c>
      <c r="AI37" s="75" t="str">
        <f t="shared" si="9"/>
        <v/>
      </c>
    </row>
    <row r="38" spans="1:35" s="9" customFormat="1" ht="47.25">
      <c r="A38" s="33">
        <f t="shared" si="0"/>
        <v>32</v>
      </c>
      <c r="B38" s="33" t="str">
        <f t="shared" ref="B38" si="17">MID(D38, FIND("-", D38) + 1, 4)</f>
        <v>5.11</v>
      </c>
      <c r="C38" s="164" t="s">
        <v>372</v>
      </c>
      <c r="D38" s="25" t="s">
        <v>989</v>
      </c>
      <c r="E38" s="174">
        <f t="shared" si="2"/>
        <v>46304</v>
      </c>
      <c r="F38" s="31" t="s">
        <v>990</v>
      </c>
      <c r="G38" s="21" t="s">
        <v>991</v>
      </c>
      <c r="H38" s="138" t="s">
        <v>1</v>
      </c>
      <c r="I38" s="164">
        <f t="shared" si="10"/>
        <v>21</v>
      </c>
      <c r="J38" s="47">
        <f t="shared" si="4"/>
        <v>0</v>
      </c>
      <c r="K38" s="164"/>
      <c r="L38" s="54" t="s">
        <v>8</v>
      </c>
      <c r="M38" s="65"/>
      <c r="N38" s="40" t="s">
        <v>8</v>
      </c>
      <c r="O38" s="41"/>
      <c r="P38" s="40"/>
      <c r="Q38" s="155"/>
      <c r="R38" s="27">
        <v>46283</v>
      </c>
      <c r="S38" s="27">
        <v>46283</v>
      </c>
      <c r="T38" s="188">
        <v>46283</v>
      </c>
      <c r="U38" s="29">
        <v>46304</v>
      </c>
      <c r="V38" s="188">
        <v>46304</v>
      </c>
      <c r="W38" s="235" t="s">
        <v>240</v>
      </c>
      <c r="X38" s="230"/>
      <c r="Y38" s="227"/>
      <c r="Z38" s="29">
        <f t="shared" si="5"/>
        <v>46311</v>
      </c>
      <c r="AA38" s="229"/>
      <c r="AB38" s="229" t="str">
        <f t="shared" si="6"/>
        <v/>
      </c>
      <c r="AC38" s="183" t="str">
        <f t="shared" ref="AC38" si="18">IF(AB38="Late Resubmission",IF(AA38="","",AA38-Z38),IF(AB38="Not submit yet",IF(Z38="","",$I$1-Z38),""))</f>
        <v/>
      </c>
      <c r="AD38" s="92" t="s">
        <v>1054</v>
      </c>
      <c r="AG38" s="238" t="str">
        <f t="shared" si="8"/>
        <v>LTIA-5.11-LTICT-72100-RFA-SDS-0001</v>
      </c>
      <c r="AH38" s="243" t="b" cm="1">
        <f t="array" ref="AH38">$D38=_xlfn.XLOOKUP(
AG38,
_xlfn._xlws.FILTER($AG$7:$AG$4869,$K$7:$K$4869&lt;&gt;"X"),
_xlfn._xlws.FILTER($D$7:$D$4869,$K$7:$K$4869&lt;&gt;"X"),
"",
0,
-1
)</f>
        <v>1</v>
      </c>
      <c r="AI38" s="75" t="str">
        <f t="shared" si="9"/>
        <v/>
      </c>
    </row>
    <row r="39" spans="1:35" s="9" customFormat="1" ht="63">
      <c r="A39" s="33">
        <f t="shared" si="0"/>
        <v>33</v>
      </c>
      <c r="B39" s="33" t="str">
        <f t="shared" ref="B39" si="19">MID(D39, FIND("-", D39) + 1, 4)</f>
        <v>5.10</v>
      </c>
      <c r="C39" s="164" t="s">
        <v>197</v>
      </c>
      <c r="D39" s="25" t="s">
        <v>992</v>
      </c>
      <c r="E39" s="174">
        <f t="shared" si="2"/>
        <v>46325</v>
      </c>
      <c r="F39" s="31" t="s">
        <v>993</v>
      </c>
      <c r="G39" s="21" t="s">
        <v>588</v>
      </c>
      <c r="H39" s="138"/>
      <c r="I39" s="164">
        <f t="shared" ca="1" si="10"/>
        <v>5</v>
      </c>
      <c r="J39" s="47">
        <f t="shared" ca="1" si="4"/>
        <v>0</v>
      </c>
      <c r="K39" s="164"/>
      <c r="L39" s="54" t="s">
        <v>8</v>
      </c>
      <c r="M39" s="65"/>
      <c r="N39" s="40"/>
      <c r="O39" s="41"/>
      <c r="P39" s="40"/>
      <c r="Q39" s="155"/>
      <c r="R39" s="27">
        <v>46268</v>
      </c>
      <c r="S39" s="27">
        <v>46268</v>
      </c>
      <c r="T39" s="188">
        <v>46304</v>
      </c>
      <c r="U39" s="29"/>
      <c r="V39" s="188"/>
      <c r="W39" s="235"/>
      <c r="X39" s="230"/>
      <c r="Y39" s="227"/>
      <c r="Z39" s="29" t="str">
        <f t="shared" si="5"/>
        <v/>
      </c>
      <c r="AA39" s="229"/>
      <c r="AB39" s="229" t="str">
        <f t="shared" si="6"/>
        <v/>
      </c>
      <c r="AC39" s="183" t="str">
        <f t="shared" ref="AC39" si="20">IF(AB39="Late Resubmission",IF(AA39="","",AA39-Z39),IF(AB39="Not submit yet",IF(Z39="","",$I$1-Z39),""))</f>
        <v/>
      </c>
      <c r="AD39" s="92" t="s">
        <v>1056</v>
      </c>
      <c r="AG39" s="238" t="str">
        <f t="shared" si="8"/>
        <v xml:space="preserve">  LTIA-5.10-VIETUR-80000-RFA-SDS-0394</v>
      </c>
      <c r="AH39" s="243" t="b" cm="1">
        <f t="array" ref="AH39">$D39=_xlfn.XLOOKUP(
AG39,
_xlfn._xlws.FILTER($AG$7:$AG$4869,$K$7:$K$4869&lt;&gt;"X"),
_xlfn._xlws.FILTER($D$7:$D$4869,$K$7:$K$4869&lt;&gt;"X"),
"",
0,
-1
)</f>
        <v>1</v>
      </c>
      <c r="AI39" s="75" t="str">
        <f>IF(AND($AH39,OR($Q39="B",$Q39="C")),"YES","")</f>
        <v/>
      </c>
    </row>
    <row r="40" spans="1:35" s="9" customFormat="1" ht="63">
      <c r="A40" s="33">
        <f t="shared" si="0"/>
        <v>34</v>
      </c>
      <c r="B40" s="33" t="str">
        <f t="shared" ref="B40" si="21">MID(D40, FIND("-", D40) + 1, 4)</f>
        <v>5.10</v>
      </c>
      <c r="C40" s="164"/>
      <c r="D40" s="25" t="s">
        <v>1060</v>
      </c>
      <c r="E40" s="174">
        <f t="shared" si="2"/>
        <v>46330</v>
      </c>
      <c r="F40" s="31" t="s">
        <v>1061</v>
      </c>
      <c r="G40" s="21" t="s">
        <v>1062</v>
      </c>
      <c r="H40" s="138"/>
      <c r="I40" s="164">
        <f t="shared" ca="1" si="10"/>
        <v>0</v>
      </c>
      <c r="J40" s="47">
        <f t="shared" ca="1" si="4"/>
        <v>0</v>
      </c>
      <c r="K40" s="164"/>
      <c r="L40" s="54" t="s">
        <v>8</v>
      </c>
      <c r="M40" s="65"/>
      <c r="N40" s="40"/>
      <c r="O40" s="41"/>
      <c r="P40" s="40"/>
      <c r="Q40" s="155"/>
      <c r="R40" s="27">
        <v>46309</v>
      </c>
      <c r="S40" s="27">
        <v>46309</v>
      </c>
      <c r="T40" s="188">
        <v>46309</v>
      </c>
      <c r="U40" s="29"/>
      <c r="V40" s="188"/>
      <c r="W40" s="235"/>
      <c r="X40" s="230"/>
      <c r="Y40" s="227"/>
      <c r="Z40" s="29" t="str">
        <f t="shared" si="5"/>
        <v/>
      </c>
      <c r="AA40" s="229"/>
      <c r="AB40" s="229" t="str">
        <f t="shared" si="6"/>
        <v/>
      </c>
      <c r="AC40" s="183" t="str">
        <f t="shared" ref="AC40" si="22">IF(AB40="Late Resubmission",IF(AA40="","",AA40-Z40),IF(AB40="Not submit yet",IF(Z40="","",$I$1-Z40),""))</f>
        <v/>
      </c>
      <c r="AD40" s="92"/>
      <c r="AG40" s="238" t="str">
        <f t="shared" si="8"/>
        <v>LTIA-5.10-VIETUR-80000-RFA-SDS-0493</v>
      </c>
      <c r="AH40" s="243" t="b" cm="1">
        <f t="array" ref="AH40">$D40=_xlfn.XLOOKUP(
AG40,
_xlfn._xlws.FILTER($AG$7:$AG$4869,$K$7:$K$4869&lt;&gt;"X"),
_xlfn._xlws.FILTER($D$7:$D$4869,$K$7:$K$4869&lt;&gt;"X"),
"",
0,
-1
)</f>
        <v>1</v>
      </c>
      <c r="AI40" s="75" t="str">
        <f>IF(AND($AH40,OR($Q40="B",$Q40="C")),"YES","")</f>
        <v/>
      </c>
    </row>
    <row r="41" spans="1:35" s="9" customFormat="1">
      <c r="A41" s="23"/>
      <c r="B41" s="33"/>
      <c r="C41" s="137"/>
      <c r="D41" s="25"/>
      <c r="E41" s="174"/>
      <c r="F41" s="31"/>
      <c r="G41" s="21"/>
      <c r="H41" s="138"/>
      <c r="I41" s="177"/>
      <c r="J41" s="47"/>
      <c r="K41" s="164"/>
      <c r="L41" s="52"/>
      <c r="M41" s="66"/>
      <c r="N41" s="40"/>
      <c r="O41" s="37"/>
      <c r="P41" s="17"/>
      <c r="Q41" s="183"/>
      <c r="R41" s="27"/>
      <c r="S41" s="27"/>
      <c r="T41" s="187"/>
      <c r="U41" s="29"/>
      <c r="V41" s="188"/>
      <c r="W41" s="227"/>
      <c r="X41" s="230"/>
      <c r="Y41" s="227"/>
      <c r="Z41" s="29" t="str">
        <f t="shared" si="5"/>
        <v/>
      </c>
      <c r="AA41" s="229"/>
      <c r="AB41" s="229"/>
      <c r="AC41" s="19"/>
      <c r="AD41" s="92"/>
      <c r="AG41" s="238"/>
      <c r="AH41" s="243"/>
      <c r="AI41" s="75"/>
    </row>
    <row r="42" spans="1:35" s="9" customFormat="1" ht="16.5" thickBot="1">
      <c r="A42" s="24"/>
      <c r="B42" s="329"/>
      <c r="C42" s="165"/>
      <c r="D42" s="45"/>
      <c r="E42" s="175"/>
      <c r="F42" s="32"/>
      <c r="G42" s="22"/>
      <c r="H42" s="139"/>
      <c r="I42" s="178"/>
      <c r="J42" s="132"/>
      <c r="K42" s="199"/>
      <c r="L42" s="53"/>
      <c r="M42" s="67"/>
      <c r="N42" s="18"/>
      <c r="O42" s="38"/>
      <c r="P42" s="18"/>
      <c r="Q42" s="184"/>
      <c r="R42" s="44"/>
      <c r="S42" s="44"/>
      <c r="T42" s="189"/>
      <c r="U42" s="43"/>
      <c r="V42" s="194"/>
      <c r="W42" s="228"/>
      <c r="X42" s="232"/>
      <c r="Y42" s="228"/>
      <c r="Z42" s="43" t="str">
        <f t="shared" si="5"/>
        <v/>
      </c>
      <c r="AA42" s="233"/>
      <c r="AB42" s="233"/>
      <c r="AC42" s="20"/>
      <c r="AD42" s="93"/>
      <c r="AG42" s="239"/>
      <c r="AH42" s="244"/>
      <c r="AI42" s="241"/>
    </row>
    <row r="43" spans="1:35" ht="16.5" thickBot="1"/>
    <row r="44" spans="1:35" ht="16.5" thickBot="1">
      <c r="C44" s="166" t="s">
        <v>20</v>
      </c>
      <c r="D44" s="379" t="s">
        <v>21</v>
      </c>
      <c r="E44" s="380"/>
      <c r="F44" s="46"/>
      <c r="G44" s="46"/>
      <c r="H44" s="384" t="s">
        <v>14</v>
      </c>
      <c r="I44" s="385"/>
      <c r="J44" s="385"/>
      <c r="K44" s="385"/>
      <c r="L44" s="385"/>
      <c r="M44" s="386"/>
      <c r="N44" s="382" t="s">
        <v>7</v>
      </c>
      <c r="O44" s="383"/>
      <c r="P44" s="382" t="s">
        <v>109</v>
      </c>
      <c r="Q44" s="383"/>
      <c r="R44" s="1"/>
      <c r="S44" s="1"/>
      <c r="T44" s="140"/>
      <c r="U44" s="1"/>
      <c r="W44" s="11"/>
      <c r="X44" s="11"/>
      <c r="Y44" s="11"/>
      <c r="Z44" s="11"/>
      <c r="AA44" s="11"/>
      <c r="AB44" s="11"/>
      <c r="AC44" s="11"/>
      <c r="AG44" s="11"/>
      <c r="AH44" s="11"/>
      <c r="AI44" s="11"/>
    </row>
    <row r="45" spans="1:35" ht="16.5" thickBot="1">
      <c r="C45" s="195" t="s">
        <v>109</v>
      </c>
      <c r="D45" s="425" t="s">
        <v>111</v>
      </c>
      <c r="E45" s="426"/>
      <c r="F45" s="46"/>
      <c r="H45" s="384" t="s">
        <v>18</v>
      </c>
      <c r="I45" s="385"/>
      <c r="J45" s="385"/>
      <c r="K45" s="386"/>
      <c r="L45" s="105">
        <f ca="1">M45/$M$45</f>
        <v>1</v>
      </c>
      <c r="M45" s="106">
        <f ca="1">SUM($M$46:$M$50)</f>
        <v>36</v>
      </c>
      <c r="N45" s="102" t="s">
        <v>15</v>
      </c>
      <c r="O45" s="103" t="s">
        <v>16</v>
      </c>
      <c r="P45" s="105">
        <f ca="1">Q45/$Q$45</f>
        <v>1</v>
      </c>
      <c r="Q45" s="220">
        <f ca="1">SUM(Q46:Q49)</f>
        <v>32</v>
      </c>
      <c r="R45" s="1"/>
      <c r="S45" s="1"/>
      <c r="T45" s="140"/>
      <c r="U45" s="1"/>
      <c r="W45" s="11"/>
      <c r="X45" s="11"/>
      <c r="Y45" s="11"/>
      <c r="Z45" s="11"/>
      <c r="AA45" s="11"/>
      <c r="AB45" s="11"/>
      <c r="AC45" s="11"/>
      <c r="AG45" s="11"/>
      <c r="AH45" s="11"/>
      <c r="AI45" s="11"/>
    </row>
    <row r="46" spans="1:35">
      <c r="C46" s="195" t="s">
        <v>36</v>
      </c>
      <c r="D46" s="423" t="s">
        <v>37</v>
      </c>
      <c r="E46" s="424"/>
      <c r="F46" s="69"/>
      <c r="G46" s="6"/>
      <c r="H46" s="387" t="s">
        <v>66</v>
      </c>
      <c r="I46" s="388"/>
      <c r="J46" s="388"/>
      <c r="K46" s="389"/>
      <c r="L46" s="107">
        <f ca="1">M46/$M$45</f>
        <v>2.7777777777777776E-2</v>
      </c>
      <c r="M46" s="108">
        <f>COUNTIF($H$7:$H$42,"A")</f>
        <v>1</v>
      </c>
      <c r="N46" s="100">
        <f ca="1">COUNTIFS($I$7:$I$42,"&lt;=21",$H$7:$H$42,"A")</f>
        <v>1</v>
      </c>
      <c r="O46" s="101">
        <f ca="1">COUNTIFS($I$7:$I$42,"&gt;21",$H$7:$H$42,"A")</f>
        <v>0</v>
      </c>
      <c r="P46" s="107">
        <f ca="1">Q46/$Q$45</f>
        <v>3.125E-2</v>
      </c>
      <c r="Q46" s="108">
        <f>COUNTIF($Q$7:$Q$42,"A")</f>
        <v>1</v>
      </c>
      <c r="R46" s="1"/>
      <c r="S46" s="1"/>
      <c r="T46" s="140"/>
      <c r="U46" s="1"/>
      <c r="W46" s="11"/>
      <c r="X46" s="11"/>
      <c r="Y46" s="11"/>
      <c r="Z46" s="11"/>
      <c r="AA46" s="11"/>
      <c r="AB46" s="11"/>
      <c r="AC46" s="11"/>
      <c r="AG46" s="11"/>
      <c r="AH46" s="11"/>
      <c r="AI46" s="11"/>
    </row>
    <row r="47" spans="1:35">
      <c r="C47" s="402" t="s">
        <v>75</v>
      </c>
      <c r="D47" s="408" t="s">
        <v>76</v>
      </c>
      <c r="E47" s="409"/>
      <c r="F47" s="70"/>
      <c r="G47" s="6"/>
      <c r="H47" s="390" t="s">
        <v>67</v>
      </c>
      <c r="I47" s="391"/>
      <c r="J47" s="391"/>
      <c r="K47" s="392"/>
      <c r="L47" s="109">
        <f t="shared" ref="L47:L50" ca="1" si="23">M47/$M$45</f>
        <v>0.55555555555555558</v>
      </c>
      <c r="M47" s="110">
        <f>COUNTIF($H$7:$H$42,"B")</f>
        <v>20</v>
      </c>
      <c r="N47" s="98">
        <f ca="1">COUNTIFS($I$7:$I$42,"&lt;=21",$H$7:$H$42,"B")</f>
        <v>8</v>
      </c>
      <c r="O47" s="50">
        <f ca="1">COUNTIFS($I$7:$I$42,"&gt;21",$H$7:$H$42,"B")</f>
        <v>12</v>
      </c>
      <c r="P47" s="109">
        <f t="shared" ref="P47:P49" ca="1" si="24">Q47/$Q$45</f>
        <v>0.625</v>
      </c>
      <c r="Q47" s="110">
        <f>COUNTIF($Q$7:$Q$42,"B")</f>
        <v>20</v>
      </c>
      <c r="R47" s="1"/>
      <c r="S47" s="1"/>
      <c r="T47" s="140"/>
      <c r="U47" s="1"/>
      <c r="W47" s="11"/>
      <c r="X47" s="11"/>
      <c r="Y47" s="11"/>
      <c r="Z47" s="11"/>
      <c r="AA47" s="11"/>
      <c r="AB47" s="11"/>
      <c r="AC47" s="11"/>
      <c r="AG47" s="11"/>
      <c r="AH47" s="11"/>
      <c r="AI47" s="11"/>
    </row>
    <row r="48" spans="1:35" ht="16.5" thickBot="1">
      <c r="C48" s="403"/>
      <c r="D48" s="410"/>
      <c r="E48" s="411"/>
      <c r="F48" s="71"/>
      <c r="G48" s="6"/>
      <c r="H48" s="393" t="s">
        <v>68</v>
      </c>
      <c r="I48" s="394"/>
      <c r="J48" s="394"/>
      <c r="K48" s="395"/>
      <c r="L48" s="111">
        <f t="shared" ca="1" si="23"/>
        <v>0.22222222222222221</v>
      </c>
      <c r="M48" s="112">
        <f>COUNTIF($H$7:$H$42,"C")</f>
        <v>8</v>
      </c>
      <c r="N48" s="98">
        <f ca="1">COUNTIFS($I$7:$I$42,"&lt;=21",$H$7:$H$42,"C")</f>
        <v>3</v>
      </c>
      <c r="O48" s="50">
        <f ca="1">COUNTIFS($I$7:$I$42,"&gt;21",$H$7:$H$42,"C")</f>
        <v>5</v>
      </c>
      <c r="P48" s="111">
        <f t="shared" ca="1" si="24"/>
        <v>9.375E-2</v>
      </c>
      <c r="Q48" s="112">
        <f>COUNTIF($Q$7:$Q$42,"C")</f>
        <v>3</v>
      </c>
      <c r="R48" s="1"/>
      <c r="S48" s="1"/>
      <c r="T48" s="140"/>
      <c r="U48" s="1"/>
      <c r="W48" s="11"/>
      <c r="X48" s="11"/>
      <c r="Y48" s="11"/>
      <c r="Z48" s="11"/>
      <c r="AA48" s="11"/>
      <c r="AB48" s="11"/>
      <c r="AC48" s="11"/>
      <c r="AG48" s="11"/>
      <c r="AH48" s="11"/>
      <c r="AI48" s="11"/>
    </row>
    <row r="49" spans="3:35">
      <c r="F49" s="72"/>
      <c r="G49" s="6"/>
      <c r="H49" s="396" t="s">
        <v>70</v>
      </c>
      <c r="I49" s="397"/>
      <c r="J49" s="397"/>
      <c r="K49" s="398"/>
      <c r="L49" s="114">
        <f t="shared" ca="1" si="23"/>
        <v>0.1388888888888889</v>
      </c>
      <c r="M49" s="115">
        <f ca="1">SUM(N49:O49)</f>
        <v>5</v>
      </c>
      <c r="N49" s="98">
        <f ca="1">COUNTIFS($I$7:$I$42,"&lt;=21",$U$7:$U$42,"",$K$7:$K$42,"&lt;&gt;X")</f>
        <v>3</v>
      </c>
      <c r="O49" s="50">
        <f ca="1">COUNTIFS($I$7:$I$42,"&gt;21",$U$7:$U$42,"",$K$7:$K$42,"&lt;&gt;X")</f>
        <v>2</v>
      </c>
      <c r="P49" s="114">
        <f t="shared" ca="1" si="24"/>
        <v>0.25</v>
      </c>
      <c r="Q49" s="115">
        <f ca="1">COUNTIFS($I$7:$I$42,"&gt;=0",$P$7:$P$42,"",$K$7:$K$42,"&lt;&gt;X")</f>
        <v>8</v>
      </c>
      <c r="R49" s="1" t="s">
        <v>10</v>
      </c>
      <c r="S49" s="1"/>
      <c r="T49" s="140"/>
      <c r="U49" s="1"/>
      <c r="W49" s="11"/>
      <c r="X49" s="11"/>
      <c r="Y49" s="11"/>
      <c r="Z49" s="11"/>
      <c r="AA49" s="11"/>
      <c r="AB49" s="11"/>
      <c r="AC49" s="11"/>
      <c r="AG49" s="11"/>
      <c r="AH49" s="11"/>
      <c r="AI49" s="11"/>
    </row>
    <row r="50" spans="3:35" ht="16.5" thickBot="1">
      <c r="C50" s="381" t="s">
        <v>41</v>
      </c>
      <c r="D50" s="381"/>
      <c r="E50" s="381"/>
      <c r="H50" s="399" t="s">
        <v>71</v>
      </c>
      <c r="I50" s="400"/>
      <c r="J50" s="400"/>
      <c r="K50" s="401"/>
      <c r="L50" s="113">
        <f t="shared" ca="1" si="23"/>
        <v>5.5555555555555552E-2</v>
      </c>
      <c r="M50" s="97">
        <f>COUNTIFS($K$7:$K$42,"X")</f>
        <v>2</v>
      </c>
      <c r="N50" s="99"/>
      <c r="O50" s="51"/>
      <c r="P50" s="221"/>
      <c r="Q50" s="222"/>
    </row>
    <row r="51" spans="3:35">
      <c r="C51" s="169" t="s">
        <v>8</v>
      </c>
      <c r="D51" s="1" t="s">
        <v>42</v>
      </c>
    </row>
    <row r="52" spans="3:35">
      <c r="C52" s="169" t="s">
        <v>8</v>
      </c>
      <c r="D52" s="127" t="s">
        <v>43</v>
      </c>
    </row>
    <row r="53" spans="3:35">
      <c r="C53" s="169" t="s">
        <v>8</v>
      </c>
      <c r="D53" s="1" t="s">
        <v>44</v>
      </c>
    </row>
  </sheetData>
  <autoFilter ref="A6:AD34" xr:uid="{4D8E8261-1CEF-42DB-8488-C430D415EC88}">
    <sortState xmlns:xlrd2="http://schemas.microsoft.com/office/spreadsheetml/2017/richdata2" ref="A7:AD33">
      <sortCondition ref="S6:S33"/>
    </sortState>
  </autoFilter>
  <mergeCells count="37">
    <mergeCell ref="P44:Q44"/>
    <mergeCell ref="X4:Y4"/>
    <mergeCell ref="Z4:AC4"/>
    <mergeCell ref="A4:A5"/>
    <mergeCell ref="D4:D5"/>
    <mergeCell ref="E4:E5"/>
    <mergeCell ref="F4:F5"/>
    <mergeCell ref="G4:G5"/>
    <mergeCell ref="C4:C5"/>
    <mergeCell ref="D44:E44"/>
    <mergeCell ref="B4:B5"/>
    <mergeCell ref="D46:E46"/>
    <mergeCell ref="C50:E50"/>
    <mergeCell ref="H46:K46"/>
    <mergeCell ref="H47:K47"/>
    <mergeCell ref="H44:M44"/>
    <mergeCell ref="H48:K48"/>
    <mergeCell ref="H49:K49"/>
    <mergeCell ref="C47:C48"/>
    <mergeCell ref="D47:E48"/>
    <mergeCell ref="D45:E45"/>
    <mergeCell ref="AG5:AG6"/>
    <mergeCell ref="AH5:AH6"/>
    <mergeCell ref="AI5:AI6"/>
    <mergeCell ref="H50:K50"/>
    <mergeCell ref="H45:K45"/>
    <mergeCell ref="N44:O44"/>
    <mergeCell ref="AD4:AD5"/>
    <mergeCell ref="H4:H5"/>
    <mergeCell ref="I4:I5"/>
    <mergeCell ref="L4:M4"/>
    <mergeCell ref="N4:O4"/>
    <mergeCell ref="R4:T4"/>
    <mergeCell ref="U4:W4"/>
    <mergeCell ref="K4:K5"/>
    <mergeCell ref="P4:Q4"/>
    <mergeCell ref="J4:J5"/>
  </mergeCells>
  <phoneticPr fontId="5" type="noConversion"/>
  <conditionalFormatting sqref="A7:AD42 AG7:AI42">
    <cfRule type="expression" dxfId="11" priority="1">
      <formula>$K7="X"</formula>
    </cfRule>
    <cfRule type="expression" dxfId="10" priority="46" stopIfTrue="1">
      <formula>$K7="O"</formula>
    </cfRule>
    <cfRule type="expression" dxfId="9" priority="809">
      <formula>$I7&gt;21</formula>
    </cfRule>
    <cfRule type="expression" dxfId="8" priority="810">
      <formula>$H7="A"</formula>
    </cfRule>
    <cfRule type="expression" dxfId="7" priority="811">
      <formula>$H7="B"</formula>
    </cfRule>
    <cfRule type="expression" dxfId="6" priority="812">
      <formula>$H7="C"</formula>
    </cfRule>
    <cfRule type="expression" dxfId="5" priority="813" stopIfTrue="1">
      <formula>AND($I7&gt;0,$I7&lt;=21)</formula>
    </cfRule>
  </conditionalFormatting>
  <hyperlinks>
    <hyperlink ref="L7" r:id="rId1" xr:uid="{1D9540BE-F57E-4AA5-9CE1-6ED9AD2760D0}"/>
    <hyperlink ref="L8" r:id="rId2" xr:uid="{363CD466-25DF-4107-B695-802F66AFB060}"/>
    <hyperlink ref="L9" r:id="rId3" xr:uid="{214C2B5C-3407-4C7B-8DD4-269DC358BC8E}"/>
    <hyperlink ref="L10" r:id="rId4" xr:uid="{A1256EF5-DB6E-4B32-9BD7-E79400D50C95}"/>
    <hyperlink ref="L11" r:id="rId5" xr:uid="{5538E526-9045-4149-86BC-5988DDF704C6}"/>
    <hyperlink ref="L12" r:id="rId6" xr:uid="{B3191B5E-B830-4387-B437-7FA3F3632CBD}"/>
    <hyperlink ref="L13" r:id="rId7" xr:uid="{217133ED-A8B1-409A-AAD4-9C6BA0B4F1BC}"/>
    <hyperlink ref="L14" r:id="rId8" xr:uid="{1D756A69-A05C-46B3-8152-435DA41C3CE6}"/>
    <hyperlink ref="L15" r:id="rId9" xr:uid="{85EC6215-CB5D-48CE-9819-F5C640819110}"/>
    <hyperlink ref="L16" r:id="rId10" xr:uid="{54D7B484-B8D5-4AF7-9382-2C94EBF636F4}"/>
    <hyperlink ref="L17" r:id="rId11" xr:uid="{B7686BEA-0CFB-44A5-AAFB-47831A10883C}"/>
    <hyperlink ref="L18" r:id="rId12" xr:uid="{F34446DC-98E1-4975-B919-758913E540FF}"/>
    <hyperlink ref="L19" r:id="rId13" xr:uid="{1742ABB1-6CAB-4B13-BCBC-8B637E44B4A3}"/>
    <hyperlink ref="L20" r:id="rId14" xr:uid="{59BE8BB8-C66D-4A4D-8918-41DC4BC4ED34}"/>
    <hyperlink ref="N7" r:id="rId15" xr:uid="{86BAF2AC-B130-4AA2-831B-B9767E26D1AE}"/>
    <hyperlink ref="N8" r:id="rId16" xr:uid="{97DB787D-BBD7-4AF3-899A-8FCC0C12C52B}"/>
    <hyperlink ref="N9" r:id="rId17" xr:uid="{3ADB8246-6952-4D90-8E01-86BACF7B007A}"/>
    <hyperlink ref="N10" r:id="rId18" xr:uid="{4134032C-9A8F-4013-9967-92708837C473}"/>
    <hyperlink ref="N11" r:id="rId19" xr:uid="{0A516FEF-3EA2-4C65-AFF5-11AB7C8B8304}"/>
    <hyperlink ref="N14" r:id="rId20" xr:uid="{4EF38ADD-2A2A-4EF5-B87F-A933F2396B67}"/>
    <hyperlink ref="N12" r:id="rId21" xr:uid="{B48B7E7C-49E3-439F-909C-F352131C1640}"/>
    <hyperlink ref="N15" r:id="rId22" xr:uid="{1D73B120-89F7-40ED-9BC5-CACC3FEB2671}"/>
    <hyperlink ref="N16" r:id="rId23" xr:uid="{213D27FD-EF77-4C0A-A1DA-894BD297C223}"/>
    <hyperlink ref="L21" r:id="rId24" xr:uid="{E4F6A7A9-8A50-4857-9951-6067F252AE60}"/>
    <hyperlink ref="N19" r:id="rId25" xr:uid="{AB058662-2AC6-4C61-BAC0-4BB7D9BEEC75}"/>
    <hyperlink ref="N20" r:id="rId26" xr:uid="{B16872C8-077E-4F30-B6B4-32AA2CA9363B}"/>
    <hyperlink ref="L22" r:id="rId27" xr:uid="{3632A80B-7B66-43CE-B16C-A87FFE444962}"/>
    <hyperlink ref="N17" r:id="rId28" xr:uid="{40FC44D8-CB4E-47BF-B24A-E79A692915CD}"/>
    <hyperlink ref="L25" r:id="rId29" xr:uid="{CDCF3368-FC0B-4EE0-8BB3-CCA1C01DDFBB}"/>
    <hyperlink ref="L26" r:id="rId30" xr:uid="{EB729AB4-B10F-4E2F-AA01-0B942160ED6F}"/>
    <hyperlink ref="L23" r:id="rId31" xr:uid="{015898B6-4C2C-4A77-98C7-AC28BE849332}"/>
    <hyperlink ref="L24" r:id="rId32" xr:uid="{95F8C0DF-637A-4059-B55E-736CBB22525C}"/>
    <hyperlink ref="N18" r:id="rId33" xr:uid="{FE5602A3-A9FB-4C4D-B4A6-3011C8B5EA72}"/>
    <hyperlink ref="L27" r:id="rId34" xr:uid="{A61BEEDB-F54D-4137-A36B-6B7DAF802677}"/>
    <hyperlink ref="L28" r:id="rId35" xr:uid="{D03ADCC6-42E1-450D-9E12-C6C45E962606}"/>
    <hyperlink ref="L30" r:id="rId36" xr:uid="{072FAC9C-5CA4-45C5-81C5-C3784C429DCE}"/>
    <hyperlink ref="N26" r:id="rId37" xr:uid="{BF99638C-6CC6-4450-BE1D-03A0706E3793}"/>
    <hyperlink ref="L32" r:id="rId38" xr:uid="{D96B5FAD-A387-40F0-8D25-453EF52B95BB}"/>
    <hyperlink ref="L31" r:id="rId39" xr:uid="{0E9DD03B-1972-406D-81DD-415021836C1F}"/>
    <hyperlink ref="N25" r:id="rId40" xr:uid="{B18202D7-3057-43E3-A22B-AC930162715D}"/>
    <hyperlink ref="L33" r:id="rId41" xr:uid="{F4254E5D-F8D8-4101-BFC3-F5865A28A013}"/>
    <hyperlink ref="N22" r:id="rId42" xr:uid="{F263EB13-6F60-450D-A349-D2D7C253AC88}"/>
    <hyperlink ref="N28" r:id="rId43" xr:uid="{41778509-4A55-4E6A-AB2B-CB83EF008C85}"/>
    <hyperlink ref="N30" r:id="rId44" xr:uid="{6A69743A-3A98-481E-84B2-F7885E092361}"/>
    <hyperlink ref="N23" r:id="rId45" xr:uid="{C43A871D-00DB-4007-A587-183AFFDAD6EC}"/>
    <hyperlink ref="N24" r:id="rId46" xr:uid="{F26A7A8B-AA5C-4089-9B27-6D6D0B755B5B}"/>
    <hyperlink ref="N27" r:id="rId47" xr:uid="{9F793F4E-E9FB-4643-B644-6E6987483E20}"/>
    <hyperlink ref="N33" r:id="rId48" xr:uid="{0AF9A730-E138-45E7-9133-A2DA92E70B6B}"/>
    <hyperlink ref="N32" r:id="rId49" xr:uid="{842D5987-3B67-4A27-AB40-43B887728471}"/>
    <hyperlink ref="L29" r:id="rId50" xr:uid="{E494E2F1-1FED-4E0B-A612-03D9ACDFC364}"/>
    <hyperlink ref="M7" r:id="rId51" xr:uid="{DD1C62BB-1D8A-4F55-9545-6B0088A84B61}"/>
    <hyperlink ref="M11" r:id="rId52" xr:uid="{437C4200-A106-4516-AC70-CAC40A385011}"/>
    <hyperlink ref="M15" r:id="rId53" xr:uid="{C74503B1-A54A-49FB-B3C4-283A1FD6DC89}"/>
    <hyperlink ref="M16" r:id="rId54" xr:uid="{2C0FB675-1582-4EE9-AE4D-BAC49CCDCE9E}"/>
    <hyperlink ref="M19" r:id="rId55" xr:uid="{09221DC6-6FA3-47E2-8DBB-7A3C6DAE511B}"/>
    <hyperlink ref="M22" r:id="rId56" xr:uid="{1CFFD0F7-284A-47F7-819C-3E870AE8A066}"/>
    <hyperlink ref="M23" r:id="rId57" xr:uid="{24403ED1-1C33-4373-A2A3-43CEC4FAA0E2}"/>
    <hyperlink ref="M29" r:id="rId58" xr:uid="{A3A46800-1932-4528-A88C-8545C748B165}"/>
    <hyperlink ref="M8" r:id="rId59" xr:uid="{37913D18-39FF-49B0-8568-2025C70142D5}"/>
    <hyperlink ref="M13" r:id="rId60" xr:uid="{2F8A7C7A-A196-40A0-A9A9-B3CE86B00E28}"/>
    <hyperlink ref="M14" r:id="rId61" xr:uid="{6F6DAFA8-74B5-46E9-B4F0-C6BA3744A856}"/>
    <hyperlink ref="M20" r:id="rId62" xr:uid="{15593577-74C7-4F6A-9599-DE94E0165A95}"/>
    <hyperlink ref="M21" r:id="rId63" xr:uid="{E31AE6ED-3F3B-46D8-9951-CF7BFDF1D944}"/>
    <hyperlink ref="M25" r:id="rId64" xr:uid="{ECB61F4D-1BD4-415A-B7EC-C26F13167980}"/>
    <hyperlink ref="M31" r:id="rId65" xr:uid="{324044F6-57F3-4FE8-AB7C-99B31590C16E}"/>
    <hyperlink ref="M9" r:id="rId66" xr:uid="{98EE5EBA-F4D6-4803-BCAC-6C42810A58DC}"/>
    <hyperlink ref="M10" r:id="rId67" xr:uid="{5233D1D8-5FB5-4F57-98EE-06BF9C620362}"/>
    <hyperlink ref="M12" r:id="rId68" xr:uid="{DEEB9130-2EDF-4C1C-93E0-161D5A169747}"/>
    <hyperlink ref="M17" r:id="rId69" xr:uid="{09ED3205-3755-4562-959A-B21B101AC5FE}"/>
    <hyperlink ref="M18" r:id="rId70" xr:uid="{4985572E-775B-4ABE-862C-906BAEF7ABA4}"/>
    <hyperlink ref="M28" r:id="rId71" xr:uid="{88A367F8-89B4-4443-B6AA-44006A88FD38}"/>
    <hyperlink ref="M30" r:id="rId72" xr:uid="{AB4E4D33-198B-4FC0-ACB0-27C66B2223B1}"/>
    <hyperlink ref="M32" r:id="rId73" xr:uid="{684365D3-0181-46F1-AAF8-1B63B77E93EC}"/>
    <hyperlink ref="M26" r:id="rId74" xr:uid="{CD65D2EE-3C11-46D3-8E31-1DEF05640515}"/>
    <hyperlink ref="M24" r:id="rId75" xr:uid="{118B882B-2936-4C09-9659-47306DB9EC1B}"/>
    <hyperlink ref="M27" r:id="rId76" xr:uid="{7CAB4BFB-1268-4C2E-A063-34CAF7C585AB}"/>
    <hyperlink ref="M33" r:id="rId77" xr:uid="{8E934747-4B40-4ABC-8E71-17B34FB868B0}"/>
    <hyperlink ref="O7" r:id="rId78" xr:uid="{4FEB7DB6-B3AD-4CA3-9CA4-962BF2007CE9}"/>
    <hyperlink ref="O11" r:id="rId79" xr:uid="{49F0FAF2-FCF3-4A8F-BF68-7C59BEFCF2B4}"/>
    <hyperlink ref="O15" r:id="rId80" xr:uid="{77D21DBC-E503-4063-982B-E7D9F8265FF1}"/>
    <hyperlink ref="O16" r:id="rId81" xr:uid="{43251B3A-DA35-4B19-AFBB-47BDEB0E3661}"/>
    <hyperlink ref="O19" r:id="rId82" xr:uid="{7FD9BEB4-BEC1-40FC-9109-749C0FC7FA55}"/>
    <hyperlink ref="O22" r:id="rId83" xr:uid="{FAAD2866-E02D-4A6B-A7D8-0629643DDE5B}"/>
    <hyperlink ref="O23" r:id="rId84" xr:uid="{CE0A9BA5-45D6-43E1-A7D0-11043E90B5BA}"/>
    <hyperlink ref="O8" r:id="rId85" xr:uid="{972D07C6-D2C6-4F4B-8D12-78E68AA908F6}"/>
    <hyperlink ref="O13" r:id="rId86" xr:uid="{31157275-5895-42C6-8671-636055C24AB8}"/>
    <hyperlink ref="O14" r:id="rId87" xr:uid="{07FB59D9-D448-46D5-9569-715C38090EA6}"/>
    <hyperlink ref="O20" r:id="rId88" xr:uid="{DAC95379-1DF0-4035-BD30-6136A828DE14}"/>
    <hyperlink ref="O21" r:id="rId89" xr:uid="{6DA485D1-1B7D-4F59-A668-5D729A97284F}"/>
    <hyperlink ref="O25" r:id="rId90" xr:uid="{3C593346-BDAE-4A85-B4B6-A74C3F260FAE}"/>
    <hyperlink ref="O9" r:id="rId91" xr:uid="{E6853706-1C2D-477B-A142-BDE384860B55}"/>
    <hyperlink ref="O10" r:id="rId92" xr:uid="{C3FF9335-254F-4308-9FED-FD4ED9C4B1FA}"/>
    <hyperlink ref="O12" r:id="rId93" xr:uid="{58051F69-BE8D-4F17-831F-E6FA63EEBAB1}"/>
    <hyperlink ref="O17" r:id="rId94" xr:uid="{31DC3C66-3562-49E0-9879-1CB46FA051D3}"/>
    <hyperlink ref="O18" r:id="rId95" xr:uid="{7AC2AD3B-C5E9-4537-A0A6-02BD331338F4}"/>
    <hyperlink ref="O28" r:id="rId96" xr:uid="{8DE44E14-2829-462A-8B4D-8609CE59DE3A}"/>
    <hyperlink ref="O30" r:id="rId97" xr:uid="{EAEBFE20-B7B0-480C-BC15-DAEBC5075275}"/>
    <hyperlink ref="O32" r:id="rId98" xr:uid="{4534D477-2668-4952-AE96-E6D2C004C54F}"/>
    <hyperlink ref="O26" r:id="rId99" xr:uid="{B8DFE177-6BF6-4C8A-B5C8-E8D2E57A43F2}"/>
    <hyperlink ref="O24" r:id="rId100" xr:uid="{26FEB876-D8E0-4A23-A9C5-C07952F599D7}"/>
    <hyperlink ref="O27" r:id="rId101" xr:uid="{51C15339-30E0-4EDA-A35A-162E28AC0D63}"/>
    <hyperlink ref="O33" r:id="rId102" xr:uid="{7E0883C0-4918-4433-937B-70D3D155F955}"/>
    <hyperlink ref="C51" r:id="rId103" xr:uid="{BDBBB1AA-41DD-4769-B198-E0D4B6B569E2}"/>
    <hyperlink ref="C52" r:id="rId104" xr:uid="{174B2EE8-A853-4328-A727-C5D3FC38F2B6}"/>
    <hyperlink ref="C53" r:id="rId105" xr:uid="{6C349E79-11FF-4195-90FE-DE817F5EBEF8}"/>
    <hyperlink ref="P7" r:id="rId106" xr:uid="{20D7A9F2-B509-4410-8C53-729666C026F8}"/>
    <hyperlink ref="P8" r:id="rId107" xr:uid="{BC5C2D57-7ED0-43E0-8C7C-0DF13280AE79}"/>
    <hyperlink ref="P9" r:id="rId108" xr:uid="{49C5EB74-800E-4CE6-82D1-E75C20991765}"/>
    <hyperlink ref="P10" r:id="rId109" xr:uid="{F8A81F4D-5018-4A86-BDB6-A84676711DA1}"/>
    <hyperlink ref="P11" r:id="rId110" xr:uid="{154416A6-0C01-4EF0-BA93-7475E89BDAA3}"/>
    <hyperlink ref="P12" r:id="rId111" xr:uid="{F9A22643-089F-4C9C-9523-67B3841EC180}"/>
    <hyperlink ref="P14" r:id="rId112" xr:uid="{24B57DA5-B5BB-4973-A2D9-52837A533E48}"/>
    <hyperlink ref="P15" r:id="rId113" xr:uid="{AF46CDA1-2CAA-416B-AD5A-DBCCD72CA86B}"/>
    <hyperlink ref="P16" r:id="rId114" xr:uid="{E6123B4B-34EB-4706-9443-3AB3A01D81B6}"/>
    <hyperlink ref="P17" r:id="rId115" xr:uid="{6FF743D6-7614-4331-B50C-047190691101}"/>
    <hyperlink ref="P18" r:id="rId116" xr:uid="{08297312-EE3A-43E0-A987-4D19C0975C85}"/>
    <hyperlink ref="P19" r:id="rId117" xr:uid="{639DE592-0463-4640-9749-0558BF7FB7A3}"/>
    <hyperlink ref="P20" r:id="rId118" xr:uid="{2E493B9C-63F0-41CF-A834-6C080C9FC565}"/>
    <hyperlink ref="P22" r:id="rId119" xr:uid="{49DC398B-4960-4FD4-BC92-2B30F3DCF83A}"/>
    <hyperlink ref="P23" r:id="rId120" xr:uid="{3DF728A8-5D07-426F-AA79-4281382A9485}"/>
    <hyperlink ref="P24" r:id="rId121" xr:uid="{98931058-E57F-476F-99F7-E3F7FFCE6DE1}"/>
    <hyperlink ref="P25" r:id="rId122" xr:uid="{25D368C7-D765-4A01-AC0A-8A19D66509AD}"/>
    <hyperlink ref="P26" r:id="rId123" xr:uid="{113249E0-CBCD-4D6A-A580-F6811E75A653}"/>
    <hyperlink ref="P27" r:id="rId124" xr:uid="{4F2E768D-C9B7-49AA-940F-F8DC21DFA897}"/>
    <hyperlink ref="P28" r:id="rId125" xr:uid="{7159EEEB-3624-4A01-A47F-9499F555310E}"/>
    <hyperlink ref="P30" r:id="rId126" xr:uid="{19F7FB14-2EBA-4B11-ABB1-E81D876E40E7}"/>
    <hyperlink ref="P32" r:id="rId127" xr:uid="{92DD85F9-1374-4CBE-B362-20012EA8B611}"/>
    <hyperlink ref="N13" r:id="rId128" xr:uid="{C806F7C0-74E2-4D25-9DC8-E0B4F508B797}"/>
    <hyperlink ref="P13" r:id="rId129" xr:uid="{54944153-17E0-4A10-AB8C-3013C5184CD1}"/>
    <hyperlink ref="P21" r:id="rId130" xr:uid="{FADA8654-D798-4EBD-B5E2-96D8CB736AF2}"/>
    <hyperlink ref="N21" r:id="rId131" xr:uid="{4BF9C7E5-D602-4E06-A9A6-8079DCE9C5B9}"/>
    <hyperlink ref="L34" r:id="rId132" xr:uid="{771175B8-E124-4980-A2AE-2BDDF6847BF6}"/>
    <hyperlink ref="L35" r:id="rId133" xr:uid="{892BDBC3-B8D8-44EE-BAF3-A7A58E294C20}"/>
    <hyperlink ref="L36" r:id="rId134" xr:uid="{7CADD169-7C0F-45E9-A6CB-59328B591422}"/>
    <hyperlink ref="L37" r:id="rId135" xr:uid="{908587DF-94DF-4151-8CF0-23262EAE3C52}"/>
    <hyperlink ref="L38" r:id="rId136" xr:uid="{CEAC5CBD-BC40-4613-AA31-AF1F0C1B782F}"/>
    <hyperlink ref="L39" r:id="rId137" xr:uid="{1260CC6F-397A-4689-AF30-C6ECD668430C}"/>
    <hyperlink ref="N36" r:id="rId138" xr:uid="{A9162BCC-A67F-4960-972B-2EF68F29EB50}"/>
    <hyperlink ref="N38" r:id="rId139" xr:uid="{DBAA5DC8-908C-4ABF-AC05-BCE08D8BBB73}"/>
    <hyperlink ref="L40" r:id="rId140" xr:uid="{95929207-D5E2-4FFA-94DE-6961D7557694}"/>
  </hyperlinks>
  <pageMargins left="0.25" right="0.17" top="0.5" bottom="0.25" header="0.3" footer="0.3"/>
  <pageSetup paperSize="9" scale="29" orientation="landscape" horizontalDpi="300" verticalDpi="300" r:id="rId14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EF3E-84BF-4DCF-951B-B90EB4B9D23F}">
  <dimension ref="A1:Z142"/>
  <sheetViews>
    <sheetView tabSelected="1" zoomScale="85" zoomScaleNormal="85" zoomScaleSheetLayoutView="85" workbookViewId="0">
      <pane xSplit="5" ySplit="6" topLeftCell="F122" activePane="bottomRight" state="frozen"/>
      <selection pane="topRight" activeCell="D1" sqref="D1"/>
      <selection pane="bottomLeft" activeCell="A7" sqref="A7"/>
      <selection pane="bottomRight" activeCell="O126" sqref="O126"/>
    </sheetView>
  </sheetViews>
  <sheetFormatPr defaultColWidth="9.140625" defaultRowHeight="15.75"/>
  <cols>
    <col min="1" max="1" width="6.7109375" style="1" customWidth="1"/>
    <col min="2" max="2" width="10.42578125" style="1" bestFit="1" customWidth="1"/>
    <col min="3" max="3" width="10" style="140" customWidth="1"/>
    <col min="4" max="4" width="24.42578125" style="1" customWidth="1"/>
    <col min="5" max="5" width="16.42578125" style="172" customWidth="1"/>
    <col min="6" max="7" width="35.42578125" style="1" customWidth="1"/>
    <col min="8" max="9" width="16.42578125" style="140" customWidth="1"/>
    <col min="10" max="10" width="16.42578125" style="1" customWidth="1"/>
    <col min="11" max="11" width="16.42578125" style="140" customWidth="1"/>
    <col min="12" max="16" width="13.42578125" style="13" customWidth="1"/>
    <col min="17" max="17" width="13.42578125" style="46" customWidth="1"/>
    <col min="18" max="19" width="16.42578125" style="13" customWidth="1"/>
    <col min="20" max="20" width="16.42578125" style="141" customWidth="1"/>
    <col min="21" max="21" width="16.42578125" style="6" customWidth="1"/>
    <col min="22" max="22" width="16.42578125" style="172" customWidth="1"/>
    <col min="23" max="23" width="16.42578125" style="219" customWidth="1"/>
    <col min="24" max="25" width="16.42578125" style="6" customWidth="1"/>
    <col min="26" max="26" width="39.7109375" style="160" customWidth="1"/>
    <col min="27" max="16384" width="9.140625" style="1"/>
  </cols>
  <sheetData>
    <row r="1" spans="1:26" s="6" customFormat="1" ht="32.25" thickBot="1">
      <c r="A1" s="15" t="s">
        <v>65</v>
      </c>
      <c r="B1" s="15"/>
      <c r="C1" s="161"/>
      <c r="D1" s="15"/>
      <c r="E1" s="170"/>
      <c r="F1" s="8"/>
      <c r="G1" s="14"/>
      <c r="H1" s="133" t="s">
        <v>62</v>
      </c>
      <c r="I1" s="176">
        <f ca="1">TODAY()</f>
        <v>46309</v>
      </c>
      <c r="J1" s="131"/>
      <c r="K1" s="197"/>
      <c r="L1" s="12"/>
      <c r="M1" s="12"/>
      <c r="N1" s="12"/>
      <c r="O1" s="12"/>
      <c r="P1" s="12"/>
      <c r="Q1" s="46"/>
      <c r="R1" s="12"/>
      <c r="S1" s="12"/>
      <c r="T1" s="141"/>
      <c r="U1" s="8"/>
      <c r="V1" s="170"/>
      <c r="W1" s="157"/>
      <c r="X1" s="8"/>
      <c r="Y1" s="8"/>
      <c r="Z1" s="157"/>
    </row>
    <row r="2" spans="1:26" ht="19.5">
      <c r="A2" s="4" t="s">
        <v>135</v>
      </c>
      <c r="B2" s="4"/>
      <c r="C2" s="134"/>
      <c r="D2" s="4"/>
      <c r="E2" s="171"/>
      <c r="F2" s="4"/>
      <c r="G2" s="4"/>
      <c r="H2" s="134"/>
      <c r="I2" s="134"/>
      <c r="J2" s="4"/>
      <c r="K2" s="134"/>
      <c r="L2" s="12"/>
      <c r="M2" s="12"/>
      <c r="N2" s="12"/>
      <c r="O2" s="12"/>
      <c r="P2" s="12"/>
      <c r="R2" s="12"/>
      <c r="S2" s="12"/>
      <c r="U2" s="7"/>
      <c r="V2" s="171"/>
      <c r="W2" s="218"/>
      <c r="X2" s="7"/>
      <c r="Y2" s="7"/>
      <c r="Z2" s="158"/>
    </row>
    <row r="3" spans="1:26" ht="18.75" customHeight="1" thickBot="1">
      <c r="A3" s="3"/>
      <c r="B3" s="3"/>
      <c r="C3" s="162"/>
      <c r="D3" s="3"/>
      <c r="F3" s="2"/>
      <c r="G3" s="2"/>
      <c r="H3" s="135"/>
      <c r="I3" s="135"/>
      <c r="J3" s="2"/>
      <c r="K3" s="135"/>
      <c r="L3" s="10"/>
      <c r="M3" s="10"/>
      <c r="N3" s="10"/>
      <c r="O3" s="10"/>
      <c r="P3" s="10"/>
      <c r="Q3" s="150"/>
      <c r="R3" s="10"/>
      <c r="S3" s="10"/>
      <c r="T3" s="185"/>
      <c r="Z3" s="159"/>
    </row>
    <row r="4" spans="1:26" s="5" customFormat="1" ht="35.1" customHeight="1" thickBot="1">
      <c r="A4" s="406" t="s">
        <v>0</v>
      </c>
      <c r="B4" s="406" t="s">
        <v>515</v>
      </c>
      <c r="C4" s="359" t="s">
        <v>45</v>
      </c>
      <c r="D4" s="348" t="s">
        <v>46</v>
      </c>
      <c r="E4" s="428" t="s">
        <v>47</v>
      </c>
      <c r="F4" s="348" t="s">
        <v>4</v>
      </c>
      <c r="G4" s="430" t="s">
        <v>5</v>
      </c>
      <c r="H4" s="352" t="s">
        <v>48</v>
      </c>
      <c r="I4" s="432" t="s">
        <v>49</v>
      </c>
      <c r="J4" s="348" t="s">
        <v>78</v>
      </c>
      <c r="K4" s="352" t="s">
        <v>80</v>
      </c>
      <c r="L4" s="362" t="s">
        <v>53</v>
      </c>
      <c r="M4" s="364"/>
      <c r="N4" s="362" t="s">
        <v>55</v>
      </c>
      <c r="O4" s="364"/>
      <c r="P4" s="362" t="s">
        <v>72</v>
      </c>
      <c r="Q4" s="364"/>
      <c r="R4" s="363" t="s">
        <v>53</v>
      </c>
      <c r="S4" s="363"/>
      <c r="T4" s="364"/>
      <c r="U4" s="362" t="s">
        <v>55</v>
      </c>
      <c r="V4" s="363"/>
      <c r="W4" s="363"/>
      <c r="X4" s="415" t="s">
        <v>72</v>
      </c>
      <c r="Y4" s="416"/>
      <c r="Z4" s="364" t="s">
        <v>79</v>
      </c>
    </row>
    <row r="5" spans="1:26" ht="72" customHeight="1">
      <c r="A5" s="407"/>
      <c r="B5" s="407"/>
      <c r="C5" s="360"/>
      <c r="D5" s="354"/>
      <c r="E5" s="429"/>
      <c r="F5" s="354"/>
      <c r="G5" s="431"/>
      <c r="H5" s="353"/>
      <c r="I5" s="433"/>
      <c r="J5" s="354"/>
      <c r="K5" s="353"/>
      <c r="L5" s="79" t="s">
        <v>52</v>
      </c>
      <c r="M5" s="83" t="s">
        <v>54</v>
      </c>
      <c r="N5" s="82" t="s">
        <v>52</v>
      </c>
      <c r="O5" s="81" t="s">
        <v>54</v>
      </c>
      <c r="P5" s="82" t="s">
        <v>52</v>
      </c>
      <c r="Q5" s="84" t="s">
        <v>73</v>
      </c>
      <c r="R5" s="79" t="s">
        <v>56</v>
      </c>
      <c r="S5" s="89" t="s">
        <v>57</v>
      </c>
      <c r="T5" s="186" t="s">
        <v>58</v>
      </c>
      <c r="U5" s="87" t="s">
        <v>64</v>
      </c>
      <c r="V5" s="190" t="s">
        <v>60</v>
      </c>
      <c r="W5" s="225" t="s">
        <v>61</v>
      </c>
      <c r="X5" s="259" t="s">
        <v>113</v>
      </c>
      <c r="Y5" s="260" t="s">
        <v>114</v>
      </c>
      <c r="Z5" s="361"/>
    </row>
    <row r="6" spans="1:26" ht="15" customHeight="1" thickBot="1">
      <c r="A6" s="78"/>
      <c r="B6" s="78"/>
      <c r="C6" s="206"/>
      <c r="D6" s="77"/>
      <c r="E6" s="209"/>
      <c r="F6" s="77"/>
      <c r="G6" s="85"/>
      <c r="H6" s="136"/>
      <c r="I6" s="198"/>
      <c r="J6" s="85"/>
      <c r="K6" s="198"/>
      <c r="L6" s="80"/>
      <c r="M6" s="86"/>
      <c r="N6" s="35"/>
      <c r="O6" s="74"/>
      <c r="P6" s="142"/>
      <c r="Q6" s="142"/>
      <c r="R6" s="80"/>
      <c r="S6" s="36"/>
      <c r="T6" s="181"/>
      <c r="U6" s="90"/>
      <c r="V6" s="191"/>
      <c r="W6" s="85"/>
      <c r="X6" s="261"/>
      <c r="Y6" s="262"/>
      <c r="Z6" s="74"/>
    </row>
    <row r="7" spans="1:26" s="9" customFormat="1" ht="47.25">
      <c r="A7" s="33">
        <f t="shared" ref="A7:A84" si="0">A6+1</f>
        <v>1</v>
      </c>
      <c r="B7" s="33" t="str">
        <f>MID(D7, FIND("-", D7) + 1, 4)</f>
        <v>5.10</v>
      </c>
      <c r="C7" s="137" t="s">
        <v>151</v>
      </c>
      <c r="D7" s="25" t="s">
        <v>150</v>
      </c>
      <c r="E7" s="174">
        <f t="shared" ref="E7:E19" si="1">IF($T7=0,$S7+22,$T7+21)</f>
        <v>45383</v>
      </c>
      <c r="F7" s="30" t="s">
        <v>152</v>
      </c>
      <c r="G7" s="26" t="s">
        <v>153</v>
      </c>
      <c r="H7" s="137" t="s">
        <v>6</v>
      </c>
      <c r="I7" s="164">
        <f>MAX(0, IF(ISBLANK($V7), _xlfn.DAYS($I$1,$S7), _xlfn.DAYS($V7,$T7)))</f>
        <v>8</v>
      </c>
      <c r="J7" s="47">
        <f t="shared" ref="J7:J19" si="2">IF(($I7-21)&gt;0,$I7-21,0)</f>
        <v>0</v>
      </c>
      <c r="K7" s="164"/>
      <c r="L7" s="54" t="s">
        <v>8</v>
      </c>
      <c r="M7" s="65" t="s">
        <v>8</v>
      </c>
      <c r="N7" s="39" t="s">
        <v>8</v>
      </c>
      <c r="O7" s="143" t="s">
        <v>8</v>
      </c>
      <c r="P7" s="149" t="s">
        <v>8</v>
      </c>
      <c r="Q7" s="326" t="s">
        <v>74</v>
      </c>
      <c r="R7" s="42">
        <v>45360</v>
      </c>
      <c r="S7" s="253">
        <v>45360</v>
      </c>
      <c r="T7" s="187">
        <v>45362</v>
      </c>
      <c r="U7" s="73">
        <v>45362</v>
      </c>
      <c r="V7" s="192">
        <v>45370</v>
      </c>
      <c r="W7" s="256" t="s">
        <v>145</v>
      </c>
      <c r="X7" s="29">
        <v>45373</v>
      </c>
      <c r="Y7" s="28">
        <v>45373</v>
      </c>
      <c r="Z7" s="91"/>
    </row>
    <row r="8" spans="1:26" s="9" customFormat="1" ht="31.5">
      <c r="A8" s="33">
        <f t="shared" si="0"/>
        <v>2</v>
      </c>
      <c r="B8" s="33" t="str">
        <f t="shared" ref="B8:B71" si="3">MID(D8, FIND("-", D8) + 1, 4)</f>
        <v>5.10</v>
      </c>
      <c r="C8" s="137" t="s">
        <v>131</v>
      </c>
      <c r="D8" s="25" t="s">
        <v>154</v>
      </c>
      <c r="E8" s="174">
        <f t="shared" si="1"/>
        <v>45399</v>
      </c>
      <c r="F8" s="31" t="s">
        <v>155</v>
      </c>
      <c r="G8" s="21" t="s">
        <v>156</v>
      </c>
      <c r="H8" s="138" t="s">
        <v>6</v>
      </c>
      <c r="I8" s="164">
        <f t="shared" ref="I8:I19" si="4">MAX(0, IF(ISBLANK($V8), _xlfn.DAYS($I$1,$S8), _xlfn.DAYS($V8,$T8)))</f>
        <v>8</v>
      </c>
      <c r="J8" s="47">
        <f t="shared" si="2"/>
        <v>0</v>
      </c>
      <c r="K8" s="164"/>
      <c r="L8" s="96" t="s">
        <v>8</v>
      </c>
      <c r="M8" s="41" t="s">
        <v>8</v>
      </c>
      <c r="N8" s="40" t="s">
        <v>8</v>
      </c>
      <c r="O8" s="41" t="s">
        <v>8</v>
      </c>
      <c r="P8" s="40" t="s">
        <v>8</v>
      </c>
      <c r="Q8" s="154" t="s">
        <v>74</v>
      </c>
      <c r="R8" s="27">
        <v>45378</v>
      </c>
      <c r="S8" s="27">
        <v>45378</v>
      </c>
      <c r="T8" s="187">
        <v>45378</v>
      </c>
      <c r="U8" s="73">
        <v>45384</v>
      </c>
      <c r="V8" s="192">
        <v>45386</v>
      </c>
      <c r="W8" s="256" t="s">
        <v>145</v>
      </c>
      <c r="X8" s="230">
        <v>45387</v>
      </c>
      <c r="Y8" s="19">
        <v>45387</v>
      </c>
      <c r="Z8" s="92"/>
    </row>
    <row r="9" spans="1:26" s="9" customFormat="1" ht="47.25">
      <c r="A9" s="33">
        <f t="shared" si="0"/>
        <v>3</v>
      </c>
      <c r="B9" s="33" t="str">
        <f t="shared" si="3"/>
        <v>5.10</v>
      </c>
      <c r="C9" s="137" t="s">
        <v>184</v>
      </c>
      <c r="D9" s="25" t="s">
        <v>183</v>
      </c>
      <c r="E9" s="174">
        <f t="shared" si="1"/>
        <v>45476</v>
      </c>
      <c r="F9" s="31" t="s">
        <v>185</v>
      </c>
      <c r="G9" s="21" t="s">
        <v>186</v>
      </c>
      <c r="H9" s="138" t="s">
        <v>6</v>
      </c>
      <c r="I9" s="164">
        <f t="shared" si="4"/>
        <v>14</v>
      </c>
      <c r="J9" s="47">
        <f t="shared" si="2"/>
        <v>0</v>
      </c>
      <c r="K9" s="164"/>
      <c r="L9" s="40" t="s">
        <v>8</v>
      </c>
      <c r="M9" s="41" t="s">
        <v>8</v>
      </c>
      <c r="N9" s="40" t="s">
        <v>8</v>
      </c>
      <c r="O9" s="41" t="s">
        <v>8</v>
      </c>
      <c r="P9" s="40" t="s">
        <v>8</v>
      </c>
      <c r="Q9" s="154" t="s">
        <v>74</v>
      </c>
      <c r="R9" s="27">
        <v>45455</v>
      </c>
      <c r="S9" s="27">
        <v>45455</v>
      </c>
      <c r="T9" s="187">
        <v>45455</v>
      </c>
      <c r="U9" s="29">
        <v>45464</v>
      </c>
      <c r="V9" s="188">
        <v>45469</v>
      </c>
      <c r="W9" s="235" t="s">
        <v>136</v>
      </c>
      <c r="X9" s="230">
        <v>45483</v>
      </c>
      <c r="Y9" s="19">
        <v>45483</v>
      </c>
      <c r="Z9" s="92"/>
    </row>
    <row r="10" spans="1:26" s="9" customFormat="1" ht="47.25">
      <c r="A10" s="33">
        <f t="shared" si="0"/>
        <v>4</v>
      </c>
      <c r="B10" s="33" t="str">
        <f t="shared" si="3"/>
        <v>5.10</v>
      </c>
      <c r="C10" s="137" t="s">
        <v>131</v>
      </c>
      <c r="D10" s="25" t="s">
        <v>200</v>
      </c>
      <c r="E10" s="174">
        <f t="shared" si="1"/>
        <v>45510</v>
      </c>
      <c r="F10" s="31" t="s">
        <v>201</v>
      </c>
      <c r="G10" s="21" t="s">
        <v>202</v>
      </c>
      <c r="H10" s="138" t="s">
        <v>6</v>
      </c>
      <c r="I10" s="164">
        <f t="shared" si="4"/>
        <v>15</v>
      </c>
      <c r="J10" s="47">
        <f t="shared" si="2"/>
        <v>0</v>
      </c>
      <c r="K10" s="164"/>
      <c r="L10" s="40" t="s">
        <v>8</v>
      </c>
      <c r="M10" s="41" t="s">
        <v>8</v>
      </c>
      <c r="N10" s="40" t="s">
        <v>8</v>
      </c>
      <c r="O10" s="41" t="s">
        <v>8</v>
      </c>
      <c r="P10" s="40" t="s">
        <v>8</v>
      </c>
      <c r="Q10" s="154" t="s">
        <v>74</v>
      </c>
      <c r="R10" s="27">
        <v>45489</v>
      </c>
      <c r="S10" s="27">
        <v>45489</v>
      </c>
      <c r="T10" s="187">
        <v>45489</v>
      </c>
      <c r="U10" s="29">
        <v>45499</v>
      </c>
      <c r="V10" s="188">
        <v>45504</v>
      </c>
      <c r="W10" s="235" t="s">
        <v>136</v>
      </c>
      <c r="X10" s="230">
        <v>45518</v>
      </c>
      <c r="Y10" s="19">
        <v>45520</v>
      </c>
      <c r="Z10" s="76"/>
    </row>
    <row r="11" spans="1:26" s="9" customFormat="1" ht="47.25">
      <c r="A11" s="33">
        <f t="shared" si="0"/>
        <v>5</v>
      </c>
      <c r="B11" s="33" t="str">
        <f t="shared" si="3"/>
        <v>5.10</v>
      </c>
      <c r="C11" s="137"/>
      <c r="D11" s="25" t="s">
        <v>203</v>
      </c>
      <c r="E11" s="174">
        <f t="shared" si="1"/>
        <v>45482</v>
      </c>
      <c r="F11" s="31" t="s">
        <v>204</v>
      </c>
      <c r="G11" s="21" t="s">
        <v>205</v>
      </c>
      <c r="H11" s="138" t="s">
        <v>6</v>
      </c>
      <c r="I11" s="164">
        <f t="shared" si="4"/>
        <v>17</v>
      </c>
      <c r="J11" s="47">
        <f t="shared" si="2"/>
        <v>0</v>
      </c>
      <c r="K11" s="164"/>
      <c r="L11" s="40" t="s">
        <v>8</v>
      </c>
      <c r="M11" s="41" t="s">
        <v>8</v>
      </c>
      <c r="N11" s="40" t="s">
        <v>8</v>
      </c>
      <c r="O11" s="41" t="s">
        <v>8</v>
      </c>
      <c r="P11" s="40" t="s">
        <v>8</v>
      </c>
      <c r="Q11" s="154" t="s">
        <v>74</v>
      </c>
      <c r="R11" s="27">
        <v>45461</v>
      </c>
      <c r="S11" s="27">
        <v>45461</v>
      </c>
      <c r="T11" s="187">
        <v>45461</v>
      </c>
      <c r="U11" s="29">
        <v>45476</v>
      </c>
      <c r="V11" s="188">
        <v>45478</v>
      </c>
      <c r="W11" s="235" t="s">
        <v>136</v>
      </c>
      <c r="X11" s="230">
        <v>45483</v>
      </c>
      <c r="Y11" s="19">
        <v>45483</v>
      </c>
      <c r="Z11" s="92"/>
    </row>
    <row r="12" spans="1:26" s="9" customFormat="1" ht="47.25">
      <c r="A12" s="33">
        <f t="shared" si="0"/>
        <v>6</v>
      </c>
      <c r="B12" s="33" t="str">
        <f t="shared" si="3"/>
        <v>5.10</v>
      </c>
      <c r="C12" s="137" t="s">
        <v>144</v>
      </c>
      <c r="D12" s="25" t="s">
        <v>206</v>
      </c>
      <c r="E12" s="174">
        <f t="shared" si="1"/>
        <v>45509</v>
      </c>
      <c r="F12" s="31" t="s">
        <v>207</v>
      </c>
      <c r="G12" s="21" t="s">
        <v>208</v>
      </c>
      <c r="H12" s="138" t="s">
        <v>6</v>
      </c>
      <c r="I12" s="164">
        <f t="shared" si="4"/>
        <v>32</v>
      </c>
      <c r="J12" s="47">
        <f t="shared" si="2"/>
        <v>11</v>
      </c>
      <c r="K12" s="164"/>
      <c r="L12" s="40" t="s">
        <v>8</v>
      </c>
      <c r="M12" s="41" t="s">
        <v>8</v>
      </c>
      <c r="N12" s="40" t="s">
        <v>8</v>
      </c>
      <c r="O12" s="41" t="s">
        <v>8</v>
      </c>
      <c r="P12" s="40" t="s">
        <v>8</v>
      </c>
      <c r="Q12" s="154" t="s">
        <v>74</v>
      </c>
      <c r="R12" s="27">
        <v>45484</v>
      </c>
      <c r="S12" s="27">
        <v>45484</v>
      </c>
      <c r="T12" s="187">
        <v>45488</v>
      </c>
      <c r="U12" s="29">
        <v>45864</v>
      </c>
      <c r="V12" s="188">
        <v>45520</v>
      </c>
      <c r="W12" s="235" t="s">
        <v>219</v>
      </c>
      <c r="X12" s="230">
        <v>45526</v>
      </c>
      <c r="Y12" s="19">
        <v>45526</v>
      </c>
      <c r="Z12" s="92"/>
    </row>
    <row r="13" spans="1:26" s="9" customFormat="1" ht="31.5">
      <c r="A13" s="33">
        <f t="shared" si="0"/>
        <v>7</v>
      </c>
      <c r="B13" s="33" t="str">
        <f t="shared" si="3"/>
        <v>5.10</v>
      </c>
      <c r="C13" s="137" t="s">
        <v>184</v>
      </c>
      <c r="D13" s="25" t="s">
        <v>216</v>
      </c>
      <c r="E13" s="174">
        <f t="shared" si="1"/>
        <v>45518</v>
      </c>
      <c r="F13" s="31" t="s">
        <v>217</v>
      </c>
      <c r="G13" s="21" t="s">
        <v>218</v>
      </c>
      <c r="H13" s="138" t="s">
        <v>6</v>
      </c>
      <c r="I13" s="164">
        <f t="shared" si="4"/>
        <v>16</v>
      </c>
      <c r="J13" s="47">
        <f t="shared" si="2"/>
        <v>0</v>
      </c>
      <c r="K13" s="164"/>
      <c r="L13" s="40" t="s">
        <v>8</v>
      </c>
      <c r="M13" s="41" t="s">
        <v>8</v>
      </c>
      <c r="N13" s="40" t="s">
        <v>8</v>
      </c>
      <c r="O13" s="41" t="s">
        <v>8</v>
      </c>
      <c r="P13" s="40" t="s">
        <v>8</v>
      </c>
      <c r="Q13" s="154" t="s">
        <v>74</v>
      </c>
      <c r="R13" s="27">
        <v>45496</v>
      </c>
      <c r="S13" s="27">
        <v>45496</v>
      </c>
      <c r="T13" s="187">
        <v>45497</v>
      </c>
      <c r="U13" s="29">
        <v>45512</v>
      </c>
      <c r="V13" s="188">
        <v>45513</v>
      </c>
      <c r="W13" s="235" t="s">
        <v>136</v>
      </c>
      <c r="X13" s="230">
        <v>45545</v>
      </c>
      <c r="Y13" s="19">
        <v>45546</v>
      </c>
      <c r="Z13" s="92"/>
    </row>
    <row r="14" spans="1:26" s="58" customFormat="1" ht="31.5">
      <c r="A14" s="33">
        <f t="shared" si="0"/>
        <v>8</v>
      </c>
      <c r="B14" s="33" t="str">
        <f t="shared" si="3"/>
        <v>5.10</v>
      </c>
      <c r="C14" s="164" t="s">
        <v>224</v>
      </c>
      <c r="D14" s="25" t="s">
        <v>221</v>
      </c>
      <c r="E14" s="196">
        <f t="shared" si="1"/>
        <v>45537</v>
      </c>
      <c r="F14" s="31" t="s">
        <v>222</v>
      </c>
      <c r="G14" s="21" t="s">
        <v>223</v>
      </c>
      <c r="H14" s="177" t="s">
        <v>6</v>
      </c>
      <c r="I14" s="164">
        <f t="shared" si="4"/>
        <v>12</v>
      </c>
      <c r="J14" s="47">
        <f t="shared" si="2"/>
        <v>0</v>
      </c>
      <c r="K14" s="164"/>
      <c r="L14" s="40" t="s">
        <v>8</v>
      </c>
      <c r="M14" s="41" t="s">
        <v>8</v>
      </c>
      <c r="N14" s="40" t="s">
        <v>8</v>
      </c>
      <c r="O14" s="41" t="s">
        <v>8</v>
      </c>
      <c r="P14" s="40" t="s">
        <v>8</v>
      </c>
      <c r="Q14" s="154" t="s">
        <v>74</v>
      </c>
      <c r="R14" s="55">
        <v>45516</v>
      </c>
      <c r="S14" s="55">
        <v>45516</v>
      </c>
      <c r="T14" s="202">
        <v>45516</v>
      </c>
      <c r="U14" s="56">
        <v>45523</v>
      </c>
      <c r="V14" s="203">
        <v>45528</v>
      </c>
      <c r="W14" s="235" t="s">
        <v>136</v>
      </c>
      <c r="X14" s="231">
        <v>45700</v>
      </c>
      <c r="Y14" s="57">
        <v>45531</v>
      </c>
      <c r="Z14" s="92"/>
    </row>
    <row r="15" spans="1:26" s="9" customFormat="1" ht="31.5">
      <c r="A15" s="33">
        <f t="shared" si="0"/>
        <v>9</v>
      </c>
      <c r="B15" s="33" t="str">
        <f t="shared" si="3"/>
        <v>5.10</v>
      </c>
      <c r="C15" s="137" t="s">
        <v>131</v>
      </c>
      <c r="D15" s="25" t="s">
        <v>225</v>
      </c>
      <c r="E15" s="174">
        <f t="shared" si="1"/>
        <v>45562</v>
      </c>
      <c r="F15" s="31" t="s">
        <v>226</v>
      </c>
      <c r="G15" s="21" t="s">
        <v>227</v>
      </c>
      <c r="H15" s="138" t="s">
        <v>6</v>
      </c>
      <c r="I15" s="164">
        <f t="shared" si="4"/>
        <v>14</v>
      </c>
      <c r="J15" s="47">
        <f t="shared" si="2"/>
        <v>0</v>
      </c>
      <c r="K15" s="164"/>
      <c r="L15" s="40" t="s">
        <v>8</v>
      </c>
      <c r="M15" s="41" t="s">
        <v>8</v>
      </c>
      <c r="N15" s="40" t="s">
        <v>8</v>
      </c>
      <c r="O15" s="41" t="s">
        <v>8</v>
      </c>
      <c r="P15" s="40" t="s">
        <v>8</v>
      </c>
      <c r="Q15" s="154" t="s">
        <v>74</v>
      </c>
      <c r="R15" s="27">
        <v>45540</v>
      </c>
      <c r="S15" s="27">
        <v>45540</v>
      </c>
      <c r="T15" s="187">
        <v>45541</v>
      </c>
      <c r="U15" s="29">
        <v>45553</v>
      </c>
      <c r="V15" s="188">
        <v>45555</v>
      </c>
      <c r="W15" s="235" t="s">
        <v>220</v>
      </c>
      <c r="X15" s="230">
        <v>45579</v>
      </c>
      <c r="Y15" s="19">
        <v>45580</v>
      </c>
      <c r="Z15" s="92"/>
    </row>
    <row r="16" spans="1:26" s="9" customFormat="1" ht="47.25">
      <c r="A16" s="33">
        <f t="shared" si="0"/>
        <v>10</v>
      </c>
      <c r="B16" s="33" t="str">
        <f t="shared" si="3"/>
        <v>5.10</v>
      </c>
      <c r="C16" s="137" t="s">
        <v>144</v>
      </c>
      <c r="D16" s="25" t="s">
        <v>237</v>
      </c>
      <c r="E16" s="174">
        <f t="shared" si="1"/>
        <v>45588</v>
      </c>
      <c r="F16" s="31" t="s">
        <v>238</v>
      </c>
      <c r="G16" s="21" t="s">
        <v>239</v>
      </c>
      <c r="H16" s="138" t="s">
        <v>6</v>
      </c>
      <c r="I16" s="164">
        <f t="shared" si="4"/>
        <v>7</v>
      </c>
      <c r="J16" s="47">
        <f t="shared" si="2"/>
        <v>0</v>
      </c>
      <c r="K16" s="164"/>
      <c r="L16" s="40" t="s">
        <v>8</v>
      </c>
      <c r="M16" s="41" t="s">
        <v>8</v>
      </c>
      <c r="N16" s="40" t="s">
        <v>8</v>
      </c>
      <c r="O16" s="41" t="s">
        <v>8</v>
      </c>
      <c r="P16" s="40" t="s">
        <v>8</v>
      </c>
      <c r="Q16" s="154" t="s">
        <v>74</v>
      </c>
      <c r="R16" s="27">
        <v>45566</v>
      </c>
      <c r="S16" s="27">
        <v>45566</v>
      </c>
      <c r="T16" s="187">
        <v>45567</v>
      </c>
      <c r="U16" s="29">
        <v>45573</v>
      </c>
      <c r="V16" s="188">
        <v>45574</v>
      </c>
      <c r="W16" s="235" t="s">
        <v>240</v>
      </c>
      <c r="X16" s="230">
        <v>45579</v>
      </c>
      <c r="Y16" s="19">
        <v>45580</v>
      </c>
      <c r="Z16" s="92"/>
    </row>
    <row r="17" spans="1:26" s="9" customFormat="1" ht="47.25">
      <c r="A17" s="33">
        <f t="shared" si="0"/>
        <v>11</v>
      </c>
      <c r="B17" s="33" t="str">
        <f t="shared" si="3"/>
        <v>5.10</v>
      </c>
      <c r="C17" s="137"/>
      <c r="D17" s="25" t="s">
        <v>241</v>
      </c>
      <c r="E17" s="174">
        <f t="shared" si="1"/>
        <v>45614</v>
      </c>
      <c r="F17" s="31" t="s">
        <v>242</v>
      </c>
      <c r="G17" s="21" t="s">
        <v>243</v>
      </c>
      <c r="H17" s="138" t="s">
        <v>6</v>
      </c>
      <c r="I17" s="164">
        <f t="shared" si="4"/>
        <v>49</v>
      </c>
      <c r="J17" s="47">
        <f t="shared" si="2"/>
        <v>28</v>
      </c>
      <c r="K17" s="164"/>
      <c r="L17" s="40" t="s">
        <v>8</v>
      </c>
      <c r="M17" s="41" t="s">
        <v>8</v>
      </c>
      <c r="N17" s="40" t="s">
        <v>8</v>
      </c>
      <c r="O17" s="41" t="s">
        <v>8</v>
      </c>
      <c r="P17" s="40" t="s">
        <v>8</v>
      </c>
      <c r="Q17" s="154" t="s">
        <v>74</v>
      </c>
      <c r="R17" s="27">
        <v>45593</v>
      </c>
      <c r="S17" s="27">
        <v>45593</v>
      </c>
      <c r="T17" s="187">
        <v>45593</v>
      </c>
      <c r="U17" s="29">
        <v>45604</v>
      </c>
      <c r="V17" s="188">
        <v>45642</v>
      </c>
      <c r="W17" s="235" t="s">
        <v>136</v>
      </c>
      <c r="X17" s="230">
        <v>45651</v>
      </c>
      <c r="Y17" s="19">
        <v>45651</v>
      </c>
      <c r="Z17" s="92"/>
    </row>
    <row r="18" spans="1:26" s="9" customFormat="1" ht="31.5">
      <c r="A18" s="33">
        <f t="shared" si="0"/>
        <v>12</v>
      </c>
      <c r="B18" s="33" t="str">
        <f t="shared" si="3"/>
        <v>5.10</v>
      </c>
      <c r="C18" s="137" t="s">
        <v>195</v>
      </c>
      <c r="D18" s="25" t="s">
        <v>244</v>
      </c>
      <c r="E18" s="174">
        <f t="shared" si="1"/>
        <v>45625</v>
      </c>
      <c r="F18" s="31" t="s">
        <v>245</v>
      </c>
      <c r="G18" s="21" t="s">
        <v>246</v>
      </c>
      <c r="H18" s="138" t="s">
        <v>6</v>
      </c>
      <c r="I18" s="164">
        <f t="shared" si="4"/>
        <v>48</v>
      </c>
      <c r="J18" s="47">
        <f t="shared" si="2"/>
        <v>27</v>
      </c>
      <c r="K18" s="164"/>
      <c r="L18" s="40" t="s">
        <v>8</v>
      </c>
      <c r="M18" s="41" t="s">
        <v>8</v>
      </c>
      <c r="N18" s="40" t="s">
        <v>8</v>
      </c>
      <c r="O18" s="41" t="s">
        <v>8</v>
      </c>
      <c r="P18" s="40" t="s">
        <v>8</v>
      </c>
      <c r="Q18" s="154" t="s">
        <v>74</v>
      </c>
      <c r="R18" s="27">
        <v>45603</v>
      </c>
      <c r="S18" s="27">
        <v>45603</v>
      </c>
      <c r="T18" s="188">
        <v>45604</v>
      </c>
      <c r="U18" s="29">
        <v>45625</v>
      </c>
      <c r="V18" s="188">
        <v>45652</v>
      </c>
      <c r="W18" s="235" t="s">
        <v>136</v>
      </c>
      <c r="X18" s="230">
        <v>45659</v>
      </c>
      <c r="Y18" s="19">
        <v>45660</v>
      </c>
      <c r="Z18" s="92"/>
    </row>
    <row r="19" spans="1:26" s="9" customFormat="1" ht="47.25">
      <c r="A19" s="33">
        <f t="shared" si="0"/>
        <v>13</v>
      </c>
      <c r="B19" s="33" t="str">
        <f t="shared" si="3"/>
        <v>5.10</v>
      </c>
      <c r="C19" s="164" t="s">
        <v>195</v>
      </c>
      <c r="D19" s="25" t="s">
        <v>247</v>
      </c>
      <c r="E19" s="174">
        <f t="shared" si="1"/>
        <v>45624</v>
      </c>
      <c r="F19" s="31" t="s">
        <v>248</v>
      </c>
      <c r="G19" s="21" t="s">
        <v>249</v>
      </c>
      <c r="H19" s="138" t="s">
        <v>6</v>
      </c>
      <c r="I19" s="164">
        <f t="shared" si="4"/>
        <v>39</v>
      </c>
      <c r="J19" s="47">
        <f t="shared" si="2"/>
        <v>18</v>
      </c>
      <c r="K19" s="164"/>
      <c r="L19" s="40" t="s">
        <v>8</v>
      </c>
      <c r="M19" s="41" t="s">
        <v>8</v>
      </c>
      <c r="N19" s="40" t="s">
        <v>8</v>
      </c>
      <c r="O19" s="41" t="s">
        <v>8</v>
      </c>
      <c r="P19" s="40" t="s">
        <v>8</v>
      </c>
      <c r="Q19" s="154" t="s">
        <v>74</v>
      </c>
      <c r="R19" s="27">
        <v>45603</v>
      </c>
      <c r="S19" s="27">
        <v>45603</v>
      </c>
      <c r="T19" s="188">
        <v>45603</v>
      </c>
      <c r="U19" s="29">
        <v>45614</v>
      </c>
      <c r="V19" s="188">
        <v>45642</v>
      </c>
      <c r="W19" s="235" t="s">
        <v>136</v>
      </c>
      <c r="X19" s="230">
        <v>45702</v>
      </c>
      <c r="Y19" s="19">
        <v>45706</v>
      </c>
      <c r="Z19" s="92"/>
    </row>
    <row r="20" spans="1:26" s="9" customFormat="1" ht="47.25">
      <c r="A20" s="33">
        <f t="shared" si="0"/>
        <v>14</v>
      </c>
      <c r="B20" s="33" t="str">
        <f t="shared" si="3"/>
        <v>5.10</v>
      </c>
      <c r="C20" s="137" t="s">
        <v>131</v>
      </c>
      <c r="D20" s="25" t="s">
        <v>250</v>
      </c>
      <c r="E20" s="174"/>
      <c r="F20" s="31" t="s">
        <v>251</v>
      </c>
      <c r="G20" s="21" t="s">
        <v>252</v>
      </c>
      <c r="H20" s="138"/>
      <c r="I20" s="164"/>
      <c r="J20" s="47"/>
      <c r="K20" s="164" t="s">
        <v>13</v>
      </c>
      <c r="L20" s="40" t="s">
        <v>8</v>
      </c>
      <c r="M20" s="41" t="s">
        <v>8</v>
      </c>
      <c r="N20" s="40"/>
      <c r="O20" s="41"/>
      <c r="P20" s="40"/>
      <c r="Q20" s="154"/>
      <c r="R20" s="27">
        <v>45623</v>
      </c>
      <c r="S20" s="27">
        <v>45623</v>
      </c>
      <c r="T20" s="188">
        <v>45623</v>
      </c>
      <c r="U20" s="29"/>
      <c r="V20" s="188"/>
      <c r="W20" s="235"/>
      <c r="X20" s="230"/>
      <c r="Y20" s="19"/>
      <c r="Z20" s="92" t="s">
        <v>309</v>
      </c>
    </row>
    <row r="21" spans="1:26" s="9" customFormat="1" ht="47.25">
      <c r="A21" s="33">
        <f t="shared" si="0"/>
        <v>15</v>
      </c>
      <c r="B21" s="33" t="str">
        <f t="shared" si="3"/>
        <v>5.10</v>
      </c>
      <c r="C21" s="137" t="s">
        <v>144</v>
      </c>
      <c r="D21" s="25" t="s">
        <v>265</v>
      </c>
      <c r="E21" s="174">
        <f>IF($T21=0,$S21+22,$T21+21)</f>
        <v>45657</v>
      </c>
      <c r="F21" s="31" t="s">
        <v>266</v>
      </c>
      <c r="G21" s="21" t="s">
        <v>267</v>
      </c>
      <c r="H21" s="138" t="s">
        <v>6</v>
      </c>
      <c r="I21" s="164">
        <f>IF(ISBLANK($V21),_xlfn.DAYS($I$1,$T21),_xlfn.DAYS($V21,$T21))</f>
        <v>28</v>
      </c>
      <c r="J21" s="47">
        <f>IF(($I21-21)&gt;0,$I21-21,0)</f>
        <v>7</v>
      </c>
      <c r="K21" s="164"/>
      <c r="L21" s="40" t="s">
        <v>8</v>
      </c>
      <c r="M21" s="41" t="s">
        <v>8</v>
      </c>
      <c r="N21" s="40" t="s">
        <v>8</v>
      </c>
      <c r="O21" s="41" t="s">
        <v>8</v>
      </c>
      <c r="P21" s="40" t="s">
        <v>8</v>
      </c>
      <c r="Q21" s="154" t="s">
        <v>74</v>
      </c>
      <c r="R21" s="27">
        <v>45636</v>
      </c>
      <c r="S21" s="27">
        <v>45636</v>
      </c>
      <c r="T21" s="188">
        <v>45636</v>
      </c>
      <c r="U21" s="29">
        <v>45649</v>
      </c>
      <c r="V21" s="188">
        <v>45664</v>
      </c>
      <c r="W21" s="235" t="s">
        <v>190</v>
      </c>
      <c r="X21" s="230">
        <v>45677</v>
      </c>
      <c r="Y21" s="19">
        <v>45678</v>
      </c>
      <c r="Z21" s="92"/>
    </row>
    <row r="22" spans="1:26" s="9" customFormat="1" ht="31.5">
      <c r="A22" s="33">
        <f t="shared" si="0"/>
        <v>16</v>
      </c>
      <c r="B22" s="33" t="str">
        <f t="shared" si="3"/>
        <v>5.10</v>
      </c>
      <c r="C22" s="137" t="s">
        <v>144</v>
      </c>
      <c r="D22" s="25" t="s">
        <v>268</v>
      </c>
      <c r="E22" s="174">
        <f>IF($T22=0,$S22+22,$T22+21)</f>
        <v>45657</v>
      </c>
      <c r="F22" s="31" t="s">
        <v>269</v>
      </c>
      <c r="G22" s="21" t="s">
        <v>270</v>
      </c>
      <c r="H22" s="138" t="s">
        <v>6</v>
      </c>
      <c r="I22" s="164">
        <f>IF(ISBLANK($V22),_xlfn.DAYS($I$1,$T22),_xlfn.DAYS($V22,$T22))</f>
        <v>28</v>
      </c>
      <c r="J22" s="47">
        <f>IF(($I22-21)&gt;0,$I22-21,0)</f>
        <v>7</v>
      </c>
      <c r="K22" s="164"/>
      <c r="L22" s="40" t="s">
        <v>8</v>
      </c>
      <c r="M22" s="41" t="s">
        <v>8</v>
      </c>
      <c r="N22" s="40" t="s">
        <v>8</v>
      </c>
      <c r="O22" s="41" t="s">
        <v>8</v>
      </c>
      <c r="P22" s="40" t="s">
        <v>8</v>
      </c>
      <c r="Q22" s="154" t="s">
        <v>74</v>
      </c>
      <c r="R22" s="27">
        <v>45636</v>
      </c>
      <c r="S22" s="27">
        <v>45636</v>
      </c>
      <c r="T22" s="188">
        <v>45636</v>
      </c>
      <c r="U22" s="29">
        <v>45649</v>
      </c>
      <c r="V22" s="188">
        <v>45664</v>
      </c>
      <c r="W22" s="235" t="s">
        <v>190</v>
      </c>
      <c r="X22" s="230">
        <v>45677</v>
      </c>
      <c r="Y22" s="19">
        <v>45678</v>
      </c>
      <c r="Z22" s="92"/>
    </row>
    <row r="23" spans="1:26" s="9" customFormat="1" ht="31.5">
      <c r="A23" s="33">
        <f t="shared" si="0"/>
        <v>17</v>
      </c>
      <c r="B23" s="33" t="str">
        <f t="shared" si="3"/>
        <v>5.10</v>
      </c>
      <c r="C23" s="137" t="s">
        <v>144</v>
      </c>
      <c r="D23" s="25" t="s">
        <v>271</v>
      </c>
      <c r="E23" s="174">
        <f>IF($T23=0,$S23+22,$T23+21)</f>
        <v>45657</v>
      </c>
      <c r="F23" s="31" t="s">
        <v>272</v>
      </c>
      <c r="G23" s="21" t="s">
        <v>273</v>
      </c>
      <c r="H23" s="138" t="s">
        <v>6</v>
      </c>
      <c r="I23" s="164">
        <f>IF(ISBLANK($V23),_xlfn.DAYS($I$1,$T23),_xlfn.DAYS($V23,$T23))</f>
        <v>28</v>
      </c>
      <c r="J23" s="47">
        <f>IF(($I23-21)&gt;0,$I23-21,0)</f>
        <v>7</v>
      </c>
      <c r="K23" s="164"/>
      <c r="L23" s="40" t="s">
        <v>8</v>
      </c>
      <c r="M23" s="41" t="s">
        <v>8</v>
      </c>
      <c r="N23" s="40" t="s">
        <v>8</v>
      </c>
      <c r="O23" s="41" t="s">
        <v>8</v>
      </c>
      <c r="P23" s="40" t="s">
        <v>8</v>
      </c>
      <c r="Q23" s="154" t="s">
        <v>74</v>
      </c>
      <c r="R23" s="27">
        <v>45636</v>
      </c>
      <c r="S23" s="27">
        <v>45636</v>
      </c>
      <c r="T23" s="188">
        <v>45636</v>
      </c>
      <c r="U23" s="29">
        <v>45649</v>
      </c>
      <c r="V23" s="188">
        <v>45664</v>
      </c>
      <c r="W23" s="235" t="s">
        <v>190</v>
      </c>
      <c r="X23" s="230">
        <v>45677</v>
      </c>
      <c r="Y23" s="19">
        <v>45678</v>
      </c>
      <c r="Z23" s="92"/>
    </row>
    <row r="24" spans="1:26" s="9" customFormat="1" ht="31.5">
      <c r="A24" s="33">
        <f t="shared" si="0"/>
        <v>18</v>
      </c>
      <c r="B24" s="33" t="str">
        <f t="shared" si="3"/>
        <v>5.10</v>
      </c>
      <c r="C24" s="137"/>
      <c r="D24" s="25" t="s">
        <v>274</v>
      </c>
      <c r="E24" s="174">
        <f>IF($T24=0,$S24+22,$T24+21)</f>
        <v>45660</v>
      </c>
      <c r="F24" s="31" t="s">
        <v>275</v>
      </c>
      <c r="G24" s="21" t="s">
        <v>276</v>
      </c>
      <c r="H24" s="138" t="s">
        <v>6</v>
      </c>
      <c r="I24" s="164">
        <f>IF(ISBLANK($V24),_xlfn.DAYS($I$1,$T24),_xlfn.DAYS($V24,$T24))</f>
        <v>25</v>
      </c>
      <c r="J24" s="47">
        <f>IF(($I24-21)&gt;0,$I24-21,0)</f>
        <v>4</v>
      </c>
      <c r="K24" s="164"/>
      <c r="L24" s="40" t="s">
        <v>8</v>
      </c>
      <c r="M24" s="41" t="s">
        <v>8</v>
      </c>
      <c r="N24" s="40" t="s">
        <v>8</v>
      </c>
      <c r="O24" s="41" t="s">
        <v>8</v>
      </c>
      <c r="P24" s="40" t="s">
        <v>8</v>
      </c>
      <c r="Q24" s="154" t="s">
        <v>74</v>
      </c>
      <c r="R24" s="27">
        <v>45638</v>
      </c>
      <c r="S24" s="27">
        <v>45638</v>
      </c>
      <c r="T24" s="188">
        <v>45639</v>
      </c>
      <c r="U24" s="29">
        <v>45652</v>
      </c>
      <c r="V24" s="188">
        <v>45664</v>
      </c>
      <c r="W24" s="235" t="s">
        <v>190</v>
      </c>
      <c r="X24" s="230">
        <v>45791</v>
      </c>
      <c r="Y24" s="19">
        <v>45793</v>
      </c>
      <c r="Z24" s="92"/>
    </row>
    <row r="25" spans="1:26" s="9" customFormat="1" ht="31.5">
      <c r="A25" s="33">
        <f t="shared" si="0"/>
        <v>19</v>
      </c>
      <c r="B25" s="33" t="str">
        <f t="shared" si="3"/>
        <v>5.10</v>
      </c>
      <c r="C25" s="137"/>
      <c r="D25" s="25" t="s">
        <v>277</v>
      </c>
      <c r="E25" s="174"/>
      <c r="F25" s="31" t="s">
        <v>278</v>
      </c>
      <c r="G25" s="21" t="s">
        <v>279</v>
      </c>
      <c r="H25" s="138"/>
      <c r="I25" s="164"/>
      <c r="J25" s="47"/>
      <c r="K25" s="164" t="s">
        <v>13</v>
      </c>
      <c r="L25" s="40" t="s">
        <v>8</v>
      </c>
      <c r="M25" s="41" t="s">
        <v>8</v>
      </c>
      <c r="N25" s="40"/>
      <c r="O25" s="41"/>
      <c r="P25" s="40"/>
      <c r="Q25" s="154"/>
      <c r="R25" s="27">
        <v>45638</v>
      </c>
      <c r="S25" s="27">
        <v>45638</v>
      </c>
      <c r="T25" s="188">
        <v>45639</v>
      </c>
      <c r="U25" s="29"/>
      <c r="V25" s="188"/>
      <c r="W25" s="235"/>
      <c r="X25" s="230"/>
      <c r="Y25" s="19"/>
      <c r="Z25" s="92" t="s">
        <v>293</v>
      </c>
    </row>
    <row r="26" spans="1:26" s="9" customFormat="1" ht="47.25">
      <c r="A26" s="33">
        <f t="shared" si="0"/>
        <v>20</v>
      </c>
      <c r="B26" s="33" t="str">
        <f t="shared" si="3"/>
        <v>5.10</v>
      </c>
      <c r="C26" s="164" t="s">
        <v>144</v>
      </c>
      <c r="D26" s="25" t="s">
        <v>280</v>
      </c>
      <c r="E26" s="174">
        <f t="shared" ref="E26:E32" si="5">IF($T26=0,$S26+22,$T26+21)</f>
        <v>45666</v>
      </c>
      <c r="F26" s="31" t="s">
        <v>281</v>
      </c>
      <c r="G26" s="21" t="s">
        <v>282</v>
      </c>
      <c r="H26" s="138" t="s">
        <v>6</v>
      </c>
      <c r="I26" s="164">
        <f t="shared" ref="I26:I32" si="6">IF(ISBLANK($V26),_xlfn.DAYS($I$1,$T26),_xlfn.DAYS($V26,$T26))</f>
        <v>11</v>
      </c>
      <c r="J26" s="47">
        <f t="shared" ref="J26:J32" si="7">IF(($I26-21)&gt;0,$I26-21,0)</f>
        <v>0</v>
      </c>
      <c r="K26" s="164"/>
      <c r="L26" s="40" t="s">
        <v>8</v>
      </c>
      <c r="M26" s="41" t="s">
        <v>8</v>
      </c>
      <c r="N26" s="40" t="s">
        <v>8</v>
      </c>
      <c r="O26" s="41" t="s">
        <v>8</v>
      </c>
      <c r="P26" s="40" t="s">
        <v>8</v>
      </c>
      <c r="Q26" s="154" t="s">
        <v>74</v>
      </c>
      <c r="R26" s="27">
        <v>45645</v>
      </c>
      <c r="S26" s="27">
        <v>45645</v>
      </c>
      <c r="T26" s="188">
        <v>45645</v>
      </c>
      <c r="U26" s="29">
        <v>45656</v>
      </c>
      <c r="V26" s="188">
        <v>45656</v>
      </c>
      <c r="W26" s="235" t="s">
        <v>190</v>
      </c>
      <c r="X26" s="230">
        <v>45677</v>
      </c>
      <c r="Y26" s="19">
        <v>45678</v>
      </c>
      <c r="Z26" s="92"/>
    </row>
    <row r="27" spans="1:26" s="9" customFormat="1" ht="31.5">
      <c r="A27" s="33">
        <f t="shared" si="0"/>
        <v>21</v>
      </c>
      <c r="B27" s="33" t="str">
        <f t="shared" si="3"/>
        <v>5.10</v>
      </c>
      <c r="C27" s="137" t="s">
        <v>131</v>
      </c>
      <c r="D27" s="25" t="s">
        <v>283</v>
      </c>
      <c r="E27" s="174">
        <f t="shared" si="5"/>
        <v>45670</v>
      </c>
      <c r="F27" s="31" t="s">
        <v>284</v>
      </c>
      <c r="G27" s="21" t="s">
        <v>285</v>
      </c>
      <c r="H27" s="138" t="s">
        <v>6</v>
      </c>
      <c r="I27" s="164">
        <f t="shared" si="6"/>
        <v>25</v>
      </c>
      <c r="J27" s="47">
        <f t="shared" si="7"/>
        <v>4</v>
      </c>
      <c r="K27" s="164"/>
      <c r="L27" s="40" t="s">
        <v>8</v>
      </c>
      <c r="M27" s="41" t="s">
        <v>8</v>
      </c>
      <c r="N27" s="40" t="s">
        <v>8</v>
      </c>
      <c r="O27" s="41" t="s">
        <v>8</v>
      </c>
      <c r="P27" s="40" t="s">
        <v>8</v>
      </c>
      <c r="Q27" s="154" t="s">
        <v>74</v>
      </c>
      <c r="R27" s="27">
        <v>45646</v>
      </c>
      <c r="S27" s="27">
        <v>45646</v>
      </c>
      <c r="T27" s="188">
        <v>45649</v>
      </c>
      <c r="U27" s="29">
        <v>45659</v>
      </c>
      <c r="V27" s="188">
        <v>45674</v>
      </c>
      <c r="W27" s="235" t="s">
        <v>190</v>
      </c>
      <c r="X27" s="230">
        <v>45679</v>
      </c>
      <c r="Y27" s="19">
        <v>45679</v>
      </c>
      <c r="Z27" s="92"/>
    </row>
    <row r="28" spans="1:26" s="9" customFormat="1" ht="31.5">
      <c r="A28" s="33">
        <f t="shared" si="0"/>
        <v>22</v>
      </c>
      <c r="B28" s="33" t="str">
        <f t="shared" si="3"/>
        <v>5.10</v>
      </c>
      <c r="C28" s="137" t="s">
        <v>184</v>
      </c>
      <c r="D28" s="25" t="s">
        <v>286</v>
      </c>
      <c r="E28" s="174">
        <f t="shared" si="5"/>
        <v>45673</v>
      </c>
      <c r="F28" s="31" t="s">
        <v>287</v>
      </c>
      <c r="G28" s="21" t="s">
        <v>288</v>
      </c>
      <c r="H28" s="138" t="s">
        <v>6</v>
      </c>
      <c r="I28" s="164">
        <f t="shared" si="6"/>
        <v>12</v>
      </c>
      <c r="J28" s="47">
        <f t="shared" si="7"/>
        <v>0</v>
      </c>
      <c r="K28" s="164"/>
      <c r="L28" s="40" t="s">
        <v>8</v>
      </c>
      <c r="M28" s="41" t="s">
        <v>8</v>
      </c>
      <c r="N28" s="40" t="s">
        <v>8</v>
      </c>
      <c r="O28" s="41" t="s">
        <v>8</v>
      </c>
      <c r="P28" s="40" t="s">
        <v>8</v>
      </c>
      <c r="Q28" s="154" t="s">
        <v>74</v>
      </c>
      <c r="R28" s="27">
        <v>45653</v>
      </c>
      <c r="S28" s="27">
        <v>45653</v>
      </c>
      <c r="T28" s="188">
        <v>45652</v>
      </c>
      <c r="U28" s="29">
        <v>45664</v>
      </c>
      <c r="V28" s="188">
        <v>45664</v>
      </c>
      <c r="W28" s="235" t="s">
        <v>190</v>
      </c>
      <c r="X28" s="230">
        <v>45707</v>
      </c>
      <c r="Y28" s="19">
        <v>45700</v>
      </c>
      <c r="Z28" s="92"/>
    </row>
    <row r="29" spans="1:26" s="9" customFormat="1" ht="31.5">
      <c r="A29" s="33">
        <f t="shared" si="0"/>
        <v>23</v>
      </c>
      <c r="B29" s="33" t="str">
        <f t="shared" si="3"/>
        <v>5.10</v>
      </c>
      <c r="C29" s="137" t="s">
        <v>292</v>
      </c>
      <c r="D29" s="25" t="s">
        <v>289</v>
      </c>
      <c r="E29" s="174">
        <f t="shared" si="5"/>
        <v>45670</v>
      </c>
      <c r="F29" s="31" t="s">
        <v>290</v>
      </c>
      <c r="G29" s="21" t="s">
        <v>291</v>
      </c>
      <c r="H29" s="138" t="s">
        <v>6</v>
      </c>
      <c r="I29" s="164">
        <f t="shared" si="6"/>
        <v>15</v>
      </c>
      <c r="J29" s="47">
        <f t="shared" si="7"/>
        <v>0</v>
      </c>
      <c r="K29" s="164"/>
      <c r="L29" s="40" t="s">
        <v>8</v>
      </c>
      <c r="M29" s="41" t="s">
        <v>8</v>
      </c>
      <c r="N29" s="40" t="s">
        <v>8</v>
      </c>
      <c r="O29" s="41" t="s">
        <v>8</v>
      </c>
      <c r="P29" s="217"/>
      <c r="Q29" s="154"/>
      <c r="R29" s="27">
        <v>45646</v>
      </c>
      <c r="S29" s="27">
        <v>45646</v>
      </c>
      <c r="T29" s="188">
        <v>45649</v>
      </c>
      <c r="U29" s="29">
        <v>45660</v>
      </c>
      <c r="V29" s="188">
        <v>45664</v>
      </c>
      <c r="W29" s="235" t="s">
        <v>190</v>
      </c>
      <c r="X29" s="230"/>
      <c r="Y29" s="19"/>
      <c r="Z29" s="92"/>
    </row>
    <row r="30" spans="1:26" s="9" customFormat="1" ht="47.25">
      <c r="A30" s="33">
        <f t="shared" si="0"/>
        <v>24</v>
      </c>
      <c r="B30" s="33" t="str">
        <f t="shared" si="3"/>
        <v>5.10</v>
      </c>
      <c r="C30" s="137" t="s">
        <v>131</v>
      </c>
      <c r="D30" s="25" t="s">
        <v>294</v>
      </c>
      <c r="E30" s="174">
        <f t="shared" si="5"/>
        <v>45672</v>
      </c>
      <c r="F30" s="31" t="s">
        <v>295</v>
      </c>
      <c r="G30" s="21" t="s">
        <v>296</v>
      </c>
      <c r="H30" s="138" t="s">
        <v>6</v>
      </c>
      <c r="I30" s="164">
        <f t="shared" si="6"/>
        <v>49</v>
      </c>
      <c r="J30" s="47">
        <f t="shared" si="7"/>
        <v>28</v>
      </c>
      <c r="K30" s="164"/>
      <c r="L30" s="40" t="s">
        <v>8</v>
      </c>
      <c r="M30" s="41" t="s">
        <v>8</v>
      </c>
      <c r="N30" s="40" t="s">
        <v>8</v>
      </c>
      <c r="O30" s="41" t="s">
        <v>8</v>
      </c>
      <c r="P30" s="40" t="s">
        <v>8</v>
      </c>
      <c r="Q30" s="154" t="s">
        <v>74</v>
      </c>
      <c r="R30" s="27">
        <v>45650</v>
      </c>
      <c r="S30" s="27">
        <v>45650</v>
      </c>
      <c r="T30" s="188">
        <v>45651</v>
      </c>
      <c r="U30" s="29">
        <v>45671</v>
      </c>
      <c r="V30" s="188">
        <v>45700</v>
      </c>
      <c r="W30" s="235" t="s">
        <v>190</v>
      </c>
      <c r="X30" s="230">
        <v>45741</v>
      </c>
      <c r="Y30" s="19">
        <v>45743</v>
      </c>
      <c r="Z30" s="92"/>
    </row>
    <row r="31" spans="1:26" s="9" customFormat="1" ht="47.25">
      <c r="A31" s="33">
        <f t="shared" si="0"/>
        <v>25</v>
      </c>
      <c r="B31" s="33" t="str">
        <f t="shared" si="3"/>
        <v>5.10</v>
      </c>
      <c r="C31" s="137" t="s">
        <v>197</v>
      </c>
      <c r="D31" s="25" t="s">
        <v>297</v>
      </c>
      <c r="E31" s="174">
        <f t="shared" si="5"/>
        <v>45684</v>
      </c>
      <c r="F31" s="31" t="s">
        <v>298</v>
      </c>
      <c r="G31" s="21" t="s">
        <v>299</v>
      </c>
      <c r="H31" s="138" t="s">
        <v>6</v>
      </c>
      <c r="I31" s="164">
        <f t="shared" si="6"/>
        <v>11</v>
      </c>
      <c r="J31" s="47">
        <f t="shared" si="7"/>
        <v>0</v>
      </c>
      <c r="K31" s="164"/>
      <c r="L31" s="40" t="s">
        <v>8</v>
      </c>
      <c r="M31" s="41" t="s">
        <v>8</v>
      </c>
      <c r="N31" s="40" t="s">
        <v>8</v>
      </c>
      <c r="O31" s="41" t="s">
        <v>8</v>
      </c>
      <c r="P31" s="40" t="s">
        <v>8</v>
      </c>
      <c r="Q31" s="154" t="s">
        <v>74</v>
      </c>
      <c r="R31" s="27">
        <v>45663</v>
      </c>
      <c r="S31" s="27">
        <v>45663</v>
      </c>
      <c r="T31" s="188">
        <v>45663</v>
      </c>
      <c r="U31" s="29">
        <v>45673</v>
      </c>
      <c r="V31" s="188">
        <v>45674</v>
      </c>
      <c r="W31" s="235" t="s">
        <v>190</v>
      </c>
      <c r="X31" s="230">
        <v>45679</v>
      </c>
      <c r="Y31" s="19">
        <v>45679</v>
      </c>
      <c r="Z31" s="92"/>
    </row>
    <row r="32" spans="1:26" s="9" customFormat="1" ht="47.25">
      <c r="A32" s="33">
        <f t="shared" si="0"/>
        <v>26</v>
      </c>
      <c r="B32" s="33" t="str">
        <f t="shared" si="3"/>
        <v>5.10</v>
      </c>
      <c r="C32" s="137" t="s">
        <v>144</v>
      </c>
      <c r="D32" s="25" t="s">
        <v>310</v>
      </c>
      <c r="E32" s="174">
        <f t="shared" si="5"/>
        <v>45737</v>
      </c>
      <c r="F32" s="31" t="s">
        <v>281</v>
      </c>
      <c r="G32" s="21" t="s">
        <v>282</v>
      </c>
      <c r="H32" s="138" t="s">
        <v>6</v>
      </c>
      <c r="I32" s="164">
        <f t="shared" si="6"/>
        <v>14</v>
      </c>
      <c r="J32" s="47">
        <f t="shared" si="7"/>
        <v>0</v>
      </c>
      <c r="K32" s="164"/>
      <c r="L32" s="40" t="s">
        <v>8</v>
      </c>
      <c r="M32" s="41" t="s">
        <v>8</v>
      </c>
      <c r="N32" s="40" t="s">
        <v>8</v>
      </c>
      <c r="O32" s="41" t="s">
        <v>8</v>
      </c>
      <c r="P32" s="40" t="s">
        <v>8</v>
      </c>
      <c r="Q32" s="154" t="s">
        <v>74</v>
      </c>
      <c r="R32" s="27">
        <v>45716</v>
      </c>
      <c r="S32" s="27">
        <v>45716</v>
      </c>
      <c r="T32" s="188">
        <v>45716</v>
      </c>
      <c r="U32" s="29">
        <v>45723</v>
      </c>
      <c r="V32" s="188">
        <v>45730</v>
      </c>
      <c r="W32" s="235" t="s">
        <v>190</v>
      </c>
      <c r="X32" s="230">
        <v>45736</v>
      </c>
      <c r="Y32" s="19">
        <v>45737</v>
      </c>
      <c r="Z32" s="92"/>
    </row>
    <row r="33" spans="1:26" s="9" customFormat="1" ht="31.5">
      <c r="A33" s="33">
        <f t="shared" si="0"/>
        <v>27</v>
      </c>
      <c r="B33" s="33" t="str">
        <f t="shared" si="3"/>
        <v>5.10</v>
      </c>
      <c r="C33" s="137" t="s">
        <v>151</v>
      </c>
      <c r="D33" s="25" t="s">
        <v>315</v>
      </c>
      <c r="E33" s="174"/>
      <c r="F33" s="31" t="s">
        <v>316</v>
      </c>
      <c r="G33" s="21" t="s">
        <v>317</v>
      </c>
      <c r="H33" s="138"/>
      <c r="I33" s="164"/>
      <c r="J33" s="47"/>
      <c r="K33" s="164" t="s">
        <v>13</v>
      </c>
      <c r="L33" s="40"/>
      <c r="M33" s="41"/>
      <c r="N33" s="40"/>
      <c r="O33" s="41"/>
      <c r="P33" s="40"/>
      <c r="Q33" s="151"/>
      <c r="R33" s="27">
        <v>45752</v>
      </c>
      <c r="S33" s="27">
        <v>45752</v>
      </c>
      <c r="T33" s="188">
        <v>45755</v>
      </c>
      <c r="U33" s="29"/>
      <c r="V33" s="188"/>
      <c r="W33" s="235"/>
      <c r="X33" s="230"/>
      <c r="Y33" s="19"/>
      <c r="Z33" s="92" t="s">
        <v>318</v>
      </c>
    </row>
    <row r="34" spans="1:26" s="9" customFormat="1" ht="47.25">
      <c r="A34" s="33">
        <f t="shared" si="0"/>
        <v>28</v>
      </c>
      <c r="B34" s="33" t="str">
        <f t="shared" si="3"/>
        <v>5.10</v>
      </c>
      <c r="C34" s="137" t="s">
        <v>131</v>
      </c>
      <c r="D34" s="25" t="s">
        <v>319</v>
      </c>
      <c r="E34" s="174">
        <f t="shared" ref="E34:E49" si="8">IF($T34=0,$S34+22,$T34+21)</f>
        <v>45782</v>
      </c>
      <c r="F34" s="31" t="s">
        <v>320</v>
      </c>
      <c r="G34" s="21" t="s">
        <v>321</v>
      </c>
      <c r="H34" s="138" t="s">
        <v>6</v>
      </c>
      <c r="I34" s="164">
        <f t="shared" ref="I34:I49" si="9">IF(ISBLANK($V34),_xlfn.DAYS($I$1,$T34),_xlfn.DAYS($V34,$T34))</f>
        <v>15</v>
      </c>
      <c r="J34" s="47">
        <f t="shared" ref="J34:J49" si="10">IF(($I34-21)&gt;0,$I34-21,0)</f>
        <v>0</v>
      </c>
      <c r="K34" s="164"/>
      <c r="L34" s="40" t="s">
        <v>8</v>
      </c>
      <c r="M34" s="41" t="s">
        <v>8</v>
      </c>
      <c r="N34" s="40" t="s">
        <v>8</v>
      </c>
      <c r="O34" s="41" t="s">
        <v>8</v>
      </c>
      <c r="P34" s="40" t="s">
        <v>8</v>
      </c>
      <c r="Q34" s="154" t="s">
        <v>74</v>
      </c>
      <c r="R34" s="27">
        <v>45759</v>
      </c>
      <c r="S34" s="27">
        <v>45759</v>
      </c>
      <c r="T34" s="188">
        <v>45761</v>
      </c>
      <c r="U34" s="29">
        <v>45772</v>
      </c>
      <c r="V34" s="188">
        <v>45776</v>
      </c>
      <c r="W34" s="235" t="s">
        <v>136</v>
      </c>
      <c r="X34" s="230">
        <v>45790</v>
      </c>
      <c r="Y34" s="19">
        <v>45790</v>
      </c>
      <c r="Z34" s="92"/>
    </row>
    <row r="35" spans="1:26" s="9" customFormat="1" ht="47.25">
      <c r="A35" s="33">
        <f t="shared" si="0"/>
        <v>29</v>
      </c>
      <c r="B35" s="33" t="str">
        <f t="shared" si="3"/>
        <v>5.10</v>
      </c>
      <c r="C35" s="137" t="s">
        <v>195</v>
      </c>
      <c r="D35" s="25" t="s">
        <v>336</v>
      </c>
      <c r="E35" s="174">
        <f t="shared" si="8"/>
        <v>45796</v>
      </c>
      <c r="F35" s="31" t="s">
        <v>337</v>
      </c>
      <c r="G35" s="21" t="s">
        <v>338</v>
      </c>
      <c r="H35" s="138" t="s">
        <v>6</v>
      </c>
      <c r="I35" s="164">
        <f t="shared" si="9"/>
        <v>9</v>
      </c>
      <c r="J35" s="47">
        <f t="shared" si="10"/>
        <v>0</v>
      </c>
      <c r="K35" s="164"/>
      <c r="L35" s="40" t="s">
        <v>8</v>
      </c>
      <c r="M35" s="41" t="s">
        <v>8</v>
      </c>
      <c r="N35" s="40" t="s">
        <v>8</v>
      </c>
      <c r="O35" s="41" t="s">
        <v>8</v>
      </c>
      <c r="P35" s="40" t="s">
        <v>8</v>
      </c>
      <c r="Q35" s="154" t="s">
        <v>74</v>
      </c>
      <c r="R35" s="27">
        <v>45773</v>
      </c>
      <c r="S35" s="27">
        <v>45773</v>
      </c>
      <c r="T35" s="188">
        <v>45775</v>
      </c>
      <c r="U35" s="29">
        <v>45784</v>
      </c>
      <c r="V35" s="188">
        <v>45784</v>
      </c>
      <c r="W35" s="235" t="s">
        <v>136</v>
      </c>
      <c r="X35" s="230">
        <v>45790</v>
      </c>
      <c r="Y35" s="19">
        <v>45790</v>
      </c>
      <c r="Z35" s="92"/>
    </row>
    <row r="36" spans="1:26" s="9" customFormat="1" ht="31.5">
      <c r="A36" s="33">
        <f t="shared" si="0"/>
        <v>30</v>
      </c>
      <c r="B36" s="33" t="str">
        <f t="shared" si="3"/>
        <v>5.10</v>
      </c>
      <c r="C36" s="137" t="s">
        <v>342</v>
      </c>
      <c r="D36" s="25" t="s">
        <v>339</v>
      </c>
      <c r="E36" s="174">
        <f t="shared" si="8"/>
        <v>45820</v>
      </c>
      <c r="F36" s="31" t="s">
        <v>340</v>
      </c>
      <c r="G36" s="21" t="s">
        <v>341</v>
      </c>
      <c r="H36" s="138" t="s">
        <v>6</v>
      </c>
      <c r="I36" s="164">
        <f t="shared" si="9"/>
        <v>36</v>
      </c>
      <c r="J36" s="47">
        <f t="shared" si="10"/>
        <v>15</v>
      </c>
      <c r="K36" s="164"/>
      <c r="L36" s="40" t="s">
        <v>8</v>
      </c>
      <c r="M36" s="41" t="s">
        <v>8</v>
      </c>
      <c r="N36" s="40" t="s">
        <v>8</v>
      </c>
      <c r="O36" s="41" t="s">
        <v>8</v>
      </c>
      <c r="P36" s="40" t="s">
        <v>8</v>
      </c>
      <c r="Q36" s="154" t="s">
        <v>74</v>
      </c>
      <c r="R36" s="27">
        <v>45785</v>
      </c>
      <c r="S36" s="27">
        <v>45785</v>
      </c>
      <c r="T36" s="188">
        <v>45799</v>
      </c>
      <c r="U36" s="29">
        <v>45824</v>
      </c>
      <c r="V36" s="188">
        <v>45835</v>
      </c>
      <c r="W36" s="235" t="s">
        <v>240</v>
      </c>
      <c r="X36" s="230">
        <v>45838</v>
      </c>
      <c r="Y36" s="19">
        <v>45840</v>
      </c>
      <c r="Z36" s="92" t="s">
        <v>888</v>
      </c>
    </row>
    <row r="37" spans="1:26" s="9" customFormat="1" ht="47.25">
      <c r="A37" s="33">
        <f t="shared" si="0"/>
        <v>31</v>
      </c>
      <c r="B37" s="33" t="str">
        <f t="shared" si="3"/>
        <v>5.10</v>
      </c>
      <c r="C37" s="328" t="s">
        <v>151</v>
      </c>
      <c r="D37" s="25" t="s">
        <v>343</v>
      </c>
      <c r="E37" s="327">
        <f t="shared" si="8"/>
        <v>45807</v>
      </c>
      <c r="F37" s="31" t="s">
        <v>344</v>
      </c>
      <c r="G37" s="21" t="s">
        <v>345</v>
      </c>
      <c r="H37" s="138" t="s">
        <v>6</v>
      </c>
      <c r="I37" s="164">
        <f t="shared" si="9"/>
        <v>25</v>
      </c>
      <c r="J37" s="47">
        <f t="shared" si="10"/>
        <v>4</v>
      </c>
      <c r="K37" s="164"/>
      <c r="L37" s="40" t="s">
        <v>8</v>
      </c>
      <c r="M37" s="41" t="s">
        <v>8</v>
      </c>
      <c r="N37" s="40" t="s">
        <v>8</v>
      </c>
      <c r="O37" s="41" t="s">
        <v>8</v>
      </c>
      <c r="P37" s="40" t="s">
        <v>8</v>
      </c>
      <c r="Q37" s="154" t="s">
        <v>74</v>
      </c>
      <c r="R37" s="27">
        <v>45786</v>
      </c>
      <c r="S37" s="27">
        <v>45786</v>
      </c>
      <c r="T37" s="188">
        <v>45786</v>
      </c>
      <c r="U37" s="29">
        <v>45792</v>
      </c>
      <c r="V37" s="188">
        <v>45811</v>
      </c>
      <c r="W37" s="235" t="s">
        <v>136</v>
      </c>
      <c r="X37" s="230">
        <v>45820</v>
      </c>
      <c r="Y37" s="19">
        <v>45832</v>
      </c>
      <c r="Z37" s="92"/>
    </row>
    <row r="38" spans="1:26" s="9" customFormat="1" ht="94.5">
      <c r="A38" s="33">
        <f t="shared" si="0"/>
        <v>32</v>
      </c>
      <c r="B38" s="33" t="str">
        <f t="shared" si="3"/>
        <v>5.10</v>
      </c>
      <c r="C38" s="164" t="s">
        <v>197</v>
      </c>
      <c r="D38" s="25" t="s">
        <v>346</v>
      </c>
      <c r="E38" s="174">
        <f t="shared" si="8"/>
        <v>45813</v>
      </c>
      <c r="F38" s="31" t="s">
        <v>347</v>
      </c>
      <c r="G38" s="21" t="s">
        <v>348</v>
      </c>
      <c r="H38" s="138" t="s">
        <v>6</v>
      </c>
      <c r="I38" s="164">
        <f t="shared" si="9"/>
        <v>25</v>
      </c>
      <c r="J38" s="47">
        <f t="shared" si="10"/>
        <v>4</v>
      </c>
      <c r="K38" s="164"/>
      <c r="L38" s="40" t="s">
        <v>8</v>
      </c>
      <c r="M38" s="41" t="s">
        <v>8</v>
      </c>
      <c r="N38" s="40" t="s">
        <v>8</v>
      </c>
      <c r="O38" s="41" t="s">
        <v>8</v>
      </c>
      <c r="P38" s="40" t="s">
        <v>8</v>
      </c>
      <c r="Q38" s="154" t="s">
        <v>74</v>
      </c>
      <c r="R38" s="27">
        <v>45792</v>
      </c>
      <c r="S38" s="27">
        <v>45792</v>
      </c>
      <c r="T38" s="188">
        <v>45792</v>
      </c>
      <c r="U38" s="29">
        <v>45807</v>
      </c>
      <c r="V38" s="188">
        <v>45817</v>
      </c>
      <c r="W38" s="235" t="s">
        <v>136</v>
      </c>
      <c r="X38" s="230">
        <v>45835</v>
      </c>
      <c r="Y38" s="19">
        <v>45835</v>
      </c>
      <c r="Z38" s="92"/>
    </row>
    <row r="39" spans="1:26" s="9" customFormat="1" ht="78.75">
      <c r="A39" s="33">
        <f t="shared" si="0"/>
        <v>33</v>
      </c>
      <c r="B39" s="33" t="str">
        <f t="shared" si="3"/>
        <v>5.10</v>
      </c>
      <c r="C39" s="164" t="s">
        <v>857</v>
      </c>
      <c r="D39" s="25" t="s">
        <v>349</v>
      </c>
      <c r="E39" s="174">
        <f t="shared" si="8"/>
        <v>45832</v>
      </c>
      <c r="F39" s="31" t="s">
        <v>350</v>
      </c>
      <c r="G39" s="21" t="s">
        <v>351</v>
      </c>
      <c r="H39" s="138"/>
      <c r="I39" s="164">
        <f t="shared" ca="1" si="9"/>
        <v>498</v>
      </c>
      <c r="J39" s="47">
        <f t="shared" ca="1" si="10"/>
        <v>477</v>
      </c>
      <c r="K39" s="164"/>
      <c r="L39" s="40"/>
      <c r="M39" s="41"/>
      <c r="N39" s="40"/>
      <c r="O39" s="41"/>
      <c r="P39" s="40"/>
      <c r="Q39" s="154"/>
      <c r="R39" s="27">
        <v>45810</v>
      </c>
      <c r="S39" s="27">
        <v>45810</v>
      </c>
      <c r="T39" s="188">
        <v>45811</v>
      </c>
      <c r="U39" s="29"/>
      <c r="V39" s="188"/>
      <c r="W39" s="235"/>
      <c r="X39" s="230"/>
      <c r="Y39" s="19"/>
      <c r="Z39" s="92"/>
    </row>
    <row r="40" spans="1:26" s="9" customFormat="1" ht="47.25">
      <c r="A40" s="33">
        <f t="shared" si="0"/>
        <v>34</v>
      </c>
      <c r="B40" s="33" t="str">
        <f t="shared" si="3"/>
        <v>5.10</v>
      </c>
      <c r="C40" s="137" t="s">
        <v>131</v>
      </c>
      <c r="D40" s="25" t="s">
        <v>352</v>
      </c>
      <c r="E40" s="174">
        <f t="shared" si="8"/>
        <v>45832</v>
      </c>
      <c r="F40" s="31" t="s">
        <v>353</v>
      </c>
      <c r="G40" s="21" t="s">
        <v>354</v>
      </c>
      <c r="H40" s="138" t="s">
        <v>6</v>
      </c>
      <c r="I40" s="164">
        <f t="shared" si="9"/>
        <v>23</v>
      </c>
      <c r="J40" s="47">
        <f t="shared" si="10"/>
        <v>2</v>
      </c>
      <c r="K40" s="164"/>
      <c r="L40" s="40" t="s">
        <v>8</v>
      </c>
      <c r="M40" s="41" t="s">
        <v>8</v>
      </c>
      <c r="N40" s="40" t="s">
        <v>8</v>
      </c>
      <c r="O40" s="41" t="s">
        <v>8</v>
      </c>
      <c r="P40" s="40" t="s">
        <v>8</v>
      </c>
      <c r="Q40" s="154" t="s">
        <v>74</v>
      </c>
      <c r="R40" s="27">
        <v>45810</v>
      </c>
      <c r="S40" s="27">
        <v>45810</v>
      </c>
      <c r="T40" s="188">
        <v>45811</v>
      </c>
      <c r="U40" s="29">
        <v>45824</v>
      </c>
      <c r="V40" s="188">
        <v>45834</v>
      </c>
      <c r="W40" s="235" t="s">
        <v>190</v>
      </c>
      <c r="X40" s="230">
        <v>45841</v>
      </c>
      <c r="Y40" s="19">
        <v>45842</v>
      </c>
      <c r="Z40" s="92"/>
    </row>
    <row r="41" spans="1:26" s="9" customFormat="1" ht="31.5">
      <c r="A41" s="33">
        <f t="shared" si="0"/>
        <v>35</v>
      </c>
      <c r="B41" s="33" t="str">
        <f t="shared" si="3"/>
        <v>5.10</v>
      </c>
      <c r="C41" s="137" t="s">
        <v>151</v>
      </c>
      <c r="D41" s="25" t="s">
        <v>358</v>
      </c>
      <c r="E41" s="174">
        <f t="shared" si="8"/>
        <v>45840</v>
      </c>
      <c r="F41" s="31" t="s">
        <v>359</v>
      </c>
      <c r="G41" s="21" t="s">
        <v>360</v>
      </c>
      <c r="H41" s="138" t="s">
        <v>6</v>
      </c>
      <c r="I41" s="164">
        <f t="shared" si="9"/>
        <v>12</v>
      </c>
      <c r="J41" s="47">
        <f t="shared" si="10"/>
        <v>0</v>
      </c>
      <c r="K41" s="164"/>
      <c r="L41" s="40" t="s">
        <v>8</v>
      </c>
      <c r="M41" s="41" t="s">
        <v>8</v>
      </c>
      <c r="N41" s="40" t="s">
        <v>8</v>
      </c>
      <c r="O41" s="41" t="s">
        <v>8</v>
      </c>
      <c r="P41" s="40" t="s">
        <v>8</v>
      </c>
      <c r="Q41" s="154" t="s">
        <v>74</v>
      </c>
      <c r="R41" s="27">
        <v>45819</v>
      </c>
      <c r="S41" s="27">
        <v>45819</v>
      </c>
      <c r="T41" s="188">
        <v>45819</v>
      </c>
      <c r="U41" s="29">
        <v>45831</v>
      </c>
      <c r="V41" s="188">
        <v>45831</v>
      </c>
      <c r="W41" s="235" t="s">
        <v>240</v>
      </c>
      <c r="X41" s="230">
        <v>45849</v>
      </c>
      <c r="Y41" s="19">
        <v>45853</v>
      </c>
      <c r="Z41" s="92"/>
    </row>
    <row r="42" spans="1:26" s="9" customFormat="1" ht="47.25">
      <c r="A42" s="33">
        <f t="shared" si="0"/>
        <v>36</v>
      </c>
      <c r="B42" s="33" t="str">
        <f t="shared" si="3"/>
        <v>5.10</v>
      </c>
      <c r="C42" s="137" t="s">
        <v>342</v>
      </c>
      <c r="D42" s="25" t="s">
        <v>361</v>
      </c>
      <c r="E42" s="174">
        <f t="shared" si="8"/>
        <v>45845</v>
      </c>
      <c r="F42" s="31" t="s">
        <v>362</v>
      </c>
      <c r="G42" s="21" t="s">
        <v>363</v>
      </c>
      <c r="H42" s="138" t="s">
        <v>6</v>
      </c>
      <c r="I42" s="164">
        <f t="shared" si="9"/>
        <v>80</v>
      </c>
      <c r="J42" s="47">
        <f t="shared" si="10"/>
        <v>59</v>
      </c>
      <c r="K42" s="164"/>
      <c r="L42" s="40" t="s">
        <v>8</v>
      </c>
      <c r="M42" s="41" t="s">
        <v>8</v>
      </c>
      <c r="N42" s="40" t="s">
        <v>8</v>
      </c>
      <c r="O42" s="41" t="s">
        <v>8</v>
      </c>
      <c r="P42" s="40" t="s">
        <v>8</v>
      </c>
      <c r="Q42" s="154" t="s">
        <v>74</v>
      </c>
      <c r="R42" s="27">
        <v>45824</v>
      </c>
      <c r="S42" s="27">
        <v>45824</v>
      </c>
      <c r="T42" s="188">
        <v>45824</v>
      </c>
      <c r="U42" s="29">
        <v>45847</v>
      </c>
      <c r="V42" s="188">
        <v>45904</v>
      </c>
      <c r="W42" s="235" t="s">
        <v>190</v>
      </c>
      <c r="X42" s="230">
        <v>45916</v>
      </c>
      <c r="Y42" s="19">
        <v>45869</v>
      </c>
      <c r="Z42" s="92"/>
    </row>
    <row r="43" spans="1:26" s="9" customFormat="1" ht="78.75">
      <c r="A43" s="33">
        <f t="shared" si="0"/>
        <v>37</v>
      </c>
      <c r="B43" s="33" t="str">
        <f t="shared" si="3"/>
        <v>5.10</v>
      </c>
      <c r="C43" s="137"/>
      <c r="D43" s="25" t="s">
        <v>364</v>
      </c>
      <c r="E43" s="174">
        <f t="shared" si="8"/>
        <v>45849</v>
      </c>
      <c r="F43" s="31" t="s">
        <v>365</v>
      </c>
      <c r="G43" s="21" t="s">
        <v>366</v>
      </c>
      <c r="H43" s="138" t="s">
        <v>6</v>
      </c>
      <c r="I43" s="164">
        <f t="shared" si="9"/>
        <v>5</v>
      </c>
      <c r="J43" s="47">
        <f t="shared" si="10"/>
        <v>0</v>
      </c>
      <c r="K43" s="164"/>
      <c r="L43" s="40" t="s">
        <v>8</v>
      </c>
      <c r="M43" s="41" t="s">
        <v>8</v>
      </c>
      <c r="N43" s="40" t="s">
        <v>8</v>
      </c>
      <c r="O43" s="41" t="s">
        <v>8</v>
      </c>
      <c r="P43" s="40" t="s">
        <v>8</v>
      </c>
      <c r="Q43" s="154" t="s">
        <v>74</v>
      </c>
      <c r="R43" s="27">
        <v>45825</v>
      </c>
      <c r="S43" s="27">
        <v>45825</v>
      </c>
      <c r="T43" s="188">
        <v>45828</v>
      </c>
      <c r="U43" s="29">
        <v>45833</v>
      </c>
      <c r="V43" s="188">
        <v>45833</v>
      </c>
      <c r="W43" s="235" t="s">
        <v>190</v>
      </c>
      <c r="X43" s="230">
        <v>45868</v>
      </c>
      <c r="Y43" s="19">
        <v>45869</v>
      </c>
      <c r="Z43" s="188" t="s">
        <v>889</v>
      </c>
    </row>
    <row r="44" spans="1:26" s="9" customFormat="1" ht="47.25">
      <c r="A44" s="33">
        <f t="shared" si="0"/>
        <v>38</v>
      </c>
      <c r="B44" s="33" t="str">
        <f t="shared" si="3"/>
        <v>5.10</v>
      </c>
      <c r="C44" s="137" t="s">
        <v>144</v>
      </c>
      <c r="D44" s="25" t="s">
        <v>367</v>
      </c>
      <c r="E44" s="174">
        <f t="shared" si="8"/>
        <v>45860</v>
      </c>
      <c r="F44" s="31" t="s">
        <v>368</v>
      </c>
      <c r="G44" s="21" t="s">
        <v>239</v>
      </c>
      <c r="H44" s="138" t="s">
        <v>6</v>
      </c>
      <c r="I44" s="164">
        <f t="shared" si="9"/>
        <v>16</v>
      </c>
      <c r="J44" s="47">
        <f t="shared" si="10"/>
        <v>0</v>
      </c>
      <c r="K44" s="164"/>
      <c r="L44" s="40" t="s">
        <v>8</v>
      </c>
      <c r="M44" s="41" t="s">
        <v>8</v>
      </c>
      <c r="N44" s="40" t="s">
        <v>8</v>
      </c>
      <c r="O44" s="41" t="s">
        <v>8</v>
      </c>
      <c r="P44" s="40"/>
      <c r="Q44" s="151"/>
      <c r="R44" s="27">
        <v>45839</v>
      </c>
      <c r="S44" s="27">
        <v>45839</v>
      </c>
      <c r="T44" s="188">
        <v>45839</v>
      </c>
      <c r="U44" s="29">
        <v>45852</v>
      </c>
      <c r="V44" s="188">
        <v>45855</v>
      </c>
      <c r="W44" s="235" t="s">
        <v>190</v>
      </c>
      <c r="X44" s="230"/>
      <c r="Y44" s="19"/>
      <c r="Z44" s="92"/>
    </row>
    <row r="45" spans="1:26" s="9" customFormat="1" ht="141.75">
      <c r="A45" s="33">
        <f t="shared" si="0"/>
        <v>39</v>
      </c>
      <c r="B45" s="33" t="str">
        <f t="shared" si="3"/>
        <v>5.10</v>
      </c>
      <c r="C45" s="137" t="s">
        <v>372</v>
      </c>
      <c r="D45" s="25" t="s">
        <v>369</v>
      </c>
      <c r="E45" s="174">
        <f t="shared" si="8"/>
        <v>45862</v>
      </c>
      <c r="F45" s="31" t="s">
        <v>370</v>
      </c>
      <c r="G45" s="21" t="s">
        <v>371</v>
      </c>
      <c r="H45" s="138" t="s">
        <v>6</v>
      </c>
      <c r="I45" s="164">
        <f t="shared" si="9"/>
        <v>5</v>
      </c>
      <c r="J45" s="47">
        <f t="shared" si="10"/>
        <v>0</v>
      </c>
      <c r="K45" s="164"/>
      <c r="L45" s="40" t="s">
        <v>8</v>
      </c>
      <c r="M45" s="41" t="s">
        <v>8</v>
      </c>
      <c r="N45" s="40" t="s">
        <v>8</v>
      </c>
      <c r="O45" s="41" t="s">
        <v>8</v>
      </c>
      <c r="P45" s="40" t="s">
        <v>8</v>
      </c>
      <c r="Q45" s="154" t="s">
        <v>74</v>
      </c>
      <c r="R45" s="27">
        <v>45841</v>
      </c>
      <c r="S45" s="27">
        <v>45841</v>
      </c>
      <c r="T45" s="188">
        <v>45841</v>
      </c>
      <c r="U45" s="29">
        <v>45846</v>
      </c>
      <c r="V45" s="188">
        <v>45846</v>
      </c>
      <c r="W45" s="235" t="s">
        <v>190</v>
      </c>
      <c r="X45" s="230">
        <v>45959</v>
      </c>
      <c r="Y45" s="19">
        <v>45965</v>
      </c>
      <c r="Z45" s="92"/>
    </row>
    <row r="46" spans="1:26" s="9" customFormat="1" ht="63">
      <c r="A46" s="33">
        <f t="shared" si="0"/>
        <v>40</v>
      </c>
      <c r="B46" s="33" t="str">
        <f t="shared" si="3"/>
        <v>5.10</v>
      </c>
      <c r="C46" s="164" t="s">
        <v>376</v>
      </c>
      <c r="D46" s="25" t="s">
        <v>373</v>
      </c>
      <c r="E46" s="174">
        <f t="shared" si="8"/>
        <v>45875</v>
      </c>
      <c r="F46" s="31" t="s">
        <v>374</v>
      </c>
      <c r="G46" s="21" t="s">
        <v>375</v>
      </c>
      <c r="H46" s="138" t="s">
        <v>6</v>
      </c>
      <c r="I46" s="164">
        <f t="shared" si="9"/>
        <v>16</v>
      </c>
      <c r="J46" s="47">
        <f t="shared" si="10"/>
        <v>0</v>
      </c>
      <c r="K46" s="164"/>
      <c r="L46" s="40" t="s">
        <v>8</v>
      </c>
      <c r="M46" s="41" t="s">
        <v>8</v>
      </c>
      <c r="N46" s="40" t="s">
        <v>8</v>
      </c>
      <c r="O46" s="41" t="s">
        <v>8</v>
      </c>
      <c r="P46" s="40" t="s">
        <v>8</v>
      </c>
      <c r="Q46" s="154" t="s">
        <v>74</v>
      </c>
      <c r="R46" s="27">
        <v>45854</v>
      </c>
      <c r="S46" s="27">
        <v>45854</v>
      </c>
      <c r="T46" s="188">
        <v>45854</v>
      </c>
      <c r="U46" s="29">
        <v>45867</v>
      </c>
      <c r="V46" s="188">
        <v>45870</v>
      </c>
      <c r="W46" s="235" t="s">
        <v>190</v>
      </c>
      <c r="X46" s="230">
        <v>45938</v>
      </c>
      <c r="Y46" s="19">
        <v>45940</v>
      </c>
      <c r="Z46" s="92"/>
    </row>
    <row r="47" spans="1:26" s="9" customFormat="1" ht="47.25">
      <c r="A47" s="33">
        <f t="shared" si="0"/>
        <v>41</v>
      </c>
      <c r="B47" s="33" t="str">
        <f t="shared" si="3"/>
        <v>5.10</v>
      </c>
      <c r="C47" s="137" t="s">
        <v>195</v>
      </c>
      <c r="D47" s="25" t="s">
        <v>377</v>
      </c>
      <c r="E47" s="174">
        <f t="shared" si="8"/>
        <v>45846</v>
      </c>
      <c r="F47" s="31" t="s">
        <v>378</v>
      </c>
      <c r="G47" s="21" t="s">
        <v>379</v>
      </c>
      <c r="H47" s="138" t="s">
        <v>6</v>
      </c>
      <c r="I47" s="164">
        <f t="shared" si="9"/>
        <v>41</v>
      </c>
      <c r="J47" s="47">
        <f t="shared" si="10"/>
        <v>20</v>
      </c>
      <c r="K47" s="164"/>
      <c r="L47" s="40" t="s">
        <v>8</v>
      </c>
      <c r="M47" s="41" t="s">
        <v>8</v>
      </c>
      <c r="N47" s="40" t="s">
        <v>8</v>
      </c>
      <c r="O47" s="41" t="s">
        <v>8</v>
      </c>
      <c r="P47" s="40" t="s">
        <v>8</v>
      </c>
      <c r="Q47" s="154" t="s">
        <v>74</v>
      </c>
      <c r="R47" s="27">
        <v>45819</v>
      </c>
      <c r="S47" s="27">
        <v>45819</v>
      </c>
      <c r="T47" s="188">
        <v>45825</v>
      </c>
      <c r="U47" s="29">
        <v>45846</v>
      </c>
      <c r="V47" s="188">
        <v>45866</v>
      </c>
      <c r="W47" s="235" t="s">
        <v>190</v>
      </c>
      <c r="X47" s="230">
        <v>45870</v>
      </c>
      <c r="Y47" s="19">
        <v>45873</v>
      </c>
      <c r="Z47" s="92"/>
    </row>
    <row r="48" spans="1:26" s="9" customFormat="1" ht="31.5">
      <c r="A48" s="33">
        <f t="shared" si="0"/>
        <v>42</v>
      </c>
      <c r="B48" s="33" t="str">
        <f t="shared" si="3"/>
        <v>5.10</v>
      </c>
      <c r="C48" s="137" t="s">
        <v>195</v>
      </c>
      <c r="D48" s="25" t="s">
        <v>380</v>
      </c>
      <c r="E48" s="174">
        <f t="shared" si="8"/>
        <v>45887</v>
      </c>
      <c r="F48" s="31" t="s">
        <v>381</v>
      </c>
      <c r="G48" s="21" t="s">
        <v>246</v>
      </c>
      <c r="H48" s="138" t="s">
        <v>6</v>
      </c>
      <c r="I48" s="164">
        <f t="shared" si="9"/>
        <v>9</v>
      </c>
      <c r="J48" s="47">
        <f t="shared" si="10"/>
        <v>0</v>
      </c>
      <c r="K48" s="164"/>
      <c r="L48" s="40" t="s">
        <v>8</v>
      </c>
      <c r="M48" s="41" t="s">
        <v>8</v>
      </c>
      <c r="N48" s="40" t="s">
        <v>8</v>
      </c>
      <c r="O48" s="41" t="s">
        <v>8</v>
      </c>
      <c r="P48" s="40" t="s">
        <v>8</v>
      </c>
      <c r="Q48" s="154" t="s">
        <v>74</v>
      </c>
      <c r="R48" s="27">
        <v>45826</v>
      </c>
      <c r="S48" s="27">
        <v>45826</v>
      </c>
      <c r="T48" s="188">
        <v>45866</v>
      </c>
      <c r="U48" s="29">
        <v>45875</v>
      </c>
      <c r="V48" s="188">
        <v>45875</v>
      </c>
      <c r="W48" s="235" t="s">
        <v>190</v>
      </c>
      <c r="X48" s="230">
        <v>45931</v>
      </c>
      <c r="Y48" s="19">
        <v>45933</v>
      </c>
      <c r="Z48" s="92" t="s">
        <v>890</v>
      </c>
    </row>
    <row r="49" spans="1:26" s="9" customFormat="1" ht="47.25">
      <c r="A49" s="33">
        <f t="shared" si="0"/>
        <v>43</v>
      </c>
      <c r="B49" s="33" t="str">
        <f t="shared" si="3"/>
        <v>5.10</v>
      </c>
      <c r="C49" s="137" t="s">
        <v>197</v>
      </c>
      <c r="D49" s="25" t="s">
        <v>382</v>
      </c>
      <c r="E49" s="174">
        <f t="shared" si="8"/>
        <v>45877</v>
      </c>
      <c r="F49" s="31" t="s">
        <v>383</v>
      </c>
      <c r="G49" s="21" t="s">
        <v>384</v>
      </c>
      <c r="H49" s="138" t="s">
        <v>6</v>
      </c>
      <c r="I49" s="164">
        <f t="shared" si="9"/>
        <v>32</v>
      </c>
      <c r="J49" s="47">
        <f t="shared" si="10"/>
        <v>11</v>
      </c>
      <c r="K49" s="164"/>
      <c r="L49" s="40" t="s">
        <v>8</v>
      </c>
      <c r="M49" s="41" t="s">
        <v>8</v>
      </c>
      <c r="N49" s="40" t="s">
        <v>8</v>
      </c>
      <c r="O49" s="41" t="s">
        <v>8</v>
      </c>
      <c r="P49" s="40" t="s">
        <v>8</v>
      </c>
      <c r="Q49" s="154" t="s">
        <v>74</v>
      </c>
      <c r="R49" s="27">
        <v>45855</v>
      </c>
      <c r="S49" s="27">
        <v>45855</v>
      </c>
      <c r="T49" s="188">
        <v>45856</v>
      </c>
      <c r="U49" s="29">
        <v>45813</v>
      </c>
      <c r="V49" s="188">
        <v>45888</v>
      </c>
      <c r="W49" s="235" t="s">
        <v>190</v>
      </c>
      <c r="X49" s="230">
        <v>45904</v>
      </c>
      <c r="Y49" s="19">
        <v>45905</v>
      </c>
      <c r="Z49" s="92"/>
    </row>
    <row r="50" spans="1:26" s="9" customFormat="1" ht="63">
      <c r="A50" s="33">
        <f t="shared" si="0"/>
        <v>44</v>
      </c>
      <c r="B50" s="33" t="str">
        <f t="shared" si="3"/>
        <v>5.10</v>
      </c>
      <c r="C50" s="137" t="s">
        <v>131</v>
      </c>
      <c r="D50" s="25" t="s">
        <v>385</v>
      </c>
      <c r="E50" s="174"/>
      <c r="F50" s="31" t="s">
        <v>386</v>
      </c>
      <c r="G50" s="21" t="s">
        <v>387</v>
      </c>
      <c r="H50" s="138"/>
      <c r="I50" s="164"/>
      <c r="J50" s="47"/>
      <c r="K50" s="164" t="s">
        <v>13</v>
      </c>
      <c r="L50" s="40"/>
      <c r="M50" s="41"/>
      <c r="N50" s="40"/>
      <c r="O50" s="41"/>
      <c r="P50" s="40"/>
      <c r="Q50" s="154"/>
      <c r="R50" s="27">
        <v>45859</v>
      </c>
      <c r="S50" s="27">
        <v>45859</v>
      </c>
      <c r="T50" s="188">
        <v>45859</v>
      </c>
      <c r="U50" s="29"/>
      <c r="V50" s="188"/>
      <c r="W50" s="235"/>
      <c r="X50" s="230"/>
      <c r="Y50" s="19"/>
      <c r="Z50" s="92" t="s">
        <v>388</v>
      </c>
    </row>
    <row r="51" spans="1:26" s="9" customFormat="1" ht="31.5">
      <c r="A51" s="33">
        <f t="shared" si="0"/>
        <v>45</v>
      </c>
      <c r="B51" s="33" t="str">
        <f t="shared" si="3"/>
        <v>5.10</v>
      </c>
      <c r="C51" s="137" t="s">
        <v>151</v>
      </c>
      <c r="D51" s="25" t="s">
        <v>389</v>
      </c>
      <c r="E51" s="174">
        <f t="shared" ref="E51:E68" si="11">IF($T51=0,$S51+22,$T51+21)</f>
        <v>45883</v>
      </c>
      <c r="F51" s="31" t="s">
        <v>390</v>
      </c>
      <c r="G51" s="21" t="s">
        <v>391</v>
      </c>
      <c r="H51" s="138" t="s">
        <v>6</v>
      </c>
      <c r="I51" s="164">
        <f t="shared" ref="I51:I68" si="12">IF(ISBLANK($V51),_xlfn.DAYS($I$1,$T51),_xlfn.DAYS($V51,$T51))</f>
        <v>20</v>
      </c>
      <c r="J51" s="47">
        <f t="shared" ref="J51:J68" si="13">IF(($I51-21)&gt;0,$I51-21,0)</f>
        <v>0</v>
      </c>
      <c r="K51" s="164"/>
      <c r="L51" s="40" t="s">
        <v>8</v>
      </c>
      <c r="M51" s="41" t="s">
        <v>8</v>
      </c>
      <c r="N51" s="40" t="s">
        <v>8</v>
      </c>
      <c r="O51" s="41" t="s">
        <v>8</v>
      </c>
      <c r="P51" s="40" t="s">
        <v>8</v>
      </c>
      <c r="Q51" s="154" t="s">
        <v>74</v>
      </c>
      <c r="R51" s="27">
        <v>45862</v>
      </c>
      <c r="S51" s="27">
        <v>45862</v>
      </c>
      <c r="T51" s="188">
        <v>45862</v>
      </c>
      <c r="U51" s="29">
        <v>45875</v>
      </c>
      <c r="V51" s="188">
        <v>45882</v>
      </c>
      <c r="W51" s="235" t="s">
        <v>190</v>
      </c>
      <c r="X51" s="230">
        <v>45889</v>
      </c>
      <c r="Y51" s="19">
        <v>45890</v>
      </c>
      <c r="Z51" s="92"/>
    </row>
    <row r="52" spans="1:26" s="9" customFormat="1" ht="63">
      <c r="A52" s="33">
        <f t="shared" si="0"/>
        <v>46</v>
      </c>
      <c r="B52" s="33" t="str">
        <f t="shared" si="3"/>
        <v>5.10</v>
      </c>
      <c r="C52" s="137" t="s">
        <v>131</v>
      </c>
      <c r="D52" s="25" t="s">
        <v>400</v>
      </c>
      <c r="E52" s="174">
        <f t="shared" si="11"/>
        <v>45905</v>
      </c>
      <c r="F52" s="31" t="s">
        <v>401</v>
      </c>
      <c r="G52" s="21" t="s">
        <v>402</v>
      </c>
      <c r="H52" s="138" t="s">
        <v>6</v>
      </c>
      <c r="I52" s="164">
        <f t="shared" si="12"/>
        <v>13</v>
      </c>
      <c r="J52" s="47">
        <f t="shared" si="13"/>
        <v>0</v>
      </c>
      <c r="K52" s="164"/>
      <c r="L52" s="40" t="s">
        <v>8</v>
      </c>
      <c r="M52" s="41" t="s">
        <v>8</v>
      </c>
      <c r="N52" s="40" t="s">
        <v>8</v>
      </c>
      <c r="O52" s="41" t="s">
        <v>8</v>
      </c>
      <c r="P52" s="40" t="s">
        <v>8</v>
      </c>
      <c r="Q52" s="154" t="s">
        <v>74</v>
      </c>
      <c r="R52" s="27">
        <v>45882</v>
      </c>
      <c r="S52" s="27">
        <v>45882</v>
      </c>
      <c r="T52" s="188">
        <v>45884</v>
      </c>
      <c r="U52" s="29">
        <v>45894</v>
      </c>
      <c r="V52" s="211">
        <v>45897</v>
      </c>
      <c r="W52" s="235" t="s">
        <v>190</v>
      </c>
      <c r="X52" s="230">
        <v>45909</v>
      </c>
      <c r="Y52" s="19">
        <v>45910</v>
      </c>
      <c r="Z52" s="92"/>
    </row>
    <row r="53" spans="1:26" s="9" customFormat="1" ht="47.25">
      <c r="A53" s="33">
        <f t="shared" si="0"/>
        <v>47</v>
      </c>
      <c r="B53" s="33" t="str">
        <f t="shared" si="3"/>
        <v>5.10</v>
      </c>
      <c r="C53" s="137" t="s">
        <v>195</v>
      </c>
      <c r="D53" s="25" t="s">
        <v>403</v>
      </c>
      <c r="E53" s="174">
        <f t="shared" si="11"/>
        <v>45931</v>
      </c>
      <c r="F53" s="31" t="s">
        <v>404</v>
      </c>
      <c r="G53" s="21" t="s">
        <v>405</v>
      </c>
      <c r="H53" s="138" t="s">
        <v>6</v>
      </c>
      <c r="I53" s="164">
        <f t="shared" si="12"/>
        <v>8</v>
      </c>
      <c r="J53" s="47">
        <f t="shared" si="13"/>
        <v>0</v>
      </c>
      <c r="K53" s="164"/>
      <c r="L53" s="40" t="s">
        <v>8</v>
      </c>
      <c r="M53" s="41" t="s">
        <v>8</v>
      </c>
      <c r="N53" s="40" t="s">
        <v>8</v>
      </c>
      <c r="O53" s="41" t="s">
        <v>8</v>
      </c>
      <c r="P53" s="40" t="s">
        <v>8</v>
      </c>
      <c r="Q53" s="154" t="s">
        <v>74</v>
      </c>
      <c r="R53" s="27">
        <v>45884</v>
      </c>
      <c r="S53" s="27">
        <v>45884</v>
      </c>
      <c r="T53" s="188">
        <v>45910</v>
      </c>
      <c r="U53" s="29">
        <v>45917</v>
      </c>
      <c r="V53" s="188">
        <v>45918</v>
      </c>
      <c r="W53" s="235" t="s">
        <v>190</v>
      </c>
      <c r="X53" s="230">
        <v>45937</v>
      </c>
      <c r="Y53" s="19">
        <v>45938</v>
      </c>
      <c r="Z53" s="92" t="s">
        <v>891</v>
      </c>
    </row>
    <row r="54" spans="1:26" s="9" customFormat="1" ht="78.75">
      <c r="A54" s="33">
        <f t="shared" si="0"/>
        <v>48</v>
      </c>
      <c r="B54" s="33" t="str">
        <f t="shared" si="3"/>
        <v>5.10</v>
      </c>
      <c r="C54" s="137"/>
      <c r="D54" s="25" t="s">
        <v>406</v>
      </c>
      <c r="E54" s="174">
        <f t="shared" si="11"/>
        <v>45943</v>
      </c>
      <c r="F54" s="31" t="s">
        <v>407</v>
      </c>
      <c r="G54" s="21" t="s">
        <v>408</v>
      </c>
      <c r="H54" s="138" t="s">
        <v>6</v>
      </c>
      <c r="I54" s="164">
        <f t="shared" si="12"/>
        <v>36</v>
      </c>
      <c r="J54" s="47">
        <f t="shared" si="13"/>
        <v>15</v>
      </c>
      <c r="K54" s="164"/>
      <c r="L54" s="40" t="s">
        <v>8</v>
      </c>
      <c r="M54" s="41" t="s">
        <v>8</v>
      </c>
      <c r="N54" s="40" t="s">
        <v>8</v>
      </c>
      <c r="O54" s="41" t="s">
        <v>8</v>
      </c>
      <c r="P54" s="156" t="s">
        <v>8</v>
      </c>
      <c r="Q54" s="154" t="s">
        <v>74</v>
      </c>
      <c r="R54" s="27">
        <v>45922</v>
      </c>
      <c r="S54" s="27">
        <v>45922</v>
      </c>
      <c r="T54" s="188">
        <v>45922</v>
      </c>
      <c r="U54" s="29">
        <v>45933</v>
      </c>
      <c r="V54" s="188">
        <v>45958</v>
      </c>
      <c r="W54" s="235" t="s">
        <v>145</v>
      </c>
      <c r="X54" s="230">
        <v>45988</v>
      </c>
      <c r="Y54" s="19">
        <v>45993</v>
      </c>
      <c r="Z54" s="92"/>
    </row>
    <row r="55" spans="1:26" s="9" customFormat="1" ht="47.25">
      <c r="A55" s="33">
        <f t="shared" si="0"/>
        <v>49</v>
      </c>
      <c r="B55" s="33" t="str">
        <f t="shared" si="3"/>
        <v>5.10</v>
      </c>
      <c r="C55" s="137" t="s">
        <v>197</v>
      </c>
      <c r="D55" s="25" t="s">
        <v>418</v>
      </c>
      <c r="E55" s="174">
        <f t="shared" si="11"/>
        <v>45925</v>
      </c>
      <c r="F55" s="31" t="s">
        <v>419</v>
      </c>
      <c r="G55" s="21" t="s">
        <v>420</v>
      </c>
      <c r="H55" s="138" t="s">
        <v>6</v>
      </c>
      <c r="I55" s="164">
        <f t="shared" si="12"/>
        <v>36</v>
      </c>
      <c r="J55" s="47">
        <f t="shared" si="13"/>
        <v>15</v>
      </c>
      <c r="K55" s="164"/>
      <c r="L55" s="40" t="s">
        <v>8</v>
      </c>
      <c r="M55" s="41" t="s">
        <v>8</v>
      </c>
      <c r="N55" s="40" t="s">
        <v>8</v>
      </c>
      <c r="O55" s="41" t="s">
        <v>8</v>
      </c>
      <c r="P55" s="40" t="s">
        <v>8</v>
      </c>
      <c r="Q55" s="154" t="s">
        <v>74</v>
      </c>
      <c r="R55" s="27">
        <v>45904</v>
      </c>
      <c r="S55" s="27">
        <v>45904</v>
      </c>
      <c r="T55" s="188">
        <v>45904</v>
      </c>
      <c r="U55" s="29">
        <v>45835</v>
      </c>
      <c r="V55" s="188">
        <v>45940</v>
      </c>
      <c r="W55" s="235" t="s">
        <v>240</v>
      </c>
      <c r="X55" s="230">
        <v>45961</v>
      </c>
      <c r="Y55" s="19">
        <v>45965</v>
      </c>
      <c r="Z55" s="92"/>
    </row>
    <row r="56" spans="1:26" s="9" customFormat="1" ht="47.25">
      <c r="A56" s="33">
        <f t="shared" si="0"/>
        <v>50</v>
      </c>
      <c r="B56" s="33" t="str">
        <f t="shared" si="3"/>
        <v>5.10</v>
      </c>
      <c r="C56" s="137" t="s">
        <v>144</v>
      </c>
      <c r="D56" s="25" t="s">
        <v>427</v>
      </c>
      <c r="E56" s="174">
        <f t="shared" si="11"/>
        <v>45994</v>
      </c>
      <c r="F56" s="31" t="s">
        <v>428</v>
      </c>
      <c r="G56" s="21" t="s">
        <v>429</v>
      </c>
      <c r="H56" s="138" t="s">
        <v>6</v>
      </c>
      <c r="I56" s="164">
        <f t="shared" si="12"/>
        <v>2</v>
      </c>
      <c r="J56" s="47">
        <f t="shared" si="13"/>
        <v>0</v>
      </c>
      <c r="K56" s="164"/>
      <c r="L56" s="40" t="s">
        <v>8</v>
      </c>
      <c r="M56" s="41" t="s">
        <v>8</v>
      </c>
      <c r="N56" s="40" t="s">
        <v>8</v>
      </c>
      <c r="O56" s="41" t="s">
        <v>8</v>
      </c>
      <c r="P56" s="40" t="s">
        <v>8</v>
      </c>
      <c r="Q56" s="154" t="s">
        <v>74</v>
      </c>
      <c r="R56" s="27">
        <v>45917</v>
      </c>
      <c r="S56" s="27">
        <v>45917</v>
      </c>
      <c r="T56" s="188">
        <v>45973</v>
      </c>
      <c r="U56" s="29">
        <v>45933</v>
      </c>
      <c r="V56" s="188">
        <v>45975</v>
      </c>
      <c r="W56" s="235" t="s">
        <v>190</v>
      </c>
      <c r="X56" s="230">
        <v>45974</v>
      </c>
      <c r="Y56" s="19">
        <v>45979</v>
      </c>
      <c r="Z56" s="92" t="s">
        <v>892</v>
      </c>
    </row>
    <row r="57" spans="1:26" s="9" customFormat="1" ht="63">
      <c r="A57" s="33">
        <f t="shared" si="0"/>
        <v>51</v>
      </c>
      <c r="B57" s="33" t="str">
        <f t="shared" si="3"/>
        <v>5.10</v>
      </c>
      <c r="C57" s="137" t="s">
        <v>342</v>
      </c>
      <c r="D57" s="25" t="s">
        <v>430</v>
      </c>
      <c r="E57" s="174">
        <f t="shared" si="11"/>
        <v>45952</v>
      </c>
      <c r="F57" s="31" t="s">
        <v>431</v>
      </c>
      <c r="G57" s="21" t="s">
        <v>432</v>
      </c>
      <c r="H57" s="138" t="s">
        <v>6</v>
      </c>
      <c r="I57" s="164">
        <f t="shared" si="12"/>
        <v>50</v>
      </c>
      <c r="J57" s="47">
        <f t="shared" si="13"/>
        <v>29</v>
      </c>
      <c r="K57" s="164"/>
      <c r="L57" s="40" t="s">
        <v>8</v>
      </c>
      <c r="M57" s="41" t="s">
        <v>8</v>
      </c>
      <c r="N57" s="40" t="s">
        <v>8</v>
      </c>
      <c r="O57" s="41" t="s">
        <v>8</v>
      </c>
      <c r="P57" s="40" t="s">
        <v>8</v>
      </c>
      <c r="Q57" s="154" t="s">
        <v>74</v>
      </c>
      <c r="R57" s="27">
        <v>45930</v>
      </c>
      <c r="S57" s="27">
        <v>45930</v>
      </c>
      <c r="T57" s="188">
        <v>45931</v>
      </c>
      <c r="U57" s="29">
        <v>45944</v>
      </c>
      <c r="V57" s="188">
        <v>45981</v>
      </c>
      <c r="W57" s="235" t="s">
        <v>190</v>
      </c>
      <c r="X57" s="230">
        <v>46016</v>
      </c>
      <c r="Y57" s="19">
        <v>46020</v>
      </c>
      <c r="Z57" s="92"/>
    </row>
    <row r="58" spans="1:26" s="9" customFormat="1" ht="47.25">
      <c r="A58" s="33">
        <f t="shared" si="0"/>
        <v>52</v>
      </c>
      <c r="B58" s="33" t="str">
        <f t="shared" si="3"/>
        <v>5.10</v>
      </c>
      <c r="C58" s="137" t="s">
        <v>131</v>
      </c>
      <c r="D58" s="25" t="s">
        <v>433</v>
      </c>
      <c r="E58" s="174">
        <f t="shared" si="11"/>
        <v>45952</v>
      </c>
      <c r="F58" s="31" t="s">
        <v>434</v>
      </c>
      <c r="G58" s="21" t="s">
        <v>435</v>
      </c>
      <c r="H58" s="138" t="s">
        <v>6</v>
      </c>
      <c r="I58" s="164">
        <f t="shared" si="12"/>
        <v>34</v>
      </c>
      <c r="J58" s="47">
        <f t="shared" si="13"/>
        <v>13</v>
      </c>
      <c r="K58" s="164"/>
      <c r="L58" s="40" t="s">
        <v>8</v>
      </c>
      <c r="M58" s="41" t="s">
        <v>8</v>
      </c>
      <c r="N58" s="40" t="s">
        <v>8</v>
      </c>
      <c r="O58" s="41" t="s">
        <v>8</v>
      </c>
      <c r="P58" s="40" t="s">
        <v>8</v>
      </c>
      <c r="Q58" s="154" t="s">
        <v>74</v>
      </c>
      <c r="R58" s="27">
        <v>45930</v>
      </c>
      <c r="S58" s="27">
        <v>45930</v>
      </c>
      <c r="T58" s="188">
        <v>45931</v>
      </c>
      <c r="U58" s="29">
        <v>45951</v>
      </c>
      <c r="V58" s="188">
        <v>45965</v>
      </c>
      <c r="W58" s="235" t="s">
        <v>190</v>
      </c>
      <c r="X58" s="230">
        <v>45971</v>
      </c>
      <c r="Y58" s="19">
        <v>45972</v>
      </c>
      <c r="Z58" s="92"/>
    </row>
    <row r="59" spans="1:26" s="9" customFormat="1" ht="63">
      <c r="A59" s="33">
        <f t="shared" si="0"/>
        <v>53</v>
      </c>
      <c r="B59" s="33" t="str">
        <f t="shared" si="3"/>
        <v>5.10</v>
      </c>
      <c r="C59" s="137" t="s">
        <v>197</v>
      </c>
      <c r="D59" s="25" t="s">
        <v>436</v>
      </c>
      <c r="E59" s="174">
        <f t="shared" si="11"/>
        <v>45960</v>
      </c>
      <c r="F59" s="31" t="s">
        <v>437</v>
      </c>
      <c r="G59" s="21" t="s">
        <v>438</v>
      </c>
      <c r="H59" s="138" t="s">
        <v>6</v>
      </c>
      <c r="I59" s="164">
        <f t="shared" si="12"/>
        <v>6</v>
      </c>
      <c r="J59" s="47">
        <f t="shared" si="13"/>
        <v>0</v>
      </c>
      <c r="K59" s="164"/>
      <c r="L59" s="40" t="s">
        <v>8</v>
      </c>
      <c r="M59" s="41" t="s">
        <v>8</v>
      </c>
      <c r="N59" s="40" t="s">
        <v>8</v>
      </c>
      <c r="O59" s="41" t="s">
        <v>8</v>
      </c>
      <c r="P59" s="40" t="s">
        <v>8</v>
      </c>
      <c r="Q59" s="154" t="s">
        <v>74</v>
      </c>
      <c r="R59" s="27">
        <v>45939</v>
      </c>
      <c r="S59" s="27">
        <v>45939</v>
      </c>
      <c r="T59" s="188">
        <v>45939</v>
      </c>
      <c r="U59" s="29">
        <v>45861</v>
      </c>
      <c r="V59" s="211">
        <v>45945</v>
      </c>
      <c r="W59" s="235" t="s">
        <v>190</v>
      </c>
      <c r="X59" s="230">
        <v>45971</v>
      </c>
      <c r="Y59" s="19">
        <v>45972</v>
      </c>
      <c r="Z59" s="92"/>
    </row>
    <row r="60" spans="1:26" s="9" customFormat="1" ht="63">
      <c r="A60" s="33">
        <f t="shared" si="0"/>
        <v>54</v>
      </c>
      <c r="B60" s="33" t="str">
        <f t="shared" si="3"/>
        <v>5.10</v>
      </c>
      <c r="C60" s="164" t="s">
        <v>442</v>
      </c>
      <c r="D60" s="25" t="s">
        <v>439</v>
      </c>
      <c r="E60" s="174">
        <f t="shared" si="11"/>
        <v>45964</v>
      </c>
      <c r="F60" s="31" t="s">
        <v>440</v>
      </c>
      <c r="G60" s="21" t="s">
        <v>441</v>
      </c>
      <c r="H60" s="138" t="s">
        <v>6</v>
      </c>
      <c r="I60" s="164">
        <f t="shared" si="12"/>
        <v>10</v>
      </c>
      <c r="J60" s="47">
        <f t="shared" si="13"/>
        <v>0</v>
      </c>
      <c r="K60" s="164"/>
      <c r="L60" s="40" t="s">
        <v>8</v>
      </c>
      <c r="M60" s="41" t="s">
        <v>8</v>
      </c>
      <c r="N60" s="40" t="s">
        <v>8</v>
      </c>
      <c r="O60" s="41" t="s">
        <v>8</v>
      </c>
      <c r="P60" s="40" t="s">
        <v>8</v>
      </c>
      <c r="Q60" s="154" t="s">
        <v>74</v>
      </c>
      <c r="R60" s="27">
        <v>45939</v>
      </c>
      <c r="S60" s="27">
        <v>45939</v>
      </c>
      <c r="T60" s="188">
        <v>45943</v>
      </c>
      <c r="U60" s="29">
        <v>45953</v>
      </c>
      <c r="V60" s="211">
        <v>45953</v>
      </c>
      <c r="W60" s="235" t="s">
        <v>190</v>
      </c>
      <c r="X60" s="230">
        <v>45972</v>
      </c>
      <c r="Y60" s="19">
        <v>45979</v>
      </c>
      <c r="Z60" s="92"/>
    </row>
    <row r="61" spans="1:26" s="9" customFormat="1" ht="47.25">
      <c r="A61" s="33">
        <f t="shared" si="0"/>
        <v>55</v>
      </c>
      <c r="B61" s="33" t="str">
        <f t="shared" si="3"/>
        <v>5.10</v>
      </c>
      <c r="C61" s="137" t="s">
        <v>131</v>
      </c>
      <c r="D61" s="25" t="s">
        <v>465</v>
      </c>
      <c r="E61" s="174">
        <f t="shared" si="11"/>
        <v>45980</v>
      </c>
      <c r="F61" s="31" t="s">
        <v>466</v>
      </c>
      <c r="G61" s="21" t="s">
        <v>467</v>
      </c>
      <c r="H61" s="138" t="s">
        <v>6</v>
      </c>
      <c r="I61" s="164">
        <f t="shared" si="12"/>
        <v>43</v>
      </c>
      <c r="J61" s="47">
        <f t="shared" si="13"/>
        <v>22</v>
      </c>
      <c r="K61" s="164"/>
      <c r="L61" s="40" t="s">
        <v>8</v>
      </c>
      <c r="M61" s="41" t="s">
        <v>8</v>
      </c>
      <c r="N61" s="40" t="s">
        <v>8</v>
      </c>
      <c r="O61" s="41" t="s">
        <v>8</v>
      </c>
      <c r="P61" s="40"/>
      <c r="Q61" s="154"/>
      <c r="R61" s="27">
        <v>45958</v>
      </c>
      <c r="S61" s="27">
        <v>45958</v>
      </c>
      <c r="T61" s="188">
        <v>45959</v>
      </c>
      <c r="U61" s="29">
        <v>45972</v>
      </c>
      <c r="V61" s="211">
        <v>46002</v>
      </c>
      <c r="W61" s="235" t="s">
        <v>190</v>
      </c>
      <c r="X61" s="230"/>
      <c r="Y61" s="19"/>
      <c r="Z61" s="92"/>
    </row>
    <row r="62" spans="1:26" s="9" customFormat="1" ht="47.25">
      <c r="A62" s="33">
        <f t="shared" si="0"/>
        <v>56</v>
      </c>
      <c r="B62" s="33" t="str">
        <f t="shared" si="3"/>
        <v>5.10</v>
      </c>
      <c r="C62" s="137" t="s">
        <v>195</v>
      </c>
      <c r="D62" s="25" t="s">
        <v>468</v>
      </c>
      <c r="E62" s="174">
        <f t="shared" si="11"/>
        <v>45996</v>
      </c>
      <c r="F62" s="31" t="s">
        <v>469</v>
      </c>
      <c r="G62" s="21" t="s">
        <v>470</v>
      </c>
      <c r="H62" s="138" t="s">
        <v>6</v>
      </c>
      <c r="I62" s="164">
        <f t="shared" si="12"/>
        <v>20</v>
      </c>
      <c r="J62" s="47">
        <f t="shared" si="13"/>
        <v>0</v>
      </c>
      <c r="K62" s="164"/>
      <c r="L62" s="40" t="s">
        <v>8</v>
      </c>
      <c r="M62" s="41" t="s">
        <v>8</v>
      </c>
      <c r="N62" s="40" t="s">
        <v>8</v>
      </c>
      <c r="O62" s="41" t="s">
        <v>8</v>
      </c>
      <c r="P62" s="40" t="s">
        <v>8</v>
      </c>
      <c r="Q62" s="154" t="s">
        <v>74</v>
      </c>
      <c r="R62" s="27">
        <v>45975</v>
      </c>
      <c r="S62" s="27">
        <v>45975</v>
      </c>
      <c r="T62" s="188">
        <v>45975</v>
      </c>
      <c r="U62" s="29">
        <v>45988</v>
      </c>
      <c r="V62" s="211">
        <v>45995</v>
      </c>
      <c r="W62" s="235" t="s">
        <v>190</v>
      </c>
      <c r="X62" s="230">
        <v>46041</v>
      </c>
      <c r="Y62" s="19">
        <v>46042</v>
      </c>
      <c r="Z62" s="92"/>
    </row>
    <row r="63" spans="1:26" s="9" customFormat="1" ht="47.25">
      <c r="A63" s="33">
        <f t="shared" si="0"/>
        <v>57</v>
      </c>
      <c r="B63" s="33" t="str">
        <f t="shared" si="3"/>
        <v>5.10</v>
      </c>
      <c r="C63" s="137" t="s">
        <v>151</v>
      </c>
      <c r="D63" s="25" t="s">
        <v>471</v>
      </c>
      <c r="E63" s="174">
        <f t="shared" si="11"/>
        <v>46007</v>
      </c>
      <c r="F63" s="31" t="s">
        <v>344</v>
      </c>
      <c r="G63" s="21" t="s">
        <v>472</v>
      </c>
      <c r="H63" s="138" t="s">
        <v>6</v>
      </c>
      <c r="I63" s="164">
        <f t="shared" si="12"/>
        <v>8</v>
      </c>
      <c r="J63" s="47">
        <f t="shared" si="13"/>
        <v>0</v>
      </c>
      <c r="K63" s="164"/>
      <c r="L63" s="40" t="s">
        <v>8</v>
      </c>
      <c r="M63" s="41" t="s">
        <v>8</v>
      </c>
      <c r="N63" s="40" t="s">
        <v>8</v>
      </c>
      <c r="O63" s="41" t="s">
        <v>8</v>
      </c>
      <c r="P63" s="40" t="s">
        <v>8</v>
      </c>
      <c r="Q63" s="154" t="s">
        <v>74</v>
      </c>
      <c r="R63" s="27">
        <v>45986</v>
      </c>
      <c r="S63" s="27">
        <v>45986</v>
      </c>
      <c r="T63" s="188">
        <v>45986</v>
      </c>
      <c r="U63" s="29">
        <v>45994</v>
      </c>
      <c r="V63" s="211">
        <v>45994</v>
      </c>
      <c r="W63" s="235" t="s">
        <v>190</v>
      </c>
      <c r="X63" s="230">
        <v>46009</v>
      </c>
      <c r="Y63" s="19">
        <v>46016</v>
      </c>
      <c r="Z63" s="92"/>
    </row>
    <row r="64" spans="1:26" s="9" customFormat="1" ht="63">
      <c r="A64" s="33">
        <f t="shared" si="0"/>
        <v>58</v>
      </c>
      <c r="B64" s="33" t="str">
        <f t="shared" si="3"/>
        <v>5.10</v>
      </c>
      <c r="C64" s="137" t="s">
        <v>484</v>
      </c>
      <c r="D64" s="25" t="s">
        <v>482</v>
      </c>
      <c r="E64" s="174">
        <f t="shared" si="11"/>
        <v>45995</v>
      </c>
      <c r="F64" s="31" t="s">
        <v>483</v>
      </c>
      <c r="G64" s="21" t="s">
        <v>483</v>
      </c>
      <c r="H64" s="138" t="s">
        <v>6</v>
      </c>
      <c r="I64" s="164">
        <f t="shared" si="12"/>
        <v>12</v>
      </c>
      <c r="J64" s="47">
        <f t="shared" si="13"/>
        <v>0</v>
      </c>
      <c r="K64" s="164"/>
      <c r="L64" s="40" t="s">
        <v>8</v>
      </c>
      <c r="M64" s="41" t="s">
        <v>8</v>
      </c>
      <c r="N64" s="40" t="s">
        <v>8</v>
      </c>
      <c r="O64" s="41" t="s">
        <v>8</v>
      </c>
      <c r="P64" s="40" t="s">
        <v>8</v>
      </c>
      <c r="Q64" s="154" t="s">
        <v>74</v>
      </c>
      <c r="R64" s="27">
        <v>45973</v>
      </c>
      <c r="S64" s="27">
        <v>45973</v>
      </c>
      <c r="T64" s="188">
        <v>45974</v>
      </c>
      <c r="U64" s="29">
        <v>45986</v>
      </c>
      <c r="V64" s="211">
        <v>45986</v>
      </c>
      <c r="W64" s="235" t="s">
        <v>485</v>
      </c>
      <c r="X64" s="230">
        <v>46016</v>
      </c>
      <c r="Y64" s="19">
        <v>46020</v>
      </c>
      <c r="Z64" s="92"/>
    </row>
    <row r="65" spans="1:26" s="9" customFormat="1" ht="78.75">
      <c r="A65" s="33">
        <f t="shared" si="0"/>
        <v>59</v>
      </c>
      <c r="B65" s="33" t="str">
        <f t="shared" si="3"/>
        <v>5.10</v>
      </c>
      <c r="C65" s="137" t="s">
        <v>180</v>
      </c>
      <c r="D65" s="25" t="s">
        <v>486</v>
      </c>
      <c r="E65" s="174">
        <f t="shared" si="11"/>
        <v>46030</v>
      </c>
      <c r="F65" s="31" t="s">
        <v>489</v>
      </c>
      <c r="G65" s="21" t="s">
        <v>490</v>
      </c>
      <c r="H65" s="138" t="s">
        <v>6</v>
      </c>
      <c r="I65" s="164">
        <f t="shared" si="12"/>
        <v>96</v>
      </c>
      <c r="J65" s="47">
        <f t="shared" si="13"/>
        <v>75</v>
      </c>
      <c r="K65" s="164"/>
      <c r="L65" s="40" t="s">
        <v>8</v>
      </c>
      <c r="M65" s="41" t="s">
        <v>8</v>
      </c>
      <c r="N65" s="40" t="s">
        <v>8</v>
      </c>
      <c r="O65" s="41" t="s">
        <v>8</v>
      </c>
      <c r="P65" s="40" t="s">
        <v>8</v>
      </c>
      <c r="Q65" s="154" t="s">
        <v>74</v>
      </c>
      <c r="R65" s="27">
        <v>46009</v>
      </c>
      <c r="S65" s="27">
        <v>46009</v>
      </c>
      <c r="T65" s="188">
        <v>46009</v>
      </c>
      <c r="U65" s="29">
        <v>46027</v>
      </c>
      <c r="V65" s="211">
        <v>46105</v>
      </c>
      <c r="W65" s="235" t="s">
        <v>190</v>
      </c>
      <c r="X65" s="230">
        <v>46140</v>
      </c>
      <c r="Y65" s="19">
        <v>46149</v>
      </c>
      <c r="Z65" s="92"/>
    </row>
    <row r="66" spans="1:26" s="9" customFormat="1" ht="47.25">
      <c r="A66" s="33">
        <f t="shared" si="0"/>
        <v>60</v>
      </c>
      <c r="B66" s="33" t="str">
        <f t="shared" si="3"/>
        <v>5.10</v>
      </c>
      <c r="C66" s="137" t="s">
        <v>197</v>
      </c>
      <c r="D66" s="25" t="s">
        <v>487</v>
      </c>
      <c r="E66" s="174">
        <f t="shared" si="11"/>
        <v>46073</v>
      </c>
      <c r="F66" s="31" t="s">
        <v>491</v>
      </c>
      <c r="G66" s="21" t="s">
        <v>492</v>
      </c>
      <c r="H66" s="138" t="s">
        <v>6</v>
      </c>
      <c r="I66" s="164">
        <f t="shared" si="12"/>
        <v>13</v>
      </c>
      <c r="J66" s="47">
        <f t="shared" si="13"/>
        <v>0</v>
      </c>
      <c r="K66" s="164"/>
      <c r="L66" s="40" t="s">
        <v>8</v>
      </c>
      <c r="M66" s="41" t="s">
        <v>8</v>
      </c>
      <c r="N66" s="40" t="s">
        <v>8</v>
      </c>
      <c r="O66" s="41" t="s">
        <v>8</v>
      </c>
      <c r="P66" s="40" t="s">
        <v>8</v>
      </c>
      <c r="Q66" s="154" t="s">
        <v>74</v>
      </c>
      <c r="R66" s="27">
        <v>46052</v>
      </c>
      <c r="S66" s="27">
        <v>46052</v>
      </c>
      <c r="T66" s="188">
        <v>46052</v>
      </c>
      <c r="U66" s="29">
        <v>46064</v>
      </c>
      <c r="V66" s="211">
        <v>46065</v>
      </c>
      <c r="W66" s="235" t="s">
        <v>190</v>
      </c>
      <c r="X66" s="230">
        <v>46126</v>
      </c>
      <c r="Y66" s="19">
        <v>46134</v>
      </c>
      <c r="Z66" s="92"/>
    </row>
    <row r="67" spans="1:26" s="9" customFormat="1" ht="47.25">
      <c r="A67" s="33">
        <f t="shared" si="0"/>
        <v>61</v>
      </c>
      <c r="B67" s="33" t="str">
        <f t="shared" si="3"/>
        <v>5.10</v>
      </c>
      <c r="C67" s="137" t="s">
        <v>144</v>
      </c>
      <c r="D67" s="25" t="s">
        <v>488</v>
      </c>
      <c r="E67" s="174">
        <f t="shared" si="11"/>
        <v>46132</v>
      </c>
      <c r="F67" s="31" t="s">
        <v>493</v>
      </c>
      <c r="G67" s="21" t="s">
        <v>494</v>
      </c>
      <c r="H67" s="138" t="s">
        <v>6</v>
      </c>
      <c r="I67" s="164">
        <f t="shared" si="12"/>
        <v>39</v>
      </c>
      <c r="J67" s="47">
        <f t="shared" si="13"/>
        <v>18</v>
      </c>
      <c r="K67" s="164"/>
      <c r="L67" s="40" t="s">
        <v>8</v>
      </c>
      <c r="M67" s="41" t="s">
        <v>8</v>
      </c>
      <c r="N67" s="40" t="s">
        <v>8</v>
      </c>
      <c r="O67" s="41" t="s">
        <v>8</v>
      </c>
      <c r="P67" s="40" t="s">
        <v>8</v>
      </c>
      <c r="Q67" s="154" t="s">
        <v>74</v>
      </c>
      <c r="R67" s="27">
        <v>46111</v>
      </c>
      <c r="S67" s="27">
        <v>46111</v>
      </c>
      <c r="T67" s="188">
        <v>46111</v>
      </c>
      <c r="U67" s="29">
        <v>46126</v>
      </c>
      <c r="V67" s="211">
        <v>46150</v>
      </c>
      <c r="W67" s="235" t="s">
        <v>190</v>
      </c>
      <c r="X67" s="230">
        <v>46162</v>
      </c>
      <c r="Y67" s="19">
        <v>46162</v>
      </c>
      <c r="Z67" s="92"/>
    </row>
    <row r="68" spans="1:26" s="9" customFormat="1" ht="31.5">
      <c r="A68" s="33">
        <f t="shared" si="0"/>
        <v>62</v>
      </c>
      <c r="B68" s="33" t="str">
        <f t="shared" si="3"/>
        <v>5.10</v>
      </c>
      <c r="C68" s="137" t="s">
        <v>131</v>
      </c>
      <c r="D68" s="25" t="s">
        <v>495</v>
      </c>
      <c r="E68" s="174">
        <f t="shared" si="11"/>
        <v>46167</v>
      </c>
      <c r="F68" s="31" t="s">
        <v>496</v>
      </c>
      <c r="G68" s="21" t="s">
        <v>497</v>
      </c>
      <c r="H68" s="138" t="s">
        <v>6</v>
      </c>
      <c r="I68" s="164">
        <f t="shared" si="12"/>
        <v>31</v>
      </c>
      <c r="J68" s="47">
        <f t="shared" si="13"/>
        <v>10</v>
      </c>
      <c r="K68" s="164"/>
      <c r="L68" s="40" t="s">
        <v>8</v>
      </c>
      <c r="M68" s="41" t="s">
        <v>8</v>
      </c>
      <c r="N68" s="40" t="s">
        <v>8</v>
      </c>
      <c r="O68" s="41" t="s">
        <v>8</v>
      </c>
      <c r="P68" s="40"/>
      <c r="Q68" s="154"/>
      <c r="R68" s="27">
        <v>46141</v>
      </c>
      <c r="S68" s="27">
        <v>46141</v>
      </c>
      <c r="T68" s="188">
        <v>46146</v>
      </c>
      <c r="U68" s="29">
        <v>46160</v>
      </c>
      <c r="V68" s="211">
        <v>46177</v>
      </c>
      <c r="W68" s="235" t="s">
        <v>240</v>
      </c>
      <c r="X68" s="230"/>
      <c r="Y68" s="19"/>
      <c r="Z68" s="92"/>
    </row>
    <row r="69" spans="1:26" s="9" customFormat="1" ht="63">
      <c r="A69" s="33">
        <f t="shared" si="0"/>
        <v>63</v>
      </c>
      <c r="B69" s="33" t="str">
        <f t="shared" si="3"/>
        <v>5.10</v>
      </c>
      <c r="C69" s="137"/>
      <c r="D69" s="25" t="s">
        <v>498</v>
      </c>
      <c r="E69" s="174"/>
      <c r="F69" s="31" t="s">
        <v>499</v>
      </c>
      <c r="G69" s="21" t="s">
        <v>500</v>
      </c>
      <c r="H69" s="138"/>
      <c r="I69" s="164"/>
      <c r="J69" s="47"/>
      <c r="K69" s="164" t="s">
        <v>13</v>
      </c>
      <c r="L69" s="40"/>
      <c r="M69" s="41"/>
      <c r="N69" s="40"/>
      <c r="O69" s="41"/>
      <c r="P69" s="40"/>
      <c r="Q69" s="154"/>
      <c r="R69" s="27">
        <v>46009</v>
      </c>
      <c r="S69" s="27">
        <v>46009</v>
      </c>
      <c r="T69" s="188">
        <v>46016</v>
      </c>
      <c r="U69" s="29"/>
      <c r="V69" s="211"/>
      <c r="W69" s="235"/>
      <c r="X69" s="230"/>
      <c r="Y69" s="19"/>
      <c r="Z69" s="92" t="s">
        <v>501</v>
      </c>
    </row>
    <row r="70" spans="1:26" s="9" customFormat="1" ht="47.25">
      <c r="A70" s="33">
        <f t="shared" si="0"/>
        <v>64</v>
      </c>
      <c r="B70" s="33" t="str">
        <f t="shared" si="3"/>
        <v>5.10</v>
      </c>
      <c r="C70" s="137" t="s">
        <v>131</v>
      </c>
      <c r="D70" s="25" t="s">
        <v>504</v>
      </c>
      <c r="E70" s="174"/>
      <c r="F70" s="31" t="s">
        <v>502</v>
      </c>
      <c r="G70" s="21" t="s">
        <v>503</v>
      </c>
      <c r="H70" s="138" t="s">
        <v>6</v>
      </c>
      <c r="I70" s="164">
        <f t="shared" ref="I70:I78" ca="1" si="14">IF(ISBLANK($V70),_xlfn.DAYS($I$1,$T70),_xlfn.DAYS($V70,$T70))</f>
        <v>274</v>
      </c>
      <c r="J70" s="47">
        <f t="shared" ref="J70:J78" ca="1" si="15">IF(($I70-21)&gt;0,$I70-21,0)</f>
        <v>253</v>
      </c>
      <c r="K70" s="164"/>
      <c r="L70" s="40"/>
      <c r="M70" s="41"/>
      <c r="N70" s="40"/>
      <c r="O70" s="41"/>
      <c r="P70" s="40"/>
      <c r="Q70" s="154"/>
      <c r="R70" s="27">
        <v>46030</v>
      </c>
      <c r="S70" s="27">
        <v>46030</v>
      </c>
      <c r="T70" s="188">
        <v>46035</v>
      </c>
      <c r="U70" s="29"/>
      <c r="V70" s="211"/>
      <c r="W70" s="235" t="s">
        <v>240</v>
      </c>
      <c r="X70" s="230"/>
      <c r="Y70" s="19"/>
      <c r="Z70" s="92" t="s">
        <v>1023</v>
      </c>
    </row>
    <row r="71" spans="1:26" s="9" customFormat="1" ht="47.25">
      <c r="A71" s="33">
        <f t="shared" si="0"/>
        <v>65</v>
      </c>
      <c r="B71" s="33" t="str">
        <f t="shared" si="3"/>
        <v>5.10</v>
      </c>
      <c r="C71" s="137" t="s">
        <v>131</v>
      </c>
      <c r="D71" s="25" t="s">
        <v>505</v>
      </c>
      <c r="E71" s="174">
        <f t="shared" ref="E71:E78" si="16">IF($T71=0,$S71+22,$T71+21)</f>
        <v>46056</v>
      </c>
      <c r="F71" s="31" t="s">
        <v>506</v>
      </c>
      <c r="G71" s="21" t="s">
        <v>507</v>
      </c>
      <c r="H71" s="138" t="s">
        <v>6</v>
      </c>
      <c r="I71" s="164">
        <f t="shared" si="14"/>
        <v>30</v>
      </c>
      <c r="J71" s="47">
        <f t="shared" si="15"/>
        <v>9</v>
      </c>
      <c r="K71" s="164"/>
      <c r="L71" s="40" t="s">
        <v>8</v>
      </c>
      <c r="M71" s="41" t="s">
        <v>8</v>
      </c>
      <c r="N71" s="40" t="s">
        <v>8</v>
      </c>
      <c r="O71" s="41" t="s">
        <v>8</v>
      </c>
      <c r="P71" s="40" t="s">
        <v>8</v>
      </c>
      <c r="Q71" s="154" t="s">
        <v>74</v>
      </c>
      <c r="R71" s="27">
        <v>46030</v>
      </c>
      <c r="S71" s="27">
        <v>46030</v>
      </c>
      <c r="T71" s="188">
        <v>46035</v>
      </c>
      <c r="U71" s="29">
        <v>46049</v>
      </c>
      <c r="V71" s="211">
        <v>46065</v>
      </c>
      <c r="W71" s="235" t="s">
        <v>508</v>
      </c>
      <c r="X71" s="230">
        <v>46115</v>
      </c>
      <c r="Y71" s="19">
        <v>46118</v>
      </c>
      <c r="Z71" s="92"/>
    </row>
    <row r="72" spans="1:26" s="9" customFormat="1" ht="31.5">
      <c r="A72" s="33">
        <f t="shared" si="0"/>
        <v>66</v>
      </c>
      <c r="B72" s="33" t="str">
        <f t="shared" ref="B72" si="17">MID(D72, FIND("-", D72) + 1, 4)</f>
        <v>5.10</v>
      </c>
      <c r="C72" s="137"/>
      <c r="D72" s="25" t="s">
        <v>509</v>
      </c>
      <c r="E72" s="174">
        <f t="shared" si="16"/>
        <v>46120</v>
      </c>
      <c r="F72" s="31" t="s">
        <v>510</v>
      </c>
      <c r="G72" s="21" t="s">
        <v>511</v>
      </c>
      <c r="H72" s="138" t="s">
        <v>6</v>
      </c>
      <c r="I72" s="164">
        <f t="shared" si="14"/>
        <v>22</v>
      </c>
      <c r="J72" s="47">
        <f t="shared" si="15"/>
        <v>1</v>
      </c>
      <c r="K72" s="164"/>
      <c r="L72" s="40" t="s">
        <v>8</v>
      </c>
      <c r="M72" s="41" t="s">
        <v>8</v>
      </c>
      <c r="N72" s="40" t="s">
        <v>8</v>
      </c>
      <c r="O72" s="41" t="s">
        <v>8</v>
      </c>
      <c r="P72" s="40" t="s">
        <v>8</v>
      </c>
      <c r="Q72" s="154" t="s">
        <v>74</v>
      </c>
      <c r="R72" s="27">
        <v>46098</v>
      </c>
      <c r="S72" s="27">
        <v>46098</v>
      </c>
      <c r="T72" s="188">
        <v>46099</v>
      </c>
      <c r="U72" s="29">
        <v>46112</v>
      </c>
      <c r="V72" s="211">
        <v>46121</v>
      </c>
      <c r="W72" s="235" t="s">
        <v>108</v>
      </c>
      <c r="X72" s="230">
        <v>46182</v>
      </c>
      <c r="Y72" s="19">
        <v>46182</v>
      </c>
      <c r="Z72" s="92"/>
    </row>
    <row r="73" spans="1:26" s="9" customFormat="1" ht="94.5">
      <c r="A73" s="33">
        <f t="shared" si="0"/>
        <v>67</v>
      </c>
      <c r="B73" s="33" t="str">
        <f t="shared" ref="B73" si="18">MID(D73, FIND("-", D73) + 1, 4)</f>
        <v>5.10</v>
      </c>
      <c r="C73" s="137" t="s">
        <v>195</v>
      </c>
      <c r="D73" s="25" t="s">
        <v>516</v>
      </c>
      <c r="E73" s="174">
        <f t="shared" si="16"/>
        <v>46199</v>
      </c>
      <c r="F73" s="31" t="s">
        <v>517</v>
      </c>
      <c r="G73" s="21" t="s">
        <v>518</v>
      </c>
      <c r="H73" s="138" t="s">
        <v>6</v>
      </c>
      <c r="I73" s="164">
        <f t="shared" si="14"/>
        <v>19</v>
      </c>
      <c r="J73" s="47">
        <f t="shared" si="15"/>
        <v>0</v>
      </c>
      <c r="K73" s="164"/>
      <c r="L73" s="40" t="s">
        <v>8</v>
      </c>
      <c r="M73" s="41" t="s">
        <v>8</v>
      </c>
      <c r="N73" s="40" t="s">
        <v>8</v>
      </c>
      <c r="O73" s="41" t="s">
        <v>8</v>
      </c>
      <c r="P73" s="40"/>
      <c r="Q73" s="154"/>
      <c r="R73" s="27">
        <v>46178</v>
      </c>
      <c r="S73" s="27">
        <v>46178</v>
      </c>
      <c r="T73" s="188">
        <v>46178</v>
      </c>
      <c r="U73" s="29">
        <v>46196</v>
      </c>
      <c r="V73" s="211">
        <v>46197</v>
      </c>
      <c r="W73" s="235" t="s">
        <v>240</v>
      </c>
      <c r="X73" s="230"/>
      <c r="Y73" s="19"/>
      <c r="Z73" s="92" t="s">
        <v>868</v>
      </c>
    </row>
    <row r="74" spans="1:26" s="9" customFormat="1" ht="63">
      <c r="A74" s="33">
        <f t="shared" si="0"/>
        <v>68</v>
      </c>
      <c r="B74" s="33" t="str">
        <f t="shared" ref="B74" si="19">MID(D74, FIND("-", D74) + 1, 4)</f>
        <v>5.11</v>
      </c>
      <c r="C74" s="137" t="s">
        <v>144</v>
      </c>
      <c r="D74" s="25" t="s">
        <v>607</v>
      </c>
      <c r="E74" s="174">
        <f t="shared" si="16"/>
        <v>45866</v>
      </c>
      <c r="F74" s="31" t="s">
        <v>608</v>
      </c>
      <c r="G74" s="21" t="s">
        <v>609</v>
      </c>
      <c r="H74" s="138" t="s">
        <v>6</v>
      </c>
      <c r="I74" s="164">
        <f t="shared" si="14"/>
        <v>4</v>
      </c>
      <c r="J74" s="47">
        <f t="shared" si="15"/>
        <v>0</v>
      </c>
      <c r="K74" s="164"/>
      <c r="L74" s="40" t="s">
        <v>8</v>
      </c>
      <c r="M74" s="41" t="s">
        <v>8</v>
      </c>
      <c r="N74" s="40" t="s">
        <v>8</v>
      </c>
      <c r="O74" s="41" t="s">
        <v>8</v>
      </c>
      <c r="P74" s="40" t="s">
        <v>8</v>
      </c>
      <c r="Q74" s="154" t="s">
        <v>74</v>
      </c>
      <c r="R74" s="27">
        <v>45821</v>
      </c>
      <c r="S74" s="27">
        <v>45821</v>
      </c>
      <c r="T74" s="188">
        <v>45845</v>
      </c>
      <c r="U74" s="29">
        <v>45849</v>
      </c>
      <c r="V74" s="211">
        <v>45849</v>
      </c>
      <c r="W74" s="235" t="s">
        <v>190</v>
      </c>
      <c r="X74" s="230">
        <v>45861</v>
      </c>
      <c r="Y74" s="19">
        <v>45861</v>
      </c>
      <c r="Z74" s="92" t="s">
        <v>610</v>
      </c>
    </row>
    <row r="75" spans="1:26" s="9" customFormat="1" ht="47.25">
      <c r="A75" s="33">
        <f t="shared" si="0"/>
        <v>69</v>
      </c>
      <c r="B75" s="33" t="str">
        <f t="shared" ref="B75" si="20">MID(D75, FIND("-", D75) + 1, 4)</f>
        <v>5.11</v>
      </c>
      <c r="C75" s="137"/>
      <c r="D75" s="25" t="s">
        <v>611</v>
      </c>
      <c r="E75" s="174">
        <f t="shared" si="16"/>
        <v>45866</v>
      </c>
      <c r="F75" s="31" t="s">
        <v>612</v>
      </c>
      <c r="G75" s="21" t="s">
        <v>613</v>
      </c>
      <c r="H75" s="138" t="s">
        <v>6</v>
      </c>
      <c r="I75" s="164">
        <f t="shared" si="14"/>
        <v>4</v>
      </c>
      <c r="J75" s="47">
        <f t="shared" si="15"/>
        <v>0</v>
      </c>
      <c r="K75" s="164"/>
      <c r="L75" s="40" t="s">
        <v>8</v>
      </c>
      <c r="M75" s="41" t="s">
        <v>8</v>
      </c>
      <c r="N75" s="40" t="s">
        <v>8</v>
      </c>
      <c r="O75" s="41" t="s">
        <v>8</v>
      </c>
      <c r="P75" s="40" t="s">
        <v>8</v>
      </c>
      <c r="Q75" s="154" t="s">
        <v>74</v>
      </c>
      <c r="R75" s="27">
        <v>45841</v>
      </c>
      <c r="S75" s="27">
        <v>45841</v>
      </c>
      <c r="T75" s="188">
        <v>45845</v>
      </c>
      <c r="U75" s="29">
        <v>45849</v>
      </c>
      <c r="V75" s="211">
        <v>45849</v>
      </c>
      <c r="W75" s="235" t="s">
        <v>190</v>
      </c>
      <c r="X75" s="230">
        <v>45848</v>
      </c>
      <c r="Y75" s="19">
        <v>45848</v>
      </c>
      <c r="Z75" s="92"/>
    </row>
    <row r="76" spans="1:26" s="9" customFormat="1" ht="47.25">
      <c r="A76" s="33">
        <f t="shared" si="0"/>
        <v>70</v>
      </c>
      <c r="B76" s="33" t="str">
        <f t="shared" ref="B76:B77" si="21">MID(D76, FIND("-", D76) + 1, 4)</f>
        <v>5.11</v>
      </c>
      <c r="C76" s="137" t="s">
        <v>144</v>
      </c>
      <c r="D76" s="25" t="s">
        <v>614</v>
      </c>
      <c r="E76" s="174">
        <f t="shared" si="16"/>
        <v>45866</v>
      </c>
      <c r="F76" s="31" t="s">
        <v>615</v>
      </c>
      <c r="G76" s="21" t="s">
        <v>616</v>
      </c>
      <c r="H76" s="138" t="s">
        <v>6</v>
      </c>
      <c r="I76" s="164">
        <f t="shared" si="14"/>
        <v>4</v>
      </c>
      <c r="J76" s="47">
        <f t="shared" si="15"/>
        <v>0</v>
      </c>
      <c r="K76" s="164"/>
      <c r="L76" s="40" t="s">
        <v>8</v>
      </c>
      <c r="M76" s="41" t="s">
        <v>8</v>
      </c>
      <c r="N76" s="40" t="s">
        <v>8</v>
      </c>
      <c r="O76" s="41" t="s">
        <v>8</v>
      </c>
      <c r="P76" s="40"/>
      <c r="Q76" s="154"/>
      <c r="R76" s="27">
        <v>45841</v>
      </c>
      <c r="S76" s="27">
        <v>45841</v>
      </c>
      <c r="T76" s="188">
        <v>45845</v>
      </c>
      <c r="U76" s="29">
        <v>45849</v>
      </c>
      <c r="V76" s="211">
        <v>45849</v>
      </c>
      <c r="W76" s="235" t="s">
        <v>190</v>
      </c>
      <c r="X76" s="230"/>
      <c r="Y76" s="19"/>
      <c r="Z76" s="92"/>
    </row>
    <row r="77" spans="1:26" s="9" customFormat="1" ht="63">
      <c r="A77" s="33">
        <f t="shared" si="0"/>
        <v>71</v>
      </c>
      <c r="B77" s="33" t="str">
        <f t="shared" si="21"/>
        <v>5.11</v>
      </c>
      <c r="C77" s="137" t="s">
        <v>656</v>
      </c>
      <c r="D77" s="25" t="s">
        <v>617</v>
      </c>
      <c r="E77" s="174">
        <f t="shared" si="16"/>
        <v>45866</v>
      </c>
      <c r="F77" s="31" t="s">
        <v>618</v>
      </c>
      <c r="G77" s="21" t="s">
        <v>619</v>
      </c>
      <c r="H77" s="138" t="s">
        <v>6</v>
      </c>
      <c r="I77" s="164">
        <f t="shared" si="14"/>
        <v>4</v>
      </c>
      <c r="J77" s="47">
        <f t="shared" si="15"/>
        <v>0</v>
      </c>
      <c r="K77" s="164"/>
      <c r="L77" s="40" t="s">
        <v>8</v>
      </c>
      <c r="M77" s="41" t="s">
        <v>8</v>
      </c>
      <c r="N77" s="40" t="s">
        <v>8</v>
      </c>
      <c r="O77" s="41" t="s">
        <v>8</v>
      </c>
      <c r="P77" s="40"/>
      <c r="Q77" s="154"/>
      <c r="R77" s="27">
        <v>45841</v>
      </c>
      <c r="S77" s="27">
        <v>45841</v>
      </c>
      <c r="T77" s="188">
        <v>45845</v>
      </c>
      <c r="U77" s="29">
        <v>45849</v>
      </c>
      <c r="V77" s="211">
        <v>45849</v>
      </c>
      <c r="W77" s="235" t="s">
        <v>190</v>
      </c>
      <c r="X77" s="230"/>
      <c r="Y77" s="19"/>
      <c r="Z77" s="92"/>
    </row>
    <row r="78" spans="1:26" s="9" customFormat="1" ht="63">
      <c r="A78" s="33">
        <f t="shared" si="0"/>
        <v>72</v>
      </c>
      <c r="B78" s="33" t="str">
        <f t="shared" ref="B78:B80" si="22">MID(D78, FIND("-", D78) + 1, 4)</f>
        <v>5.11</v>
      </c>
      <c r="C78" s="164" t="s">
        <v>621</v>
      </c>
      <c r="D78" s="25" t="s">
        <v>620</v>
      </c>
      <c r="E78" s="174">
        <f t="shared" si="16"/>
        <v>45866</v>
      </c>
      <c r="F78" s="31" t="s">
        <v>622</v>
      </c>
      <c r="G78" s="21" t="s">
        <v>623</v>
      </c>
      <c r="H78" s="138" t="s">
        <v>6</v>
      </c>
      <c r="I78" s="164">
        <f t="shared" si="14"/>
        <v>4</v>
      </c>
      <c r="J78" s="47">
        <f t="shared" si="15"/>
        <v>0</v>
      </c>
      <c r="K78" s="164"/>
      <c r="L78" s="40" t="s">
        <v>8</v>
      </c>
      <c r="M78" s="41" t="s">
        <v>8</v>
      </c>
      <c r="N78" s="40" t="s">
        <v>8</v>
      </c>
      <c r="O78" s="41" t="s">
        <v>8</v>
      </c>
      <c r="P78" s="40"/>
      <c r="Q78" s="154"/>
      <c r="R78" s="27">
        <v>45842</v>
      </c>
      <c r="S78" s="27">
        <v>45842</v>
      </c>
      <c r="T78" s="188">
        <v>45845</v>
      </c>
      <c r="U78" s="29">
        <v>45849</v>
      </c>
      <c r="V78" s="211">
        <v>45849</v>
      </c>
      <c r="W78" s="235" t="s">
        <v>190</v>
      </c>
      <c r="X78" s="230"/>
      <c r="Y78" s="19"/>
      <c r="Z78" s="92"/>
    </row>
    <row r="79" spans="1:26" s="9" customFormat="1" ht="47.25">
      <c r="A79" s="33">
        <f t="shared" si="0"/>
        <v>73</v>
      </c>
      <c r="B79" s="33" t="str">
        <f t="shared" si="22"/>
        <v>5.11</v>
      </c>
      <c r="C79" s="137" t="s">
        <v>625</v>
      </c>
      <c r="D79" s="25" t="s">
        <v>624</v>
      </c>
      <c r="E79" s="174"/>
      <c r="F79" s="31" t="s">
        <v>626</v>
      </c>
      <c r="G79" s="21" t="s">
        <v>627</v>
      </c>
      <c r="H79" s="138"/>
      <c r="I79" s="164"/>
      <c r="J79" s="47"/>
      <c r="K79" s="164" t="s">
        <v>13</v>
      </c>
      <c r="L79" s="40" t="s">
        <v>8</v>
      </c>
      <c r="M79" s="41" t="s">
        <v>8</v>
      </c>
      <c r="N79" s="40"/>
      <c r="O79" s="41"/>
      <c r="P79" s="40"/>
      <c r="Q79" s="154"/>
      <c r="R79" s="27">
        <v>45851</v>
      </c>
      <c r="S79" s="27">
        <v>45851</v>
      </c>
      <c r="T79" s="188">
        <v>45860</v>
      </c>
      <c r="U79" s="29"/>
      <c r="V79" s="211"/>
      <c r="W79" s="235"/>
      <c r="X79" s="230"/>
      <c r="Y79" s="19"/>
      <c r="Z79" s="92" t="s">
        <v>631</v>
      </c>
    </row>
    <row r="80" spans="1:26" s="9" customFormat="1" ht="63">
      <c r="A80" s="33">
        <f t="shared" si="0"/>
        <v>74</v>
      </c>
      <c r="B80" s="33" t="str">
        <f t="shared" si="22"/>
        <v>5.11</v>
      </c>
      <c r="C80" s="137" t="s">
        <v>625</v>
      </c>
      <c r="D80" s="25" t="s">
        <v>628</v>
      </c>
      <c r="E80" s="174">
        <f t="shared" ref="E80:E128" si="23">IF($T80=0,$S80+22,$T80+21)</f>
        <v>45945</v>
      </c>
      <c r="F80" s="31" t="s">
        <v>629</v>
      </c>
      <c r="G80" s="21" t="s">
        <v>630</v>
      </c>
      <c r="H80" s="138" t="s">
        <v>6</v>
      </c>
      <c r="I80" s="164">
        <f t="shared" ref="I80:I128" si="24">IF(ISBLANK($V80),_xlfn.DAYS($I$1,$T80),_xlfn.DAYS($V80,$T80))</f>
        <v>6</v>
      </c>
      <c r="J80" s="47">
        <f t="shared" ref="J80:J128" si="25">IF(($I80-21)&gt;0,$I80-21,0)</f>
        <v>0</v>
      </c>
      <c r="K80" s="164"/>
      <c r="L80" s="40" t="s">
        <v>8</v>
      </c>
      <c r="M80" s="41" t="s">
        <v>8</v>
      </c>
      <c r="N80" s="40" t="s">
        <v>8</v>
      </c>
      <c r="O80" s="41" t="s">
        <v>8</v>
      </c>
      <c r="P80" s="40" t="s">
        <v>8</v>
      </c>
      <c r="Q80" s="154" t="s">
        <v>74</v>
      </c>
      <c r="R80" s="27">
        <v>45910</v>
      </c>
      <c r="S80" s="27">
        <v>45910</v>
      </c>
      <c r="T80" s="188">
        <v>45924</v>
      </c>
      <c r="U80" s="29">
        <v>45931</v>
      </c>
      <c r="V80" s="211">
        <v>45930</v>
      </c>
      <c r="W80" s="235" t="s">
        <v>240</v>
      </c>
      <c r="X80" s="230">
        <v>45930</v>
      </c>
      <c r="Y80" s="19">
        <v>45930</v>
      </c>
      <c r="Z80" s="92"/>
    </row>
    <row r="81" spans="1:26" s="9" customFormat="1" ht="94.5">
      <c r="A81" s="33">
        <f t="shared" si="0"/>
        <v>75</v>
      </c>
      <c r="B81" s="33" t="str">
        <f t="shared" ref="B81" si="26">MID(D81, FIND("-", D81) + 1, 4)</f>
        <v>5.11</v>
      </c>
      <c r="C81" s="137" t="s">
        <v>633</v>
      </c>
      <c r="D81" s="25" t="s">
        <v>632</v>
      </c>
      <c r="E81" s="174">
        <f t="shared" si="23"/>
        <v>45881</v>
      </c>
      <c r="F81" s="31" t="s">
        <v>634</v>
      </c>
      <c r="G81" s="21" t="s">
        <v>635</v>
      </c>
      <c r="H81" s="138" t="s">
        <v>6</v>
      </c>
      <c r="I81" s="164">
        <f t="shared" si="24"/>
        <v>13</v>
      </c>
      <c r="J81" s="47">
        <f t="shared" si="25"/>
        <v>0</v>
      </c>
      <c r="K81" s="164"/>
      <c r="L81" s="40" t="s">
        <v>8</v>
      </c>
      <c r="M81" s="41" t="s">
        <v>8</v>
      </c>
      <c r="N81" s="40"/>
      <c r="O81" s="41" t="s">
        <v>8</v>
      </c>
      <c r="P81" s="40" t="s">
        <v>8</v>
      </c>
      <c r="Q81" s="154" t="s">
        <v>74</v>
      </c>
      <c r="R81" s="27">
        <v>45852</v>
      </c>
      <c r="S81" s="27">
        <v>45852</v>
      </c>
      <c r="T81" s="188">
        <v>45860</v>
      </c>
      <c r="U81" s="29">
        <v>45873</v>
      </c>
      <c r="V81" s="211">
        <v>45873</v>
      </c>
      <c r="W81" s="235" t="s">
        <v>190</v>
      </c>
      <c r="X81" s="230">
        <v>45930</v>
      </c>
      <c r="Y81" s="19">
        <v>45930</v>
      </c>
      <c r="Z81" s="76"/>
    </row>
    <row r="82" spans="1:26" s="9" customFormat="1" ht="47.25">
      <c r="A82" s="33">
        <f t="shared" si="0"/>
        <v>76</v>
      </c>
      <c r="B82" s="33" t="str">
        <f t="shared" ref="B82" si="27">MID(D82, FIND("-", D82) + 1, 4)</f>
        <v>5.11</v>
      </c>
      <c r="C82" s="137" t="s">
        <v>637</v>
      </c>
      <c r="D82" s="25" t="s">
        <v>636</v>
      </c>
      <c r="E82" s="174">
        <f t="shared" si="23"/>
        <v>45884</v>
      </c>
      <c r="F82" s="31" t="s">
        <v>638</v>
      </c>
      <c r="G82" s="21" t="s">
        <v>639</v>
      </c>
      <c r="H82" s="138" t="s">
        <v>6</v>
      </c>
      <c r="I82" s="164">
        <f t="shared" si="24"/>
        <v>11</v>
      </c>
      <c r="J82" s="47">
        <f t="shared" si="25"/>
        <v>0</v>
      </c>
      <c r="K82" s="164"/>
      <c r="L82" s="40" t="s">
        <v>8</v>
      </c>
      <c r="M82" s="41" t="s">
        <v>8</v>
      </c>
      <c r="N82" s="40"/>
      <c r="O82" s="41" t="s">
        <v>8</v>
      </c>
      <c r="P82" s="40" t="s">
        <v>8</v>
      </c>
      <c r="Q82" s="154" t="s">
        <v>74</v>
      </c>
      <c r="R82" s="27">
        <v>45852</v>
      </c>
      <c r="S82" s="27">
        <v>45852</v>
      </c>
      <c r="T82" s="188">
        <v>45863</v>
      </c>
      <c r="U82" s="29">
        <v>45874</v>
      </c>
      <c r="V82" s="211">
        <v>45874</v>
      </c>
      <c r="W82" s="235" t="s">
        <v>190</v>
      </c>
      <c r="X82" s="230">
        <v>45930</v>
      </c>
      <c r="Y82" s="19">
        <v>45930</v>
      </c>
      <c r="Z82" s="92"/>
    </row>
    <row r="83" spans="1:26" s="9" customFormat="1" ht="78.75">
      <c r="A83" s="33">
        <f t="shared" si="0"/>
        <v>77</v>
      </c>
      <c r="B83" s="33" t="str">
        <f t="shared" ref="B83:B85" si="28">MID(D83, FIND("-", D83) + 1, 4)</f>
        <v>5.11</v>
      </c>
      <c r="C83" s="137"/>
      <c r="D83" s="25" t="s">
        <v>640</v>
      </c>
      <c r="E83" s="174">
        <f t="shared" si="23"/>
        <v>45915</v>
      </c>
      <c r="F83" s="31" t="s">
        <v>641</v>
      </c>
      <c r="G83" s="21" t="s">
        <v>642</v>
      </c>
      <c r="H83" s="138" t="s">
        <v>6</v>
      </c>
      <c r="I83" s="164">
        <f t="shared" si="24"/>
        <v>11</v>
      </c>
      <c r="J83" s="47">
        <f t="shared" si="25"/>
        <v>0</v>
      </c>
      <c r="K83" s="164"/>
      <c r="L83" s="40" t="s">
        <v>8</v>
      </c>
      <c r="M83" s="41" t="s">
        <v>8</v>
      </c>
      <c r="N83" s="40" t="s">
        <v>8</v>
      </c>
      <c r="O83" s="41" t="s">
        <v>8</v>
      </c>
      <c r="P83" s="40" t="s">
        <v>8</v>
      </c>
      <c r="Q83" s="154" t="s">
        <v>74</v>
      </c>
      <c r="R83" s="27">
        <v>45879</v>
      </c>
      <c r="S83" s="27">
        <v>45879</v>
      </c>
      <c r="T83" s="188">
        <v>45894</v>
      </c>
      <c r="U83" s="29">
        <v>45905</v>
      </c>
      <c r="V83" s="211">
        <v>45905</v>
      </c>
      <c r="W83" s="235" t="s">
        <v>190</v>
      </c>
      <c r="X83" s="230">
        <v>45930</v>
      </c>
      <c r="Y83" s="19">
        <v>45930</v>
      </c>
      <c r="Z83" s="92"/>
    </row>
    <row r="84" spans="1:26" s="9" customFormat="1" ht="47.25">
      <c r="A84" s="33">
        <f t="shared" si="0"/>
        <v>78</v>
      </c>
      <c r="B84" s="33" t="str">
        <f t="shared" si="28"/>
        <v>5.11</v>
      </c>
      <c r="C84" s="137" t="s">
        <v>644</v>
      </c>
      <c r="D84" s="25" t="s">
        <v>643</v>
      </c>
      <c r="E84" s="174"/>
      <c r="F84" s="31" t="s">
        <v>647</v>
      </c>
      <c r="G84" s="21" t="s">
        <v>648</v>
      </c>
      <c r="H84" s="138"/>
      <c r="I84" s="164"/>
      <c r="J84" s="47"/>
      <c r="K84" s="164" t="s">
        <v>13</v>
      </c>
      <c r="L84" s="40" t="s">
        <v>8</v>
      </c>
      <c r="M84" s="41" t="s">
        <v>8</v>
      </c>
      <c r="N84" s="40"/>
      <c r="O84" s="41"/>
      <c r="P84" s="40"/>
      <c r="Q84" s="154"/>
      <c r="R84" s="27">
        <v>45880</v>
      </c>
      <c r="S84" s="27">
        <v>45880</v>
      </c>
      <c r="T84" s="188">
        <v>45880</v>
      </c>
      <c r="U84" s="29"/>
      <c r="V84" s="211"/>
      <c r="W84" s="235"/>
      <c r="X84" s="230"/>
      <c r="Y84" s="19"/>
      <c r="Z84" s="92" t="s">
        <v>649</v>
      </c>
    </row>
    <row r="85" spans="1:26" s="9" customFormat="1" ht="47.25">
      <c r="A85" s="33">
        <f t="shared" ref="A85:A128" si="29">A84+1</f>
        <v>79</v>
      </c>
      <c r="B85" s="33" t="str">
        <f t="shared" si="28"/>
        <v>5.11</v>
      </c>
      <c r="C85" s="137" t="s">
        <v>644</v>
      </c>
      <c r="D85" s="25" t="s">
        <v>645</v>
      </c>
      <c r="E85" s="174">
        <f t="shared" si="23"/>
        <v>45950</v>
      </c>
      <c r="F85" s="31" t="s">
        <v>647</v>
      </c>
      <c r="G85" s="21" t="s">
        <v>648</v>
      </c>
      <c r="H85" s="138" t="s">
        <v>6</v>
      </c>
      <c r="I85" s="164">
        <f t="shared" si="24"/>
        <v>1</v>
      </c>
      <c r="J85" s="47">
        <f t="shared" si="25"/>
        <v>0</v>
      </c>
      <c r="K85" s="164"/>
      <c r="L85" s="40" t="s">
        <v>8</v>
      </c>
      <c r="M85" s="41" t="s">
        <v>8</v>
      </c>
      <c r="N85" s="40" t="s">
        <v>8</v>
      </c>
      <c r="O85" s="41" t="s">
        <v>8</v>
      </c>
      <c r="P85" s="40" t="s">
        <v>8</v>
      </c>
      <c r="Q85" s="154" t="s">
        <v>74</v>
      </c>
      <c r="R85" s="27">
        <v>45910</v>
      </c>
      <c r="S85" s="27">
        <v>45910</v>
      </c>
      <c r="T85" s="188">
        <v>45929</v>
      </c>
      <c r="U85" s="29">
        <v>45930</v>
      </c>
      <c r="V85" s="211">
        <v>45930</v>
      </c>
      <c r="W85" s="235" t="s">
        <v>240</v>
      </c>
      <c r="X85" s="230">
        <v>45930</v>
      </c>
      <c r="Y85" s="19">
        <v>45930</v>
      </c>
      <c r="Z85" s="92" t="s">
        <v>650</v>
      </c>
    </row>
    <row r="86" spans="1:26" s="9" customFormat="1" ht="47.25">
      <c r="A86" s="33">
        <f t="shared" si="29"/>
        <v>80</v>
      </c>
      <c r="B86" s="33" t="str">
        <f t="shared" ref="B86:B87" si="30">MID(D86, FIND("-", D86) + 1, 4)</f>
        <v>5.11</v>
      </c>
      <c r="C86" s="137" t="s">
        <v>644</v>
      </c>
      <c r="D86" s="25" t="s">
        <v>646</v>
      </c>
      <c r="E86" s="174">
        <f t="shared" si="23"/>
        <v>46177</v>
      </c>
      <c r="F86" s="31" t="s">
        <v>647</v>
      </c>
      <c r="G86" s="21" t="s">
        <v>648</v>
      </c>
      <c r="H86" s="138" t="s">
        <v>6</v>
      </c>
      <c r="I86" s="164">
        <f t="shared" si="24"/>
        <v>7</v>
      </c>
      <c r="J86" s="47">
        <f t="shared" si="25"/>
        <v>0</v>
      </c>
      <c r="K86" s="164"/>
      <c r="L86" s="40" t="s">
        <v>8</v>
      </c>
      <c r="M86" s="41" t="s">
        <v>8</v>
      </c>
      <c r="N86" s="40" t="s">
        <v>8</v>
      </c>
      <c r="O86" s="41" t="s">
        <v>8</v>
      </c>
      <c r="P86" s="40"/>
      <c r="Q86" s="154"/>
      <c r="R86" s="27">
        <v>46156</v>
      </c>
      <c r="S86" s="27">
        <v>46156</v>
      </c>
      <c r="T86" s="188">
        <v>46156</v>
      </c>
      <c r="U86" s="29">
        <v>46163</v>
      </c>
      <c r="V86" s="211">
        <v>46163</v>
      </c>
      <c r="W86" s="235" t="s">
        <v>190</v>
      </c>
      <c r="X86" s="230"/>
      <c r="Y86" s="19"/>
      <c r="Z86" s="92"/>
    </row>
    <row r="87" spans="1:26" s="9" customFormat="1" ht="47.25">
      <c r="A87" s="33">
        <f t="shared" si="29"/>
        <v>81</v>
      </c>
      <c r="B87" s="33" t="str">
        <f t="shared" si="30"/>
        <v>5.11</v>
      </c>
      <c r="C87" s="137" t="s">
        <v>372</v>
      </c>
      <c r="D87" s="25" t="s">
        <v>899</v>
      </c>
      <c r="E87" s="174">
        <f t="shared" si="23"/>
        <v>45931</v>
      </c>
      <c r="F87" s="31" t="s">
        <v>651</v>
      </c>
      <c r="G87" s="21" t="s">
        <v>652</v>
      </c>
      <c r="H87" s="138" t="s">
        <v>6</v>
      </c>
      <c r="I87" s="164">
        <f t="shared" si="24"/>
        <v>0</v>
      </c>
      <c r="J87" s="47">
        <f t="shared" si="25"/>
        <v>0</v>
      </c>
      <c r="K87" s="164"/>
      <c r="L87" s="40" t="s">
        <v>8</v>
      </c>
      <c r="M87" s="41" t="s">
        <v>8</v>
      </c>
      <c r="N87" s="40" t="s">
        <v>8</v>
      </c>
      <c r="O87" s="41" t="s">
        <v>8</v>
      </c>
      <c r="P87" s="40" t="s">
        <v>8</v>
      </c>
      <c r="Q87" s="154" t="s">
        <v>74</v>
      </c>
      <c r="R87" s="27">
        <v>45909</v>
      </c>
      <c r="S87" s="27">
        <v>45909</v>
      </c>
      <c r="T87" s="188">
        <v>45910</v>
      </c>
      <c r="U87" s="29">
        <v>45910</v>
      </c>
      <c r="V87" s="211">
        <v>45910</v>
      </c>
      <c r="W87" s="235" t="s">
        <v>190</v>
      </c>
      <c r="X87" s="230">
        <v>45946</v>
      </c>
      <c r="Y87" s="19">
        <v>45946</v>
      </c>
      <c r="Z87" s="92"/>
    </row>
    <row r="88" spans="1:26" s="9" customFormat="1" ht="126">
      <c r="A88" s="33">
        <f t="shared" si="29"/>
        <v>82</v>
      </c>
      <c r="B88" s="33" t="str">
        <f t="shared" ref="B88:B89" si="31">MID(D88, FIND("-", D88) + 1, 4)</f>
        <v>5.11</v>
      </c>
      <c r="C88" s="137" t="s">
        <v>656</v>
      </c>
      <c r="D88" s="25" t="s">
        <v>653</v>
      </c>
      <c r="E88" s="174">
        <f t="shared" si="23"/>
        <v>46000</v>
      </c>
      <c r="F88" s="31" t="s">
        <v>654</v>
      </c>
      <c r="G88" s="21" t="s">
        <v>655</v>
      </c>
      <c r="H88" s="138" t="s">
        <v>6</v>
      </c>
      <c r="I88" s="164">
        <f t="shared" si="24"/>
        <v>13</v>
      </c>
      <c r="J88" s="47">
        <f t="shared" si="25"/>
        <v>0</v>
      </c>
      <c r="K88" s="164"/>
      <c r="L88" s="40" t="s">
        <v>8</v>
      </c>
      <c r="M88" s="41" t="s">
        <v>8</v>
      </c>
      <c r="N88" s="40"/>
      <c r="O88" s="41"/>
      <c r="P88" s="40"/>
      <c r="Q88" s="154"/>
      <c r="R88" s="27">
        <v>45979</v>
      </c>
      <c r="S88" s="27">
        <v>45979</v>
      </c>
      <c r="T88" s="188">
        <v>45979</v>
      </c>
      <c r="U88" s="29">
        <v>45992</v>
      </c>
      <c r="V88" s="211">
        <v>45992</v>
      </c>
      <c r="W88" s="235" t="s">
        <v>190</v>
      </c>
      <c r="X88" s="230"/>
      <c r="Y88" s="19"/>
      <c r="Z88" s="92"/>
    </row>
    <row r="89" spans="1:26" s="9" customFormat="1" ht="78.75">
      <c r="A89" s="33">
        <f t="shared" si="29"/>
        <v>83</v>
      </c>
      <c r="B89" s="33" t="str">
        <f t="shared" si="31"/>
        <v>5.11</v>
      </c>
      <c r="C89" s="137" t="s">
        <v>144</v>
      </c>
      <c r="D89" s="25" t="s">
        <v>657</v>
      </c>
      <c r="E89" s="174">
        <f t="shared" si="23"/>
        <v>46024</v>
      </c>
      <c r="F89" s="31" t="s">
        <v>659</v>
      </c>
      <c r="G89" s="21" t="s">
        <v>658</v>
      </c>
      <c r="H89" s="138" t="s">
        <v>6</v>
      </c>
      <c r="I89" s="164">
        <f t="shared" si="24"/>
        <v>16</v>
      </c>
      <c r="J89" s="47">
        <f t="shared" si="25"/>
        <v>0</v>
      </c>
      <c r="K89" s="164"/>
      <c r="L89" s="40" t="s">
        <v>8</v>
      </c>
      <c r="M89" s="41" t="s">
        <v>8</v>
      </c>
      <c r="N89" s="40"/>
      <c r="O89" s="41"/>
      <c r="P89" s="40"/>
      <c r="Q89" s="154"/>
      <c r="R89" s="27">
        <v>46003</v>
      </c>
      <c r="S89" s="27">
        <v>46003</v>
      </c>
      <c r="T89" s="188">
        <v>46003</v>
      </c>
      <c r="U89" s="29">
        <v>46019</v>
      </c>
      <c r="V89" s="211">
        <v>46019</v>
      </c>
      <c r="W89" s="235" t="s">
        <v>660</v>
      </c>
      <c r="X89" s="230"/>
      <c r="Y89" s="19"/>
      <c r="Z89" s="92"/>
    </row>
    <row r="90" spans="1:26" s="9" customFormat="1" ht="31.5">
      <c r="A90" s="33">
        <f t="shared" si="29"/>
        <v>84</v>
      </c>
      <c r="B90" s="33" t="str">
        <f t="shared" ref="B90:B91" si="32">MID(D90, FIND("-", D90) + 1, 4)</f>
        <v>5.11</v>
      </c>
      <c r="C90" s="137" t="s">
        <v>656</v>
      </c>
      <c r="D90" s="25" t="s">
        <v>661</v>
      </c>
      <c r="E90" s="174"/>
      <c r="F90" s="31"/>
      <c r="G90" s="21"/>
      <c r="H90" s="138"/>
      <c r="I90" s="164"/>
      <c r="J90" s="47"/>
      <c r="K90" s="164" t="s">
        <v>13</v>
      </c>
      <c r="L90" s="40" t="s">
        <v>8</v>
      </c>
      <c r="M90" s="41" t="s">
        <v>8</v>
      </c>
      <c r="N90" s="40"/>
      <c r="O90" s="41"/>
      <c r="P90" s="40"/>
      <c r="Q90" s="154"/>
      <c r="R90" s="27"/>
      <c r="S90" s="27"/>
      <c r="T90" s="188"/>
      <c r="U90" s="29"/>
      <c r="V90" s="211"/>
      <c r="W90" s="235"/>
      <c r="X90" s="230"/>
      <c r="Y90" s="19"/>
      <c r="Z90" s="92" t="s">
        <v>662</v>
      </c>
    </row>
    <row r="91" spans="1:26" s="9" customFormat="1" ht="78.75">
      <c r="A91" s="33">
        <f t="shared" si="29"/>
        <v>85</v>
      </c>
      <c r="B91" s="33" t="str">
        <f t="shared" si="32"/>
        <v>5.11</v>
      </c>
      <c r="C91" s="137" t="s">
        <v>644</v>
      </c>
      <c r="D91" s="25" t="s">
        <v>663</v>
      </c>
      <c r="E91" s="174">
        <f t="shared" si="23"/>
        <v>46176</v>
      </c>
      <c r="F91" s="31" t="s">
        <v>664</v>
      </c>
      <c r="G91" s="21" t="s">
        <v>665</v>
      </c>
      <c r="H91" s="138" t="s">
        <v>6</v>
      </c>
      <c r="I91" s="164">
        <f t="shared" si="24"/>
        <v>13</v>
      </c>
      <c r="J91" s="47">
        <f t="shared" si="25"/>
        <v>0</v>
      </c>
      <c r="K91" s="164"/>
      <c r="L91" s="40" t="s">
        <v>8</v>
      </c>
      <c r="M91" s="41" t="s">
        <v>8</v>
      </c>
      <c r="N91" s="40" t="s">
        <v>8</v>
      </c>
      <c r="O91" s="41" t="s">
        <v>8</v>
      </c>
      <c r="P91" s="40" t="s">
        <v>8</v>
      </c>
      <c r="Q91" s="154" t="s">
        <v>74</v>
      </c>
      <c r="R91" s="27">
        <v>45988</v>
      </c>
      <c r="S91" s="27">
        <v>45988</v>
      </c>
      <c r="T91" s="188">
        <v>46155</v>
      </c>
      <c r="U91" s="29">
        <v>46168</v>
      </c>
      <c r="V91" s="211">
        <v>46168</v>
      </c>
      <c r="W91" s="235" t="s">
        <v>190</v>
      </c>
      <c r="X91" s="230">
        <v>45930</v>
      </c>
      <c r="Y91" s="19">
        <v>45930</v>
      </c>
      <c r="Z91" s="92" t="s">
        <v>666</v>
      </c>
    </row>
    <row r="92" spans="1:26" s="9" customFormat="1" ht="63">
      <c r="A92" s="33">
        <f t="shared" si="29"/>
        <v>86</v>
      </c>
      <c r="B92" s="33" t="str">
        <f t="shared" ref="B92:B93" si="33">MID(D92, FIND("-", D92) + 1, 4)</f>
        <v>5.11</v>
      </c>
      <c r="C92" s="137"/>
      <c r="D92" s="25" t="s">
        <v>667</v>
      </c>
      <c r="E92" s="174">
        <f t="shared" si="23"/>
        <v>46022</v>
      </c>
      <c r="F92" s="31" t="s">
        <v>668</v>
      </c>
      <c r="G92" s="21" t="s">
        <v>669</v>
      </c>
      <c r="H92" s="138" t="s">
        <v>6</v>
      </c>
      <c r="I92" s="164">
        <f t="shared" si="24"/>
        <v>13</v>
      </c>
      <c r="J92" s="47">
        <f t="shared" si="25"/>
        <v>0</v>
      </c>
      <c r="K92" s="164"/>
      <c r="L92" s="40" t="s">
        <v>8</v>
      </c>
      <c r="M92" s="41" t="s">
        <v>8</v>
      </c>
      <c r="N92" s="40" t="s">
        <v>8</v>
      </c>
      <c r="O92" s="41" t="s">
        <v>8</v>
      </c>
      <c r="P92" s="40" t="s">
        <v>8</v>
      </c>
      <c r="Q92" s="154" t="s">
        <v>74</v>
      </c>
      <c r="R92" s="27">
        <v>46000</v>
      </c>
      <c r="S92" s="27">
        <v>46000</v>
      </c>
      <c r="T92" s="188">
        <v>46001</v>
      </c>
      <c r="U92" s="29">
        <v>46014</v>
      </c>
      <c r="V92" s="211">
        <v>46014</v>
      </c>
      <c r="W92" s="235" t="s">
        <v>670</v>
      </c>
      <c r="X92" s="230">
        <v>45666</v>
      </c>
      <c r="Y92" s="19">
        <v>45666</v>
      </c>
      <c r="Z92" s="92"/>
    </row>
    <row r="93" spans="1:26" s="9" customFormat="1" ht="47.25">
      <c r="A93" s="33">
        <f t="shared" si="29"/>
        <v>87</v>
      </c>
      <c r="B93" s="33" t="str">
        <f t="shared" si="33"/>
        <v>5.11</v>
      </c>
      <c r="C93" s="137"/>
      <c r="D93" s="25" t="s">
        <v>671</v>
      </c>
      <c r="E93" s="174"/>
      <c r="F93" s="31" t="s">
        <v>672</v>
      </c>
      <c r="G93" s="21" t="s">
        <v>673</v>
      </c>
      <c r="H93" s="138" t="s">
        <v>6</v>
      </c>
      <c r="I93" s="164"/>
      <c r="J93" s="47"/>
      <c r="K93" s="164" t="s">
        <v>13</v>
      </c>
      <c r="L93" s="40" t="s">
        <v>8</v>
      </c>
      <c r="M93" s="41" t="s">
        <v>8</v>
      </c>
      <c r="N93" s="40" t="s">
        <v>8</v>
      </c>
      <c r="O93" s="41" t="s">
        <v>8</v>
      </c>
      <c r="P93" s="40"/>
      <c r="Q93" s="154"/>
      <c r="R93" s="27">
        <v>46002</v>
      </c>
      <c r="S93" s="27">
        <v>46002</v>
      </c>
      <c r="T93" s="188">
        <v>46003</v>
      </c>
      <c r="U93" s="29">
        <v>46016</v>
      </c>
      <c r="V93" s="211">
        <v>46016</v>
      </c>
      <c r="W93" s="235" t="s">
        <v>670</v>
      </c>
      <c r="X93" s="230"/>
      <c r="Y93" s="19"/>
      <c r="Z93" s="92" t="s">
        <v>677</v>
      </c>
    </row>
    <row r="94" spans="1:26" s="9" customFormat="1" ht="63">
      <c r="A94" s="33">
        <f t="shared" si="29"/>
        <v>88</v>
      </c>
      <c r="B94" s="33" t="str">
        <f t="shared" ref="B94:B95" si="34">MID(D94, FIND("-", D94) + 1, 4)</f>
        <v>5.11</v>
      </c>
      <c r="C94" s="164" t="s">
        <v>621</v>
      </c>
      <c r="D94" s="25" t="s">
        <v>674</v>
      </c>
      <c r="E94" s="174">
        <f t="shared" si="23"/>
        <v>46024</v>
      </c>
      <c r="F94" s="31" t="s">
        <v>675</v>
      </c>
      <c r="G94" s="21" t="s">
        <v>676</v>
      </c>
      <c r="H94" s="138" t="s">
        <v>6</v>
      </c>
      <c r="I94" s="164">
        <f t="shared" si="24"/>
        <v>13</v>
      </c>
      <c r="J94" s="47">
        <f t="shared" si="25"/>
        <v>0</v>
      </c>
      <c r="K94" s="164"/>
      <c r="L94" s="40" t="s">
        <v>8</v>
      </c>
      <c r="M94" s="41" t="s">
        <v>8</v>
      </c>
      <c r="N94" s="40"/>
      <c r="O94" s="41" t="s">
        <v>8</v>
      </c>
      <c r="P94" s="40"/>
      <c r="Q94" s="154"/>
      <c r="R94" s="27">
        <v>46002</v>
      </c>
      <c r="S94" s="27">
        <v>46002</v>
      </c>
      <c r="T94" s="188">
        <v>46003</v>
      </c>
      <c r="U94" s="29">
        <v>46016</v>
      </c>
      <c r="V94" s="211">
        <v>46016</v>
      </c>
      <c r="W94" s="235" t="s">
        <v>670</v>
      </c>
      <c r="X94" s="230"/>
      <c r="Y94" s="19"/>
      <c r="Z94" s="92"/>
    </row>
    <row r="95" spans="1:26" s="9" customFormat="1" ht="63">
      <c r="A95" s="33">
        <f t="shared" si="29"/>
        <v>89</v>
      </c>
      <c r="B95" s="33" t="str">
        <f t="shared" si="34"/>
        <v>5.11</v>
      </c>
      <c r="C95" s="137" t="s">
        <v>633</v>
      </c>
      <c r="D95" s="25" t="s">
        <v>678</v>
      </c>
      <c r="E95" s="174">
        <f t="shared" si="23"/>
        <v>46059</v>
      </c>
      <c r="F95" s="31" t="s">
        <v>679</v>
      </c>
      <c r="G95" s="21" t="s">
        <v>680</v>
      </c>
      <c r="H95" s="138" t="s">
        <v>6</v>
      </c>
      <c r="I95" s="164">
        <f t="shared" si="24"/>
        <v>67</v>
      </c>
      <c r="J95" s="47">
        <f t="shared" si="25"/>
        <v>46</v>
      </c>
      <c r="K95" s="164"/>
      <c r="L95" s="40" t="s">
        <v>8</v>
      </c>
      <c r="M95" s="41" t="s">
        <v>8</v>
      </c>
      <c r="N95" s="40" t="s">
        <v>8</v>
      </c>
      <c r="O95" s="41" t="s">
        <v>8</v>
      </c>
      <c r="P95" s="40"/>
      <c r="Q95" s="154"/>
      <c r="R95" s="27">
        <v>46005</v>
      </c>
      <c r="S95" s="27">
        <v>46005</v>
      </c>
      <c r="T95" s="188">
        <v>46038</v>
      </c>
      <c r="U95" s="29">
        <v>46051</v>
      </c>
      <c r="V95" s="211">
        <v>46105</v>
      </c>
      <c r="W95" s="235" t="s">
        <v>190</v>
      </c>
      <c r="X95" s="230"/>
      <c r="Y95" s="19"/>
      <c r="Z95" s="92" t="s">
        <v>681</v>
      </c>
    </row>
    <row r="96" spans="1:26" s="9" customFormat="1" ht="94.5">
      <c r="A96" s="33">
        <f t="shared" si="29"/>
        <v>90</v>
      </c>
      <c r="B96" s="33" t="str">
        <f t="shared" ref="B96:B97" si="35">MID(D96, FIND("-", D96) + 1, 4)</f>
        <v>5.11</v>
      </c>
      <c r="C96" s="164" t="s">
        <v>621</v>
      </c>
      <c r="D96" s="25" t="s">
        <v>682</v>
      </c>
      <c r="E96" s="174"/>
      <c r="F96" s="31" t="s">
        <v>683</v>
      </c>
      <c r="G96" s="21" t="s">
        <v>684</v>
      </c>
      <c r="H96" s="138"/>
      <c r="I96" s="164"/>
      <c r="J96" s="47"/>
      <c r="K96" s="164" t="s">
        <v>13</v>
      </c>
      <c r="L96" s="40" t="s">
        <v>8</v>
      </c>
      <c r="M96" s="41" t="s">
        <v>8</v>
      </c>
      <c r="N96" s="40"/>
      <c r="O96" s="41"/>
      <c r="P96" s="40"/>
      <c r="Q96" s="154"/>
      <c r="R96" s="27">
        <v>46007</v>
      </c>
      <c r="S96" s="27">
        <v>46007</v>
      </c>
      <c r="T96" s="188">
        <v>46084</v>
      </c>
      <c r="U96" s="29"/>
      <c r="V96" s="211"/>
      <c r="W96" s="235"/>
      <c r="X96" s="230"/>
      <c r="Y96" s="19"/>
      <c r="Z96" s="92" t="s">
        <v>685</v>
      </c>
    </row>
    <row r="97" spans="1:26" s="9" customFormat="1" ht="94.5">
      <c r="A97" s="33">
        <f t="shared" si="29"/>
        <v>91</v>
      </c>
      <c r="B97" s="33" t="str">
        <f t="shared" si="35"/>
        <v>5.11</v>
      </c>
      <c r="C97" s="164" t="s">
        <v>621</v>
      </c>
      <c r="D97" s="25" t="s">
        <v>686</v>
      </c>
      <c r="E97" s="174">
        <f t="shared" si="23"/>
        <v>46217</v>
      </c>
      <c r="F97" s="31" t="s">
        <v>896</v>
      </c>
      <c r="G97" s="21" t="s">
        <v>897</v>
      </c>
      <c r="H97" s="138"/>
      <c r="I97" s="164">
        <f t="shared" ca="1" si="24"/>
        <v>113</v>
      </c>
      <c r="J97" s="47">
        <f t="shared" ca="1" si="25"/>
        <v>92</v>
      </c>
      <c r="K97" s="164"/>
      <c r="L97" s="40" t="s">
        <v>8</v>
      </c>
      <c r="M97" s="41" t="s">
        <v>8</v>
      </c>
      <c r="N97" s="40"/>
      <c r="O97" s="41"/>
      <c r="P97" s="40"/>
      <c r="Q97" s="154"/>
      <c r="R97" s="27">
        <v>46169</v>
      </c>
      <c r="S97" s="27">
        <v>46169</v>
      </c>
      <c r="T97" s="188">
        <v>46196</v>
      </c>
      <c r="U97" s="29"/>
      <c r="V97" s="211"/>
      <c r="W97" s="235"/>
      <c r="X97" s="230"/>
      <c r="Y97" s="19"/>
      <c r="Z97" s="92" t="s">
        <v>895</v>
      </c>
    </row>
    <row r="98" spans="1:26" s="9" customFormat="1" ht="31.5">
      <c r="A98" s="33">
        <f t="shared" si="29"/>
        <v>92</v>
      </c>
      <c r="B98" s="33" t="str">
        <f t="shared" ref="B98:B99" si="36">MID(D98, FIND("-", D98) + 1, 4)</f>
        <v>5.11</v>
      </c>
      <c r="C98" s="137" t="s">
        <v>688</v>
      </c>
      <c r="D98" s="25" t="s">
        <v>687</v>
      </c>
      <c r="E98" s="174">
        <f t="shared" si="23"/>
        <v>46059</v>
      </c>
      <c r="F98" s="31" t="s">
        <v>689</v>
      </c>
      <c r="G98" s="21" t="s">
        <v>690</v>
      </c>
      <c r="H98" s="138" t="s">
        <v>6</v>
      </c>
      <c r="I98" s="164">
        <f t="shared" si="24"/>
        <v>67</v>
      </c>
      <c r="J98" s="47">
        <f t="shared" si="25"/>
        <v>46</v>
      </c>
      <c r="K98" s="164"/>
      <c r="L98" s="40" t="s">
        <v>8</v>
      </c>
      <c r="M98" s="41" t="s">
        <v>8</v>
      </c>
      <c r="N98" s="40" t="s">
        <v>8</v>
      </c>
      <c r="O98" s="41" t="s">
        <v>8</v>
      </c>
      <c r="P98" s="40"/>
      <c r="Q98" s="154"/>
      <c r="R98" s="27">
        <v>46038</v>
      </c>
      <c r="S98" s="27">
        <v>46038</v>
      </c>
      <c r="T98" s="188">
        <v>46038</v>
      </c>
      <c r="U98" s="29">
        <v>46051</v>
      </c>
      <c r="V98" s="211">
        <v>46105</v>
      </c>
      <c r="W98" s="235" t="s">
        <v>190</v>
      </c>
      <c r="X98" s="230"/>
      <c r="Y98" s="19"/>
      <c r="Z98" s="92" t="s">
        <v>691</v>
      </c>
    </row>
    <row r="99" spans="1:26" s="9" customFormat="1" ht="78.75">
      <c r="A99" s="33">
        <f t="shared" si="29"/>
        <v>93</v>
      </c>
      <c r="B99" s="33" t="str">
        <f t="shared" si="36"/>
        <v>5.11</v>
      </c>
      <c r="C99" s="164" t="s">
        <v>656</v>
      </c>
      <c r="D99" s="25" t="s">
        <v>692</v>
      </c>
      <c r="E99" s="174">
        <f t="shared" si="23"/>
        <v>46108</v>
      </c>
      <c r="F99" s="31" t="s">
        <v>693</v>
      </c>
      <c r="G99" s="21" t="s">
        <v>694</v>
      </c>
      <c r="H99" s="138" t="s">
        <v>6</v>
      </c>
      <c r="I99" s="164">
        <f t="shared" si="24"/>
        <v>47</v>
      </c>
      <c r="J99" s="47">
        <f t="shared" si="25"/>
        <v>26</v>
      </c>
      <c r="K99" s="164"/>
      <c r="L99" s="40" t="s">
        <v>8</v>
      </c>
      <c r="M99" s="41" t="s">
        <v>8</v>
      </c>
      <c r="N99" s="40" t="s">
        <v>8</v>
      </c>
      <c r="O99" s="41" t="s">
        <v>8</v>
      </c>
      <c r="P99" s="40"/>
      <c r="Q99" s="154"/>
      <c r="R99" s="27">
        <v>46083</v>
      </c>
      <c r="S99" s="27">
        <v>46083</v>
      </c>
      <c r="T99" s="188">
        <v>46087</v>
      </c>
      <c r="U99" s="29">
        <v>46100</v>
      </c>
      <c r="V99" s="211">
        <v>46134</v>
      </c>
      <c r="W99" s="235" t="s">
        <v>695</v>
      </c>
      <c r="X99" s="230"/>
      <c r="Y99" s="19"/>
      <c r="Z99" s="92"/>
    </row>
    <row r="100" spans="1:26" s="9" customFormat="1" ht="78.75">
      <c r="A100" s="33">
        <f t="shared" si="29"/>
        <v>94</v>
      </c>
      <c r="B100" s="33" t="str">
        <f t="shared" ref="B100:B101" si="37">MID(D100, FIND("-", D100) + 1, 4)</f>
        <v>5.11</v>
      </c>
      <c r="C100" s="137" t="s">
        <v>372</v>
      </c>
      <c r="D100" s="25" t="s">
        <v>696</v>
      </c>
      <c r="E100" s="174">
        <f t="shared" si="23"/>
        <v>46115</v>
      </c>
      <c r="F100" s="31" t="s">
        <v>697</v>
      </c>
      <c r="G100" s="21" t="s">
        <v>698</v>
      </c>
      <c r="H100" s="138" t="s">
        <v>6</v>
      </c>
      <c r="I100" s="164">
        <f t="shared" si="24"/>
        <v>18</v>
      </c>
      <c r="J100" s="47">
        <f t="shared" si="25"/>
        <v>0</v>
      </c>
      <c r="K100" s="164"/>
      <c r="L100" s="40" t="s">
        <v>8</v>
      </c>
      <c r="M100" s="41" t="s">
        <v>8</v>
      </c>
      <c r="N100" s="40" t="s">
        <v>8</v>
      </c>
      <c r="O100" s="41" t="s">
        <v>8</v>
      </c>
      <c r="P100" s="40"/>
      <c r="Q100" s="154"/>
      <c r="R100" s="27">
        <v>46088</v>
      </c>
      <c r="S100" s="27">
        <v>46088</v>
      </c>
      <c r="T100" s="188">
        <v>46094</v>
      </c>
      <c r="U100" s="29">
        <v>46107</v>
      </c>
      <c r="V100" s="211">
        <v>46112</v>
      </c>
      <c r="W100" s="235" t="s">
        <v>190</v>
      </c>
      <c r="X100" s="230"/>
      <c r="Y100" s="19"/>
      <c r="Z100" s="92" t="s">
        <v>691</v>
      </c>
    </row>
    <row r="101" spans="1:26" s="9" customFormat="1" ht="63">
      <c r="A101" s="33">
        <f t="shared" si="29"/>
        <v>95</v>
      </c>
      <c r="B101" s="33" t="str">
        <f t="shared" si="37"/>
        <v>5.11</v>
      </c>
      <c r="C101" s="164" t="s">
        <v>656</v>
      </c>
      <c r="D101" s="25" t="s">
        <v>699</v>
      </c>
      <c r="E101" s="174">
        <f t="shared" si="23"/>
        <v>46115</v>
      </c>
      <c r="F101" s="31" t="s">
        <v>700</v>
      </c>
      <c r="G101" s="21" t="s">
        <v>701</v>
      </c>
      <c r="H101" s="138" t="s">
        <v>6</v>
      </c>
      <c r="I101" s="164">
        <f t="shared" si="24"/>
        <v>18</v>
      </c>
      <c r="J101" s="47">
        <f t="shared" si="25"/>
        <v>0</v>
      </c>
      <c r="K101" s="164"/>
      <c r="L101" s="40" t="s">
        <v>8</v>
      </c>
      <c r="M101" s="41" t="s">
        <v>8</v>
      </c>
      <c r="N101" s="40" t="s">
        <v>8</v>
      </c>
      <c r="O101" s="41" t="s">
        <v>8</v>
      </c>
      <c r="P101" s="40"/>
      <c r="Q101" s="154"/>
      <c r="R101" s="27">
        <v>46093</v>
      </c>
      <c r="S101" s="27">
        <v>46093</v>
      </c>
      <c r="T101" s="188">
        <v>46094</v>
      </c>
      <c r="U101" s="29">
        <v>46107</v>
      </c>
      <c r="V101" s="211">
        <v>46112</v>
      </c>
      <c r="W101" s="235" t="s">
        <v>190</v>
      </c>
      <c r="X101" s="230"/>
      <c r="Y101" s="19"/>
      <c r="Z101" s="92"/>
    </row>
    <row r="102" spans="1:26" s="9" customFormat="1" ht="94.5">
      <c r="A102" s="33">
        <f t="shared" si="29"/>
        <v>96</v>
      </c>
      <c r="B102" s="33" t="str">
        <f t="shared" ref="B102:B103" si="38">MID(D102, FIND("-", D102) + 1, 4)</f>
        <v>5.11</v>
      </c>
      <c r="C102" s="137"/>
      <c r="D102" s="25" t="s">
        <v>702</v>
      </c>
      <c r="E102" s="174">
        <f t="shared" si="23"/>
        <v>46128</v>
      </c>
      <c r="F102" s="31" t="s">
        <v>703</v>
      </c>
      <c r="G102" s="21" t="s">
        <v>704</v>
      </c>
      <c r="H102" s="138" t="s">
        <v>6</v>
      </c>
      <c r="I102" s="164">
        <f t="shared" si="24"/>
        <v>29</v>
      </c>
      <c r="J102" s="47">
        <f t="shared" si="25"/>
        <v>8</v>
      </c>
      <c r="K102" s="164"/>
      <c r="L102" s="40" t="s">
        <v>8</v>
      </c>
      <c r="M102" s="41" t="s">
        <v>8</v>
      </c>
      <c r="N102" s="40" t="s">
        <v>8</v>
      </c>
      <c r="O102" s="41" t="s">
        <v>8</v>
      </c>
      <c r="P102" s="40"/>
      <c r="Q102" s="154"/>
      <c r="R102" s="27">
        <v>46098</v>
      </c>
      <c r="S102" s="27">
        <v>46098</v>
      </c>
      <c r="T102" s="188">
        <v>46107</v>
      </c>
      <c r="U102" s="29">
        <v>46120</v>
      </c>
      <c r="V102" s="211">
        <v>46136</v>
      </c>
      <c r="W102" s="235" t="s">
        <v>190</v>
      </c>
      <c r="X102" s="230"/>
      <c r="Y102" s="19"/>
      <c r="Z102" s="92"/>
    </row>
    <row r="103" spans="1:26" s="9" customFormat="1" ht="47.25">
      <c r="A103" s="33">
        <f t="shared" si="29"/>
        <v>97</v>
      </c>
      <c r="B103" s="33" t="str">
        <f t="shared" si="38"/>
        <v>5.11</v>
      </c>
      <c r="C103" s="164" t="s">
        <v>656</v>
      </c>
      <c r="D103" s="25" t="s">
        <v>705</v>
      </c>
      <c r="E103" s="174">
        <f t="shared" si="23"/>
        <v>46127</v>
      </c>
      <c r="F103" s="31" t="s">
        <v>706</v>
      </c>
      <c r="G103" s="21" t="s">
        <v>707</v>
      </c>
      <c r="H103" s="138" t="s">
        <v>6</v>
      </c>
      <c r="I103" s="164">
        <f t="shared" si="24"/>
        <v>43</v>
      </c>
      <c r="J103" s="47">
        <f t="shared" si="25"/>
        <v>22</v>
      </c>
      <c r="K103" s="164"/>
      <c r="L103" s="40" t="s">
        <v>8</v>
      </c>
      <c r="M103" s="41" t="s">
        <v>8</v>
      </c>
      <c r="N103" s="40" t="s">
        <v>8</v>
      </c>
      <c r="O103" s="41" t="s">
        <v>8</v>
      </c>
      <c r="P103" s="40"/>
      <c r="Q103" s="154"/>
      <c r="R103" s="27">
        <v>46098</v>
      </c>
      <c r="S103" s="27">
        <v>46098</v>
      </c>
      <c r="T103" s="188">
        <v>46106</v>
      </c>
      <c r="U103" s="29">
        <v>46119</v>
      </c>
      <c r="V103" s="211">
        <v>46149</v>
      </c>
      <c r="W103" s="235" t="s">
        <v>709</v>
      </c>
      <c r="X103" s="230"/>
      <c r="Y103" s="19"/>
      <c r="Z103" s="92" t="s">
        <v>708</v>
      </c>
    </row>
    <row r="104" spans="1:26" s="9" customFormat="1" ht="63">
      <c r="A104" s="33">
        <f t="shared" si="29"/>
        <v>98</v>
      </c>
      <c r="B104" s="33" t="str">
        <f t="shared" ref="B104:B105" si="39">MID(D104, FIND("-", D104) + 1, 4)</f>
        <v>5.11</v>
      </c>
      <c r="C104" s="137" t="s">
        <v>372</v>
      </c>
      <c r="D104" s="25" t="s">
        <v>710</v>
      </c>
      <c r="E104" s="174">
        <f t="shared" si="23"/>
        <v>46127</v>
      </c>
      <c r="F104" s="31" t="s">
        <v>711</v>
      </c>
      <c r="G104" s="21" t="s">
        <v>712</v>
      </c>
      <c r="H104" s="138" t="s">
        <v>6</v>
      </c>
      <c r="I104" s="164">
        <f t="shared" si="24"/>
        <v>6</v>
      </c>
      <c r="J104" s="47">
        <f t="shared" si="25"/>
        <v>0</v>
      </c>
      <c r="K104" s="164"/>
      <c r="L104" s="40" t="s">
        <v>8</v>
      </c>
      <c r="M104" s="41" t="s">
        <v>8</v>
      </c>
      <c r="N104" s="40" t="s">
        <v>8</v>
      </c>
      <c r="O104" s="41" t="s">
        <v>8</v>
      </c>
      <c r="P104" s="40"/>
      <c r="Q104" s="154"/>
      <c r="R104" s="27">
        <v>46100</v>
      </c>
      <c r="S104" s="27">
        <v>46100</v>
      </c>
      <c r="T104" s="188">
        <v>46106</v>
      </c>
      <c r="U104" s="29">
        <v>46112</v>
      </c>
      <c r="V104" s="211">
        <v>46112</v>
      </c>
      <c r="W104" s="235" t="s">
        <v>190</v>
      </c>
      <c r="X104" s="230"/>
      <c r="Y104" s="19"/>
      <c r="Z104" s="92"/>
    </row>
    <row r="105" spans="1:26" s="9" customFormat="1" ht="63">
      <c r="A105" s="33">
        <f t="shared" si="29"/>
        <v>99</v>
      </c>
      <c r="B105" s="33" t="str">
        <f t="shared" si="39"/>
        <v>5.11</v>
      </c>
      <c r="C105" s="164" t="s">
        <v>144</v>
      </c>
      <c r="D105" s="25" t="s">
        <v>713</v>
      </c>
      <c r="E105" s="174">
        <f t="shared" si="23"/>
        <v>46127</v>
      </c>
      <c r="F105" s="31" t="s">
        <v>714</v>
      </c>
      <c r="G105" s="21" t="s">
        <v>715</v>
      </c>
      <c r="H105" s="138" t="s">
        <v>6</v>
      </c>
      <c r="I105" s="164">
        <f t="shared" si="24"/>
        <v>43</v>
      </c>
      <c r="J105" s="47">
        <f t="shared" si="25"/>
        <v>22</v>
      </c>
      <c r="K105" s="164"/>
      <c r="L105" s="40" t="s">
        <v>8</v>
      </c>
      <c r="M105" s="41" t="s">
        <v>8</v>
      </c>
      <c r="N105" s="40" t="s">
        <v>8</v>
      </c>
      <c r="O105" s="41" t="s">
        <v>8</v>
      </c>
      <c r="P105" s="40" t="s">
        <v>8</v>
      </c>
      <c r="Q105" s="154" t="s">
        <v>74</v>
      </c>
      <c r="R105" s="27">
        <v>46100</v>
      </c>
      <c r="S105" s="27">
        <v>46100</v>
      </c>
      <c r="T105" s="188">
        <v>46106</v>
      </c>
      <c r="U105" s="29">
        <v>46119</v>
      </c>
      <c r="V105" s="211">
        <v>46149</v>
      </c>
      <c r="W105" s="235" t="s">
        <v>709</v>
      </c>
      <c r="X105" s="230">
        <v>46165</v>
      </c>
      <c r="Y105" s="19">
        <v>46165</v>
      </c>
      <c r="Z105" s="92" t="s">
        <v>708</v>
      </c>
    </row>
    <row r="106" spans="1:26" s="9" customFormat="1" ht="78.75">
      <c r="A106" s="33">
        <f t="shared" si="29"/>
        <v>100</v>
      </c>
      <c r="B106" s="33" t="str">
        <f t="shared" ref="B106:B107" si="40">MID(D106, FIND("-", D106) + 1, 4)</f>
        <v>5.11</v>
      </c>
      <c r="C106" s="137" t="s">
        <v>144</v>
      </c>
      <c r="D106" s="25" t="s">
        <v>716</v>
      </c>
      <c r="E106" s="174">
        <f t="shared" si="23"/>
        <v>46127</v>
      </c>
      <c r="F106" s="31" t="s">
        <v>717</v>
      </c>
      <c r="G106" s="21" t="s">
        <v>718</v>
      </c>
      <c r="H106" s="138" t="s">
        <v>6</v>
      </c>
      <c r="I106" s="164">
        <f t="shared" si="24"/>
        <v>30</v>
      </c>
      <c r="J106" s="47">
        <f t="shared" si="25"/>
        <v>9</v>
      </c>
      <c r="K106" s="164"/>
      <c r="L106" s="40" t="s">
        <v>8</v>
      </c>
      <c r="M106" s="41" t="s">
        <v>8</v>
      </c>
      <c r="N106" s="40" t="s">
        <v>8</v>
      </c>
      <c r="O106" s="41" t="s">
        <v>8</v>
      </c>
      <c r="P106" s="40" t="s">
        <v>8</v>
      </c>
      <c r="Q106" s="154" t="s">
        <v>74</v>
      </c>
      <c r="R106" s="27">
        <v>46104</v>
      </c>
      <c r="S106" s="27">
        <v>46104</v>
      </c>
      <c r="T106" s="188">
        <v>46106</v>
      </c>
      <c r="U106" s="29">
        <v>46119</v>
      </c>
      <c r="V106" s="211">
        <v>46136</v>
      </c>
      <c r="W106" s="235" t="s">
        <v>190</v>
      </c>
      <c r="X106" s="230">
        <v>46153</v>
      </c>
      <c r="Y106" s="19">
        <v>46153</v>
      </c>
      <c r="Z106" s="92" t="s">
        <v>708</v>
      </c>
    </row>
    <row r="107" spans="1:26" s="9" customFormat="1" ht="47.25">
      <c r="A107" s="33">
        <f t="shared" si="29"/>
        <v>101</v>
      </c>
      <c r="B107" s="33" t="str">
        <f t="shared" si="40"/>
        <v>5.11</v>
      </c>
      <c r="C107" s="164" t="s">
        <v>144</v>
      </c>
      <c r="D107" s="25" t="s">
        <v>719</v>
      </c>
      <c r="E107" s="174">
        <f t="shared" si="23"/>
        <v>46142</v>
      </c>
      <c r="F107" s="31" t="s">
        <v>720</v>
      </c>
      <c r="G107" s="21" t="s">
        <v>721</v>
      </c>
      <c r="H107" s="138" t="s">
        <v>6</v>
      </c>
      <c r="I107" s="164">
        <f t="shared" si="24"/>
        <v>13</v>
      </c>
      <c r="J107" s="47">
        <f t="shared" si="25"/>
        <v>0</v>
      </c>
      <c r="K107" s="164"/>
      <c r="L107" s="40" t="s">
        <v>8</v>
      </c>
      <c r="M107" s="41" t="s">
        <v>8</v>
      </c>
      <c r="N107" s="40" t="s">
        <v>8</v>
      </c>
      <c r="O107" s="41" t="s">
        <v>8</v>
      </c>
      <c r="P107" s="40"/>
      <c r="Q107" s="154"/>
      <c r="R107" s="27">
        <v>46119</v>
      </c>
      <c r="S107" s="27">
        <v>46119</v>
      </c>
      <c r="T107" s="188">
        <v>46121</v>
      </c>
      <c r="U107" s="29">
        <v>46134</v>
      </c>
      <c r="V107" s="211">
        <v>46134</v>
      </c>
      <c r="W107" s="235" t="s">
        <v>190</v>
      </c>
      <c r="X107" s="230"/>
      <c r="Y107" s="19"/>
      <c r="Z107" s="92" t="s">
        <v>708</v>
      </c>
    </row>
    <row r="108" spans="1:26" s="9" customFormat="1" ht="63">
      <c r="A108" s="33">
        <f t="shared" si="29"/>
        <v>102</v>
      </c>
      <c r="B108" s="33" t="str">
        <f t="shared" ref="B108:B109" si="41">MID(D108, FIND("-", D108) + 1, 4)</f>
        <v>5.11</v>
      </c>
      <c r="C108" s="137" t="s">
        <v>725</v>
      </c>
      <c r="D108" s="25" t="s">
        <v>722</v>
      </c>
      <c r="E108" s="174">
        <f t="shared" si="23"/>
        <v>46142</v>
      </c>
      <c r="F108" s="31" t="s">
        <v>723</v>
      </c>
      <c r="G108" s="21" t="s">
        <v>724</v>
      </c>
      <c r="H108" s="138" t="s">
        <v>6</v>
      </c>
      <c r="I108" s="164">
        <f t="shared" si="24"/>
        <v>36</v>
      </c>
      <c r="J108" s="47">
        <f t="shared" si="25"/>
        <v>15</v>
      </c>
      <c r="K108" s="164"/>
      <c r="L108" s="40" t="s">
        <v>8</v>
      </c>
      <c r="M108" s="41" t="s">
        <v>8</v>
      </c>
      <c r="N108" s="40" t="s">
        <v>8</v>
      </c>
      <c r="O108" s="41" t="s">
        <v>8</v>
      </c>
      <c r="P108" s="40" t="s">
        <v>8</v>
      </c>
      <c r="Q108" s="154" t="s">
        <v>74</v>
      </c>
      <c r="R108" s="27">
        <v>46121</v>
      </c>
      <c r="S108" s="27">
        <v>46121</v>
      </c>
      <c r="T108" s="188">
        <v>46121</v>
      </c>
      <c r="U108" s="29">
        <v>46157</v>
      </c>
      <c r="V108" s="211">
        <v>46157</v>
      </c>
      <c r="W108" s="235" t="s">
        <v>726</v>
      </c>
      <c r="X108" s="230">
        <v>46162</v>
      </c>
      <c r="Y108" s="19">
        <v>46162</v>
      </c>
      <c r="Z108" s="92"/>
    </row>
    <row r="109" spans="1:26" s="9" customFormat="1" ht="126">
      <c r="A109" s="33">
        <f t="shared" si="29"/>
        <v>103</v>
      </c>
      <c r="B109" s="33" t="str">
        <f t="shared" si="41"/>
        <v>5.11</v>
      </c>
      <c r="C109" s="164" t="s">
        <v>144</v>
      </c>
      <c r="D109" s="25" t="s">
        <v>727</v>
      </c>
      <c r="E109" s="174">
        <f t="shared" si="23"/>
        <v>46176</v>
      </c>
      <c r="F109" s="31" t="s">
        <v>728</v>
      </c>
      <c r="G109" s="21" t="s">
        <v>729</v>
      </c>
      <c r="H109" s="138" t="s">
        <v>6</v>
      </c>
      <c r="I109" s="164">
        <f t="shared" si="24"/>
        <v>8</v>
      </c>
      <c r="J109" s="47">
        <f t="shared" si="25"/>
        <v>0</v>
      </c>
      <c r="K109" s="164" t="s">
        <v>929</v>
      </c>
      <c r="L109" s="40" t="s">
        <v>8</v>
      </c>
      <c r="M109" s="41" t="s">
        <v>8</v>
      </c>
      <c r="N109" s="40" t="s">
        <v>8</v>
      </c>
      <c r="O109" s="41" t="s">
        <v>8</v>
      </c>
      <c r="P109" s="40"/>
      <c r="Q109" s="154"/>
      <c r="R109" s="27">
        <v>46154</v>
      </c>
      <c r="S109" s="27">
        <v>46154</v>
      </c>
      <c r="T109" s="188">
        <v>46155</v>
      </c>
      <c r="U109" s="29">
        <v>46163</v>
      </c>
      <c r="V109" s="211">
        <v>46163</v>
      </c>
      <c r="W109" s="235" t="s">
        <v>190</v>
      </c>
      <c r="X109" s="230"/>
      <c r="Y109" s="19"/>
      <c r="Z109" s="92" t="s">
        <v>930</v>
      </c>
    </row>
    <row r="110" spans="1:26" s="9" customFormat="1" ht="94.5">
      <c r="A110" s="33">
        <f t="shared" si="29"/>
        <v>104</v>
      </c>
      <c r="B110" s="33" t="str">
        <f t="shared" ref="B110" si="42">MID(D110, FIND("-", D110) + 1, 4)</f>
        <v>5.11</v>
      </c>
      <c r="C110" s="137" t="s">
        <v>656</v>
      </c>
      <c r="D110" s="25" t="s">
        <v>730</v>
      </c>
      <c r="E110" s="174">
        <f t="shared" si="23"/>
        <v>46221</v>
      </c>
      <c r="F110" s="31" t="s">
        <v>731</v>
      </c>
      <c r="G110" s="21" t="s">
        <v>732</v>
      </c>
      <c r="H110" s="138" t="s">
        <v>6</v>
      </c>
      <c r="I110" s="164">
        <f t="shared" si="24"/>
        <v>18</v>
      </c>
      <c r="J110" s="47">
        <f t="shared" si="25"/>
        <v>0</v>
      </c>
      <c r="K110" s="164"/>
      <c r="L110" s="40" t="s">
        <v>8</v>
      </c>
      <c r="M110" s="41" t="s">
        <v>8</v>
      </c>
      <c r="N110" s="40" t="s">
        <v>8</v>
      </c>
      <c r="O110" s="41"/>
      <c r="P110" s="40"/>
      <c r="Q110" s="154"/>
      <c r="R110" s="27">
        <v>46171</v>
      </c>
      <c r="S110" s="27">
        <v>46171</v>
      </c>
      <c r="T110" s="188">
        <v>46200</v>
      </c>
      <c r="U110" s="29">
        <v>46205</v>
      </c>
      <c r="V110" s="211">
        <v>46218</v>
      </c>
      <c r="W110" s="235" t="s">
        <v>240</v>
      </c>
      <c r="X110" s="230"/>
      <c r="Y110" s="19"/>
      <c r="Z110" s="92" t="s">
        <v>937</v>
      </c>
    </row>
    <row r="111" spans="1:26" s="9" customFormat="1" ht="47.25">
      <c r="A111" s="33">
        <f t="shared" si="29"/>
        <v>105</v>
      </c>
      <c r="B111" s="33" t="str">
        <f t="shared" ref="B111" si="43">MID(D111, FIND("-", D111) + 1, 4)</f>
        <v>5.11</v>
      </c>
      <c r="C111" s="137" t="s">
        <v>144</v>
      </c>
      <c r="D111" s="25" t="s">
        <v>840</v>
      </c>
      <c r="E111" s="174">
        <f t="shared" si="23"/>
        <v>46206</v>
      </c>
      <c r="F111" s="31" t="s">
        <v>841</v>
      </c>
      <c r="G111" s="21" t="s">
        <v>842</v>
      </c>
      <c r="H111" s="138" t="s">
        <v>6</v>
      </c>
      <c r="I111" s="164">
        <f t="shared" si="24"/>
        <v>13</v>
      </c>
      <c r="J111" s="47">
        <f t="shared" si="25"/>
        <v>0</v>
      </c>
      <c r="K111" s="164"/>
      <c r="L111" s="40" t="s">
        <v>8</v>
      </c>
      <c r="M111" s="41" t="s">
        <v>8</v>
      </c>
      <c r="N111" s="40" t="s">
        <v>8</v>
      </c>
      <c r="O111" s="41"/>
      <c r="P111" s="40"/>
      <c r="Q111" s="154"/>
      <c r="R111" s="27">
        <v>46185</v>
      </c>
      <c r="S111" s="27">
        <v>46185</v>
      </c>
      <c r="T111" s="188">
        <v>46185</v>
      </c>
      <c r="U111" s="29">
        <v>46196</v>
      </c>
      <c r="V111" s="211">
        <v>46198</v>
      </c>
      <c r="W111" s="235" t="s">
        <v>240</v>
      </c>
      <c r="X111" s="230"/>
      <c r="Y111" s="19"/>
      <c r="Z111" s="92" t="s">
        <v>922</v>
      </c>
    </row>
    <row r="112" spans="1:26" s="9" customFormat="1" ht="47.25">
      <c r="A112" s="33">
        <f t="shared" si="29"/>
        <v>106</v>
      </c>
      <c r="B112" s="33" t="str">
        <f t="shared" ref="B112" si="44">MID(D112, FIND("-", D112) + 1, 4)</f>
        <v>5.11</v>
      </c>
      <c r="C112" s="137" t="s">
        <v>144</v>
      </c>
      <c r="D112" s="25" t="s">
        <v>849</v>
      </c>
      <c r="E112" s="174"/>
      <c r="F112" s="31" t="s">
        <v>672</v>
      </c>
      <c r="G112" s="21" t="s">
        <v>850</v>
      </c>
      <c r="H112" s="138"/>
      <c r="I112" s="164">
        <f t="shared" ca="1" si="24"/>
        <v>124</v>
      </c>
      <c r="J112" s="47">
        <f t="shared" ca="1" si="25"/>
        <v>103</v>
      </c>
      <c r="K112" s="164" t="s">
        <v>13</v>
      </c>
      <c r="L112" s="40" t="s">
        <v>8</v>
      </c>
      <c r="M112" s="41" t="s">
        <v>8</v>
      </c>
      <c r="N112" s="40"/>
      <c r="O112" s="41"/>
      <c r="P112" s="40"/>
      <c r="Q112" s="154"/>
      <c r="R112" s="27">
        <v>46185</v>
      </c>
      <c r="S112" s="27">
        <v>46185</v>
      </c>
      <c r="T112" s="188">
        <v>46185</v>
      </c>
      <c r="U112" s="333"/>
      <c r="V112" s="333"/>
      <c r="W112" s="235"/>
      <c r="X112" s="230"/>
      <c r="Y112" s="19"/>
      <c r="Z112" s="92" t="s">
        <v>898</v>
      </c>
    </row>
    <row r="113" spans="1:26" s="9" customFormat="1" ht="78.75">
      <c r="A113" s="33">
        <f t="shared" si="29"/>
        <v>107</v>
      </c>
      <c r="B113" s="33" t="str">
        <f t="shared" ref="B113" si="45">MID(D113, FIND("-", D113) + 1, 4)</f>
        <v>5.11</v>
      </c>
      <c r="C113" s="164" t="s">
        <v>621</v>
      </c>
      <c r="D113" s="25" t="s">
        <v>865</v>
      </c>
      <c r="E113" s="174">
        <f t="shared" si="23"/>
        <v>46266</v>
      </c>
      <c r="F113" s="31" t="s">
        <v>866</v>
      </c>
      <c r="G113" s="21" t="s">
        <v>867</v>
      </c>
      <c r="H113" s="138" t="s">
        <v>6</v>
      </c>
      <c r="I113" s="164">
        <f t="shared" ca="1" si="24"/>
        <v>64</v>
      </c>
      <c r="J113" s="47">
        <f t="shared" ca="1" si="25"/>
        <v>43</v>
      </c>
      <c r="K113" s="164"/>
      <c r="L113" s="40" t="s">
        <v>8</v>
      </c>
      <c r="M113" s="41" t="s">
        <v>8</v>
      </c>
      <c r="N113" s="40"/>
      <c r="O113" s="41"/>
      <c r="P113" s="40"/>
      <c r="Q113" s="154"/>
      <c r="R113" s="27">
        <v>46192</v>
      </c>
      <c r="S113" s="27">
        <v>46192</v>
      </c>
      <c r="T113" s="188">
        <v>46245</v>
      </c>
      <c r="U113" s="29"/>
      <c r="V113" s="211"/>
      <c r="W113" s="331" t="s">
        <v>240</v>
      </c>
      <c r="X113" s="230"/>
      <c r="Y113" s="19"/>
      <c r="Z113" s="92" t="s">
        <v>1018</v>
      </c>
    </row>
    <row r="114" spans="1:26" s="9" customFormat="1" ht="63">
      <c r="A114" s="33">
        <f t="shared" si="29"/>
        <v>108</v>
      </c>
      <c r="B114" s="33" t="str">
        <f t="shared" ref="B114" si="46">MID(D114, FIND("-", D114) + 1, 4)</f>
        <v>5.11</v>
      </c>
      <c r="C114" s="164" t="s">
        <v>621</v>
      </c>
      <c r="D114" s="25" t="s">
        <v>893</v>
      </c>
      <c r="E114" s="174">
        <f t="shared" si="23"/>
        <v>46217</v>
      </c>
      <c r="F114" s="31" t="s">
        <v>675</v>
      </c>
      <c r="G114" s="21" t="s">
        <v>894</v>
      </c>
      <c r="H114" s="138" t="s">
        <v>6</v>
      </c>
      <c r="I114" s="164">
        <f t="shared" si="24"/>
        <v>48</v>
      </c>
      <c r="J114" s="47">
        <f t="shared" si="25"/>
        <v>27</v>
      </c>
      <c r="K114" s="164"/>
      <c r="L114" s="40" t="s">
        <v>8</v>
      </c>
      <c r="M114" s="41" t="s">
        <v>8</v>
      </c>
      <c r="N114" s="40" t="s">
        <v>8</v>
      </c>
      <c r="O114" s="41"/>
      <c r="P114" s="40"/>
      <c r="Q114" s="154"/>
      <c r="R114" s="27">
        <v>46196</v>
      </c>
      <c r="S114" s="27">
        <v>46196</v>
      </c>
      <c r="T114" s="188">
        <v>46196</v>
      </c>
      <c r="U114" s="29">
        <v>46240</v>
      </c>
      <c r="V114" s="211">
        <v>46244</v>
      </c>
      <c r="W114" s="235" t="s">
        <v>240</v>
      </c>
      <c r="X114" s="230"/>
      <c r="Y114" s="19"/>
      <c r="Z114" s="92"/>
    </row>
    <row r="115" spans="1:26" s="9" customFormat="1" ht="94.5">
      <c r="A115" s="33">
        <f t="shared" si="29"/>
        <v>109</v>
      </c>
      <c r="B115" s="33" t="str">
        <f t="shared" ref="B115" si="47">MID(D115, FIND("-", D115) + 1, 4)</f>
        <v>5.11</v>
      </c>
      <c r="C115" s="164" t="s">
        <v>621</v>
      </c>
      <c r="D115" s="25" t="s">
        <v>904</v>
      </c>
      <c r="E115" s="174">
        <f t="shared" si="23"/>
        <v>46266</v>
      </c>
      <c r="F115" s="31" t="s">
        <v>905</v>
      </c>
      <c r="G115" s="21" t="s">
        <v>906</v>
      </c>
      <c r="H115" s="138"/>
      <c r="I115" s="164">
        <f t="shared" ca="1" si="24"/>
        <v>64</v>
      </c>
      <c r="J115" s="47">
        <f t="shared" ca="1" si="25"/>
        <v>43</v>
      </c>
      <c r="K115" s="164"/>
      <c r="L115" s="40" t="s">
        <v>8</v>
      </c>
      <c r="M115" s="41"/>
      <c r="N115" s="40"/>
      <c r="O115" s="41"/>
      <c r="P115" s="40"/>
      <c r="Q115" s="154"/>
      <c r="R115" s="27">
        <v>46199</v>
      </c>
      <c r="S115" s="27">
        <v>46199</v>
      </c>
      <c r="T115" s="188">
        <v>46245</v>
      </c>
      <c r="U115" s="29"/>
      <c r="V115" s="211"/>
      <c r="W115" s="235"/>
      <c r="X115" s="230"/>
      <c r="Y115" s="19"/>
      <c r="Z115" s="92" t="s">
        <v>953</v>
      </c>
    </row>
    <row r="116" spans="1:26" s="9" customFormat="1" ht="63">
      <c r="A116" s="33">
        <f t="shared" si="29"/>
        <v>110</v>
      </c>
      <c r="B116" s="33" t="str">
        <f t="shared" ref="B116" si="48">MID(D116, FIND("-", D116) + 1, 4)</f>
        <v>5.11</v>
      </c>
      <c r="C116" s="164" t="s">
        <v>144</v>
      </c>
      <c r="D116" s="25" t="s">
        <v>849</v>
      </c>
      <c r="E116" s="174">
        <f t="shared" si="23"/>
        <v>46220</v>
      </c>
      <c r="F116" s="31" t="s">
        <v>907</v>
      </c>
      <c r="G116" s="21" t="s">
        <v>908</v>
      </c>
      <c r="H116" s="138" t="s">
        <v>6</v>
      </c>
      <c r="I116" s="164">
        <f t="shared" si="24"/>
        <v>20</v>
      </c>
      <c r="J116" s="47">
        <f t="shared" si="25"/>
        <v>0</v>
      </c>
      <c r="K116" s="164"/>
      <c r="L116" s="40" t="s">
        <v>8</v>
      </c>
      <c r="M116" s="41"/>
      <c r="N116" s="40" t="s">
        <v>8</v>
      </c>
      <c r="O116" s="41"/>
      <c r="P116" s="40"/>
      <c r="Q116" s="154"/>
      <c r="R116" s="27">
        <v>46199</v>
      </c>
      <c r="S116" s="27">
        <v>46199</v>
      </c>
      <c r="T116" s="188">
        <v>46199</v>
      </c>
      <c r="U116" s="29">
        <v>46213</v>
      </c>
      <c r="V116" s="211">
        <v>46219</v>
      </c>
      <c r="W116" s="235" t="s">
        <v>670</v>
      </c>
      <c r="X116" s="230"/>
      <c r="Y116" s="19"/>
      <c r="Z116" s="92"/>
    </row>
    <row r="117" spans="1:26" s="9" customFormat="1" ht="78.75">
      <c r="A117" s="33">
        <f t="shared" si="29"/>
        <v>111</v>
      </c>
      <c r="B117" s="33" t="str">
        <f t="shared" ref="B117" si="49">MID(D117, FIND("-", D117) + 1, 4)</f>
        <v>5.10</v>
      </c>
      <c r="C117" s="164" t="s">
        <v>927</v>
      </c>
      <c r="D117" s="25" t="s">
        <v>925</v>
      </c>
      <c r="E117" s="174">
        <f t="shared" si="23"/>
        <v>46234</v>
      </c>
      <c r="F117" s="31" t="s">
        <v>926</v>
      </c>
      <c r="G117" s="21" t="s">
        <v>928</v>
      </c>
      <c r="H117" s="138" t="s">
        <v>6</v>
      </c>
      <c r="I117" s="164">
        <f t="shared" si="24"/>
        <v>26</v>
      </c>
      <c r="J117" s="47">
        <f t="shared" si="25"/>
        <v>5</v>
      </c>
      <c r="K117" s="164"/>
      <c r="L117" s="40" t="s">
        <v>8</v>
      </c>
      <c r="M117" s="41"/>
      <c r="N117" s="40" t="s">
        <v>8</v>
      </c>
      <c r="O117" s="41"/>
      <c r="P117" s="40"/>
      <c r="Q117" s="154"/>
      <c r="R117" s="27">
        <v>46213</v>
      </c>
      <c r="S117" s="27">
        <v>46213</v>
      </c>
      <c r="T117" s="188">
        <v>46213</v>
      </c>
      <c r="U117" s="29">
        <v>46223</v>
      </c>
      <c r="V117" s="211">
        <v>46239</v>
      </c>
      <c r="W117" s="235" t="s">
        <v>240</v>
      </c>
      <c r="X117" s="230"/>
      <c r="Y117" s="19"/>
      <c r="Z117" s="92" t="s">
        <v>1022</v>
      </c>
    </row>
    <row r="118" spans="1:26" s="9" customFormat="1" ht="94.5">
      <c r="A118" s="33">
        <f t="shared" si="29"/>
        <v>112</v>
      </c>
      <c r="B118" s="33" t="str">
        <f t="shared" ref="B118" si="50">MID(D118, FIND("-", D118) + 1, 4)</f>
        <v>5.11</v>
      </c>
      <c r="C118" s="164" t="s">
        <v>144</v>
      </c>
      <c r="D118" s="25" t="s">
        <v>931</v>
      </c>
      <c r="E118" s="174">
        <f t="shared" si="23"/>
        <v>46237</v>
      </c>
      <c r="F118" s="31" t="s">
        <v>932</v>
      </c>
      <c r="G118" s="21" t="s">
        <v>933</v>
      </c>
      <c r="H118" s="138"/>
      <c r="I118" s="164"/>
      <c r="J118" s="47"/>
      <c r="K118" s="164" t="s">
        <v>13</v>
      </c>
      <c r="L118" s="40" t="s">
        <v>8</v>
      </c>
      <c r="M118" s="41"/>
      <c r="N118" s="40"/>
      <c r="O118" s="41"/>
      <c r="P118" s="40"/>
      <c r="Q118" s="154"/>
      <c r="R118" s="27">
        <v>46216</v>
      </c>
      <c r="S118" s="27">
        <v>46216</v>
      </c>
      <c r="T118" s="188">
        <v>46216</v>
      </c>
      <c r="U118" s="29"/>
      <c r="V118" s="211"/>
      <c r="W118" s="235"/>
      <c r="X118" s="230"/>
      <c r="Y118" s="19"/>
      <c r="Z118" s="92" t="s">
        <v>995</v>
      </c>
    </row>
    <row r="119" spans="1:26" s="9" customFormat="1" ht="63">
      <c r="A119" s="33">
        <f t="shared" si="29"/>
        <v>113</v>
      </c>
      <c r="B119" s="33" t="str">
        <f t="shared" ref="B119" si="51">MID(D119, FIND("-", D119) + 1, 4)</f>
        <v>5.10</v>
      </c>
      <c r="C119" s="164" t="s">
        <v>131</v>
      </c>
      <c r="D119" s="25" t="s">
        <v>939</v>
      </c>
      <c r="E119" s="174">
        <f t="shared" si="23"/>
        <v>46239</v>
      </c>
      <c r="F119" s="31" t="s">
        <v>940</v>
      </c>
      <c r="G119" s="21" t="s">
        <v>941</v>
      </c>
      <c r="H119" s="138" t="s">
        <v>6</v>
      </c>
      <c r="I119" s="164">
        <f t="shared" si="24"/>
        <v>21</v>
      </c>
      <c r="J119" s="47">
        <f t="shared" si="25"/>
        <v>0</v>
      </c>
      <c r="K119" s="164"/>
      <c r="L119" s="40" t="s">
        <v>8</v>
      </c>
      <c r="M119" s="41"/>
      <c r="N119" s="40" t="s">
        <v>8</v>
      </c>
      <c r="O119" s="41"/>
      <c r="P119" s="40"/>
      <c r="Q119" s="154"/>
      <c r="R119" s="27">
        <v>46218</v>
      </c>
      <c r="S119" s="27">
        <v>46218</v>
      </c>
      <c r="T119" s="188">
        <v>46218</v>
      </c>
      <c r="U119" s="29">
        <v>46227</v>
      </c>
      <c r="V119" s="211">
        <v>46239</v>
      </c>
      <c r="W119" s="235" t="s">
        <v>240</v>
      </c>
      <c r="X119" s="230"/>
      <c r="Y119" s="19"/>
      <c r="Z119" s="92" t="s">
        <v>1020</v>
      </c>
    </row>
    <row r="120" spans="1:26" s="9" customFormat="1" ht="110.25">
      <c r="A120" s="33">
        <f t="shared" si="29"/>
        <v>114</v>
      </c>
      <c r="B120" s="33" t="str">
        <f t="shared" ref="B120" si="52">MID(D120, FIND("-", D120) + 1, 4)</f>
        <v>5.11</v>
      </c>
      <c r="C120" s="164" t="s">
        <v>944</v>
      </c>
      <c r="D120" s="25" t="s">
        <v>686</v>
      </c>
      <c r="E120" s="174">
        <f t="shared" si="23"/>
        <v>46248</v>
      </c>
      <c r="F120" s="31" t="s">
        <v>942</v>
      </c>
      <c r="G120" s="21" t="s">
        <v>943</v>
      </c>
      <c r="H120" s="138" t="s">
        <v>6</v>
      </c>
      <c r="I120" s="164">
        <f t="shared" si="24"/>
        <v>26</v>
      </c>
      <c r="J120" s="47">
        <f t="shared" si="25"/>
        <v>5</v>
      </c>
      <c r="K120" s="164"/>
      <c r="L120" s="40" t="s">
        <v>8</v>
      </c>
      <c r="M120" s="41"/>
      <c r="N120" s="40" t="s">
        <v>8</v>
      </c>
      <c r="O120" s="41"/>
      <c r="P120" s="40"/>
      <c r="Q120" s="154"/>
      <c r="R120" s="27">
        <v>46118</v>
      </c>
      <c r="S120" s="27">
        <v>46118</v>
      </c>
      <c r="T120" s="188">
        <v>46227</v>
      </c>
      <c r="U120" s="29">
        <v>46234</v>
      </c>
      <c r="V120" s="211">
        <v>46253</v>
      </c>
      <c r="W120" s="235" t="s">
        <v>670</v>
      </c>
      <c r="X120" s="230"/>
      <c r="Y120" s="19"/>
      <c r="Z120" s="92" t="s">
        <v>1021</v>
      </c>
    </row>
    <row r="121" spans="1:26" s="9" customFormat="1" ht="141.75">
      <c r="A121" s="33">
        <f t="shared" si="29"/>
        <v>115</v>
      </c>
      <c r="B121" s="33" t="str">
        <f t="shared" ref="B121" si="53">MID(D121, FIND("-", D121) + 1, 4)</f>
        <v>5.11</v>
      </c>
      <c r="C121" s="164" t="s">
        <v>656</v>
      </c>
      <c r="D121" s="25" t="s">
        <v>952</v>
      </c>
      <c r="E121" s="174">
        <f t="shared" si="23"/>
        <v>46265</v>
      </c>
      <c r="F121" s="31" t="s">
        <v>950</v>
      </c>
      <c r="G121" s="21" t="s">
        <v>951</v>
      </c>
      <c r="H121" s="138" t="s">
        <v>6</v>
      </c>
      <c r="I121" s="164">
        <f t="shared" si="24"/>
        <v>30</v>
      </c>
      <c r="J121" s="47">
        <f t="shared" si="25"/>
        <v>9</v>
      </c>
      <c r="K121" s="164"/>
      <c r="L121" s="40" t="s">
        <v>8</v>
      </c>
      <c r="M121" s="41"/>
      <c r="N121" s="40" t="s">
        <v>8</v>
      </c>
      <c r="O121" s="41"/>
      <c r="P121" s="40"/>
      <c r="Q121" s="154"/>
      <c r="R121" s="27">
        <v>46244</v>
      </c>
      <c r="S121" s="27">
        <v>46244</v>
      </c>
      <c r="T121" s="188">
        <v>46244</v>
      </c>
      <c r="U121" s="29">
        <v>46254</v>
      </c>
      <c r="V121" s="211">
        <v>46274</v>
      </c>
      <c r="W121" s="235" t="s">
        <v>979</v>
      </c>
      <c r="X121" s="230"/>
      <c r="Y121" s="19"/>
      <c r="Z121" s="92" t="s">
        <v>1015</v>
      </c>
    </row>
    <row r="122" spans="1:26" s="9" customFormat="1" ht="31.5">
      <c r="A122" s="33">
        <f t="shared" si="29"/>
        <v>116</v>
      </c>
      <c r="B122" s="33" t="str">
        <f t="shared" ref="B122" si="54">MID(D122, FIND("-", D122) + 1, 4)</f>
        <v>5.11</v>
      </c>
      <c r="C122" s="164"/>
      <c r="D122" s="25" t="s">
        <v>954</v>
      </c>
      <c r="E122" s="174">
        <f t="shared" si="23"/>
        <v>46267</v>
      </c>
      <c r="F122" s="31" t="s">
        <v>955</v>
      </c>
      <c r="G122" s="21" t="s">
        <v>956</v>
      </c>
      <c r="H122" s="138" t="s">
        <v>6</v>
      </c>
      <c r="I122" s="164">
        <f t="shared" si="24"/>
        <v>15</v>
      </c>
      <c r="J122" s="47">
        <f t="shared" si="25"/>
        <v>0</v>
      </c>
      <c r="K122" s="164"/>
      <c r="L122" s="40" t="s">
        <v>8</v>
      </c>
      <c r="M122" s="41"/>
      <c r="N122" s="40" t="s">
        <v>8</v>
      </c>
      <c r="O122" s="41"/>
      <c r="P122" s="40"/>
      <c r="Q122" s="154"/>
      <c r="R122" s="27">
        <v>46246</v>
      </c>
      <c r="S122" s="27">
        <v>46246</v>
      </c>
      <c r="T122" s="188">
        <v>46246</v>
      </c>
      <c r="U122" s="29">
        <v>46258</v>
      </c>
      <c r="V122" s="211">
        <v>46261</v>
      </c>
      <c r="W122" s="235" t="s">
        <v>240</v>
      </c>
      <c r="X122" s="230"/>
      <c r="Y122" s="19"/>
      <c r="Z122" s="92" t="s">
        <v>1017</v>
      </c>
    </row>
    <row r="123" spans="1:26" s="9" customFormat="1" ht="47.25">
      <c r="A123" s="33">
        <f t="shared" si="29"/>
        <v>117</v>
      </c>
      <c r="B123" s="33" t="str">
        <f t="shared" ref="B123:B124" si="55">MID(D123, FIND("-", D123) + 1, 4)</f>
        <v>5.10</v>
      </c>
      <c r="C123" s="164" t="s">
        <v>131</v>
      </c>
      <c r="D123" s="25" t="s">
        <v>970</v>
      </c>
      <c r="E123" s="174">
        <f t="shared" si="23"/>
        <v>46280</v>
      </c>
      <c r="F123" s="31" t="s">
        <v>971</v>
      </c>
      <c r="G123" s="21" t="s">
        <v>972</v>
      </c>
      <c r="H123" s="138"/>
      <c r="I123" s="164"/>
      <c r="J123" s="47"/>
      <c r="K123" s="164" t="s">
        <v>13</v>
      </c>
      <c r="L123" s="40" t="s">
        <v>8</v>
      </c>
      <c r="M123" s="41"/>
      <c r="N123" s="40"/>
      <c r="O123" s="41"/>
      <c r="P123" s="40"/>
      <c r="Q123" s="154"/>
      <c r="R123" s="27">
        <v>46259</v>
      </c>
      <c r="S123" s="27">
        <v>46259</v>
      </c>
      <c r="T123" s="188">
        <v>46259</v>
      </c>
      <c r="U123" s="29"/>
      <c r="V123" s="211"/>
      <c r="W123" s="235"/>
      <c r="X123" s="230"/>
      <c r="Y123" s="19"/>
      <c r="Z123" s="92" t="s">
        <v>852</v>
      </c>
    </row>
    <row r="124" spans="1:26" s="9" customFormat="1" ht="63">
      <c r="A124" s="33">
        <f t="shared" si="29"/>
        <v>118</v>
      </c>
      <c r="B124" s="33" t="str">
        <f t="shared" si="55"/>
        <v>5.10</v>
      </c>
      <c r="C124" s="164" t="s">
        <v>131</v>
      </c>
      <c r="D124" s="25" t="s">
        <v>970</v>
      </c>
      <c r="E124" s="174">
        <f t="shared" si="23"/>
        <v>46314</v>
      </c>
      <c r="F124" s="31" t="s">
        <v>971</v>
      </c>
      <c r="G124" s="21" t="s">
        <v>972</v>
      </c>
      <c r="H124" s="138" t="s">
        <v>6</v>
      </c>
      <c r="I124" s="164">
        <f t="shared" si="24"/>
        <v>7</v>
      </c>
      <c r="J124" s="47">
        <f t="shared" si="25"/>
        <v>0</v>
      </c>
      <c r="K124" s="164"/>
      <c r="L124" s="40" t="s">
        <v>8</v>
      </c>
      <c r="M124" s="41"/>
      <c r="N124" s="40" t="s">
        <v>8</v>
      </c>
      <c r="O124" s="41"/>
      <c r="P124" s="40"/>
      <c r="Q124" s="154"/>
      <c r="R124" s="27">
        <v>46273</v>
      </c>
      <c r="S124" s="27">
        <v>46273</v>
      </c>
      <c r="T124" s="188">
        <v>46293</v>
      </c>
      <c r="U124" s="29">
        <v>46297</v>
      </c>
      <c r="V124" s="211">
        <v>46300</v>
      </c>
      <c r="W124" s="235" t="s">
        <v>240</v>
      </c>
      <c r="X124" s="230"/>
      <c r="Y124" s="19"/>
      <c r="Z124" s="92" t="s">
        <v>1031</v>
      </c>
    </row>
    <row r="125" spans="1:26" s="9" customFormat="1" ht="63">
      <c r="A125" s="33">
        <f t="shared" si="29"/>
        <v>119</v>
      </c>
      <c r="B125" s="33" t="str">
        <f t="shared" ref="B125" si="56">MID(D125, FIND("-", D125) + 1, 4)</f>
        <v>5.10</v>
      </c>
      <c r="C125" s="164" t="s">
        <v>131</v>
      </c>
      <c r="D125" s="25" t="s">
        <v>1008</v>
      </c>
      <c r="E125" s="174">
        <f t="shared" si="23"/>
        <v>46316</v>
      </c>
      <c r="F125" s="31" t="s">
        <v>1009</v>
      </c>
      <c r="G125" s="21" t="s">
        <v>1010</v>
      </c>
      <c r="H125" s="138" t="s">
        <v>6</v>
      </c>
      <c r="I125" s="164">
        <f t="shared" ca="1" si="24"/>
        <v>14</v>
      </c>
      <c r="J125" s="47">
        <f t="shared" ca="1" si="25"/>
        <v>0</v>
      </c>
      <c r="K125" s="164"/>
      <c r="L125" s="40" t="s">
        <v>8</v>
      </c>
      <c r="M125" s="41"/>
      <c r="N125" s="40"/>
      <c r="O125" s="41"/>
      <c r="P125" s="40"/>
      <c r="Q125" s="154"/>
      <c r="R125" s="27">
        <v>46295</v>
      </c>
      <c r="S125" s="27">
        <v>46295</v>
      </c>
      <c r="T125" s="188">
        <v>46295</v>
      </c>
      <c r="U125" s="29"/>
      <c r="V125" s="211"/>
      <c r="W125" s="235" t="s">
        <v>240</v>
      </c>
      <c r="X125" s="230"/>
      <c r="Y125" s="19"/>
      <c r="Z125" s="92" t="s">
        <v>1065</v>
      </c>
    </row>
    <row r="126" spans="1:26" s="9" customFormat="1" ht="78.75">
      <c r="A126" s="33">
        <f t="shared" si="29"/>
        <v>120</v>
      </c>
      <c r="B126" s="33" t="str">
        <f t="shared" ref="B126" si="57">MID(D126, FIND("-", D126) + 1, 4)</f>
        <v>5.11</v>
      </c>
      <c r="C126" s="164" t="s">
        <v>621</v>
      </c>
      <c r="D126" s="25" t="s">
        <v>1051</v>
      </c>
      <c r="E126" s="174">
        <f t="shared" si="23"/>
        <v>46323</v>
      </c>
      <c r="F126" s="31" t="s">
        <v>1052</v>
      </c>
      <c r="G126" s="21" t="s">
        <v>1053</v>
      </c>
      <c r="H126" s="138"/>
      <c r="I126" s="164">
        <f t="shared" ca="1" si="24"/>
        <v>7</v>
      </c>
      <c r="J126" s="47">
        <f t="shared" ca="1" si="25"/>
        <v>0</v>
      </c>
      <c r="K126" s="164"/>
      <c r="L126" s="40" t="s">
        <v>8</v>
      </c>
      <c r="M126" s="41"/>
      <c r="N126" s="40"/>
      <c r="O126" s="41"/>
      <c r="P126" s="40"/>
      <c r="Q126" s="154"/>
      <c r="R126" s="27">
        <v>46302</v>
      </c>
      <c r="S126" s="27">
        <v>46302</v>
      </c>
      <c r="T126" s="188">
        <v>46302</v>
      </c>
      <c r="U126" s="29"/>
      <c r="V126" s="211"/>
      <c r="W126" s="235"/>
      <c r="X126" s="230"/>
      <c r="Y126" s="19"/>
      <c r="Z126" s="92"/>
    </row>
    <row r="127" spans="1:26" s="9" customFormat="1" ht="31.5">
      <c r="A127" s="33">
        <f t="shared" si="29"/>
        <v>121</v>
      </c>
      <c r="B127" s="33" t="str">
        <f t="shared" ref="B127" si="58">MID(D127, FIND("-", D127) + 1, 4)</f>
        <v>5.11</v>
      </c>
      <c r="C127" s="164"/>
      <c r="D127" s="25" t="s">
        <v>1057</v>
      </c>
      <c r="E127" s="174">
        <f t="shared" si="23"/>
        <v>46325</v>
      </c>
      <c r="F127" s="31" t="s">
        <v>1058</v>
      </c>
      <c r="G127" s="21" t="s">
        <v>1059</v>
      </c>
      <c r="H127" s="138"/>
      <c r="I127" s="164">
        <f t="shared" ca="1" si="24"/>
        <v>5</v>
      </c>
      <c r="J127" s="47">
        <f t="shared" ca="1" si="25"/>
        <v>0</v>
      </c>
      <c r="K127" s="164"/>
      <c r="L127" s="40" t="s">
        <v>8</v>
      </c>
      <c r="M127" s="41"/>
      <c r="N127" s="40"/>
      <c r="O127" s="41"/>
      <c r="P127" s="40"/>
      <c r="Q127" s="154"/>
      <c r="R127" s="27">
        <v>46304</v>
      </c>
      <c r="S127" s="27">
        <v>46304</v>
      </c>
      <c r="T127" s="188">
        <v>46304</v>
      </c>
      <c r="U127" s="29"/>
      <c r="V127" s="211"/>
      <c r="W127" s="235"/>
      <c r="X127" s="230"/>
      <c r="Y127" s="19"/>
      <c r="Z127" s="92"/>
    </row>
    <row r="128" spans="1:26" s="9" customFormat="1" ht="47.25">
      <c r="A128" s="33">
        <f t="shared" si="29"/>
        <v>122</v>
      </c>
      <c r="B128" s="33" t="str">
        <f t="shared" ref="B128" si="59">MID(D128, FIND("-", D128) + 1, 4)</f>
        <v>5.11</v>
      </c>
      <c r="C128" s="164" t="s">
        <v>621</v>
      </c>
      <c r="D128" s="25" t="s">
        <v>1068</v>
      </c>
      <c r="E128" s="174">
        <f t="shared" si="23"/>
        <v>46330</v>
      </c>
      <c r="F128" s="31" t="s">
        <v>1069</v>
      </c>
      <c r="G128" s="21" t="s">
        <v>1070</v>
      </c>
      <c r="H128" s="138"/>
      <c r="I128" s="164">
        <f t="shared" ca="1" si="24"/>
        <v>0</v>
      </c>
      <c r="J128" s="47">
        <f t="shared" ca="1" si="25"/>
        <v>0</v>
      </c>
      <c r="K128" s="164"/>
      <c r="L128" s="40" t="s">
        <v>8</v>
      </c>
      <c r="M128" s="41"/>
      <c r="N128" s="40"/>
      <c r="O128" s="41"/>
      <c r="P128" s="40"/>
      <c r="Q128" s="154"/>
      <c r="R128" s="27">
        <v>46309</v>
      </c>
      <c r="S128" s="27">
        <v>46309</v>
      </c>
      <c r="T128" s="188">
        <v>46309</v>
      </c>
      <c r="U128" s="29"/>
      <c r="V128" s="211"/>
      <c r="W128" s="235"/>
      <c r="X128" s="230"/>
      <c r="Y128" s="19"/>
      <c r="Z128" s="92"/>
    </row>
    <row r="129" spans="1:26" s="9" customFormat="1">
      <c r="A129" s="23"/>
      <c r="B129" s="33"/>
      <c r="C129" s="137"/>
      <c r="D129" s="25"/>
      <c r="E129" s="174"/>
      <c r="F129" s="31"/>
      <c r="G129" s="21"/>
      <c r="H129" s="138"/>
      <c r="I129" s="177"/>
      <c r="J129" s="48"/>
      <c r="K129" s="177"/>
      <c r="L129" s="59"/>
      <c r="M129" s="60"/>
      <c r="N129" s="61"/>
      <c r="O129" s="144"/>
      <c r="P129" s="146"/>
      <c r="Q129" s="152"/>
      <c r="R129" s="27"/>
      <c r="S129" s="27"/>
      <c r="T129" s="187"/>
      <c r="U129" s="29"/>
      <c r="V129" s="188"/>
      <c r="W129" s="235"/>
      <c r="X129" s="230"/>
      <c r="Y129" s="19"/>
      <c r="Z129" s="92"/>
    </row>
    <row r="130" spans="1:26" s="9" customFormat="1" ht="16.5" thickBot="1">
      <c r="A130" s="24"/>
      <c r="B130" s="329"/>
      <c r="C130" s="165"/>
      <c r="D130" s="45"/>
      <c r="E130" s="175"/>
      <c r="F130" s="32"/>
      <c r="G130" s="22"/>
      <c r="H130" s="139"/>
      <c r="I130" s="178"/>
      <c r="J130" s="49"/>
      <c r="K130" s="178"/>
      <c r="L130" s="62"/>
      <c r="M130" s="63"/>
      <c r="N130" s="64"/>
      <c r="O130" s="145"/>
      <c r="P130" s="147"/>
      <c r="Q130" s="153"/>
      <c r="R130" s="44"/>
      <c r="S130" s="44"/>
      <c r="T130" s="189"/>
      <c r="U130" s="43"/>
      <c r="V130" s="194"/>
      <c r="W130" s="258"/>
      <c r="X130" s="232"/>
      <c r="Y130" s="20"/>
      <c r="Z130" s="93"/>
    </row>
    <row r="131" spans="1:26" ht="16.5" thickBot="1"/>
    <row r="132" spans="1:26" ht="16.5" thickBot="1">
      <c r="C132" s="207" t="s">
        <v>38</v>
      </c>
      <c r="D132" s="441" t="s">
        <v>39</v>
      </c>
      <c r="E132" s="442"/>
      <c r="F132" s="46"/>
      <c r="G132" s="68"/>
      <c r="H132" s="384" t="s">
        <v>14</v>
      </c>
      <c r="I132" s="385"/>
      <c r="J132" s="385"/>
      <c r="K132" s="385"/>
      <c r="L132" s="385"/>
      <c r="M132" s="386"/>
      <c r="N132" s="382" t="s">
        <v>7</v>
      </c>
      <c r="O132" s="383"/>
      <c r="P132" s="382" t="s">
        <v>110</v>
      </c>
      <c r="Q132" s="383"/>
      <c r="R132" s="1"/>
      <c r="S132" s="1"/>
      <c r="T132" s="140"/>
      <c r="U132" s="1"/>
      <c r="W132" s="11"/>
      <c r="X132" s="11"/>
      <c r="Y132" s="11"/>
    </row>
    <row r="133" spans="1:26" ht="16.5" customHeight="1" thickBot="1">
      <c r="C133" s="208" t="s">
        <v>74</v>
      </c>
      <c r="D133" s="439" t="s">
        <v>77</v>
      </c>
      <c r="E133" s="440"/>
      <c r="F133" s="46"/>
      <c r="G133" s="46"/>
      <c r="H133" s="434" t="s">
        <v>17</v>
      </c>
      <c r="I133" s="435"/>
      <c r="J133" s="130"/>
      <c r="K133" s="210"/>
      <c r="L133" s="117">
        <f ca="1">M133/$M$133</f>
        <v>1</v>
      </c>
      <c r="M133" s="104">
        <f ca="1">SUM($M$134:$M$136)</f>
        <v>127</v>
      </c>
      <c r="N133" s="118" t="s">
        <v>15</v>
      </c>
      <c r="O133" s="119" t="s">
        <v>16</v>
      </c>
      <c r="P133" s="117">
        <f ca="1">Q133/$Q$133</f>
        <v>1</v>
      </c>
      <c r="Q133" s="104">
        <f ca="1">SUM(Q134:Q135)</f>
        <v>108</v>
      </c>
      <c r="R133" s="1"/>
      <c r="S133" s="1"/>
      <c r="T133" s="140"/>
      <c r="U133" s="1"/>
      <c r="W133" s="11"/>
      <c r="X133" s="11"/>
      <c r="Y133" s="11"/>
    </row>
    <row r="134" spans="1:26">
      <c r="C134" s="402" t="s">
        <v>6</v>
      </c>
      <c r="D134" s="439" t="s">
        <v>40</v>
      </c>
      <c r="E134" s="440"/>
      <c r="F134" s="69"/>
      <c r="G134" s="6"/>
      <c r="H134" s="436" t="s">
        <v>69</v>
      </c>
      <c r="I134" s="437"/>
      <c r="J134" s="437"/>
      <c r="K134" s="438"/>
      <c r="L134" s="122">
        <f t="shared" ref="L134:L136" ca="1" si="60">M134/$M$133</f>
        <v>0.81889763779527558</v>
      </c>
      <c r="M134" s="123">
        <f>COUNTIF($H$7:$H$130,"RFCS")</f>
        <v>104</v>
      </c>
      <c r="N134" s="121">
        <f ca="1">COUNTIFS($I$7:$I$130,"&lt;=21",$H$7:$H$130,"RFCS")</f>
        <v>62</v>
      </c>
      <c r="O134" s="120">
        <f ca="1">COUNTIFS($I$7:$I$130,"&gt;21",$H$7:$H$130,"RFCS")</f>
        <v>41</v>
      </c>
      <c r="P134" s="122">
        <f ca="1">Q134/$Q$133</f>
        <v>0.62962962962962965</v>
      </c>
      <c r="Q134" s="123">
        <f>COUNTIF($Q$7:$Q$130,"RBE") + COUNTIF($Q$7:$Q$130,"SUP")</f>
        <v>68</v>
      </c>
      <c r="R134" s="1"/>
      <c r="S134" s="1"/>
      <c r="T134" s="140"/>
      <c r="U134" s="1"/>
      <c r="W134" s="11"/>
      <c r="X134" s="11"/>
      <c r="Y134" s="11"/>
    </row>
    <row r="135" spans="1:26">
      <c r="C135" s="402"/>
      <c r="D135" s="439"/>
      <c r="E135" s="440"/>
      <c r="F135" s="72"/>
      <c r="G135" s="6"/>
      <c r="H135" s="396" t="s">
        <v>70</v>
      </c>
      <c r="I135" s="397"/>
      <c r="J135" s="397"/>
      <c r="K135" s="398"/>
      <c r="L135" s="124">
        <f t="shared" ca="1" si="60"/>
        <v>7.0866141732283464E-2</v>
      </c>
      <c r="M135" s="125">
        <f ca="1">SUM(N135:O135)</f>
        <v>9</v>
      </c>
      <c r="N135" s="98">
        <f ca="1">COUNTIFS($I$7:$I$130,"&lt;=21",$U$7:$U$130,"",$K$7:$K$130,"&lt;&gt;X")</f>
        <v>4</v>
      </c>
      <c r="O135" s="50">
        <f ca="1">COUNTIFS($I$7:$I$130,"&gt;21",$U$7:$U$130,"",$K$7:$K$130,"&lt;&gt;X")</f>
        <v>5</v>
      </c>
      <c r="P135" s="124">
        <f ca="1">Q135/$Q$133</f>
        <v>0.37037037037037035</v>
      </c>
      <c r="Q135" s="125">
        <f ca="1">COUNTIFS($I$7:$I$130,"&gt;=0",$P$7:$P$130,"",$K$7:$K$130,"&lt;&gt;X")</f>
        <v>40</v>
      </c>
      <c r="R135" s="1" t="s">
        <v>10</v>
      </c>
      <c r="S135" s="1"/>
      <c r="T135" s="140"/>
      <c r="U135" s="1"/>
      <c r="W135" s="11"/>
      <c r="X135" s="11"/>
      <c r="Y135" s="11"/>
    </row>
    <row r="136" spans="1:26" ht="16.5" thickBot="1">
      <c r="C136" s="402" t="s">
        <v>75</v>
      </c>
      <c r="D136" s="408" t="s">
        <v>76</v>
      </c>
      <c r="E136" s="409"/>
      <c r="H136" s="399" t="s">
        <v>71</v>
      </c>
      <c r="I136" s="400"/>
      <c r="J136" s="400"/>
      <c r="K136" s="401"/>
      <c r="L136" s="126">
        <f t="shared" ca="1" si="60"/>
        <v>0.11023622047244094</v>
      </c>
      <c r="M136" s="116">
        <f>COUNTIFS($K$7:$K$130,"X")</f>
        <v>14</v>
      </c>
      <c r="N136" s="99"/>
      <c r="O136" s="51"/>
      <c r="P136" s="223"/>
      <c r="Q136" s="224"/>
    </row>
    <row r="137" spans="1:26" ht="16.5" thickBot="1">
      <c r="C137" s="403"/>
      <c r="D137" s="410"/>
      <c r="E137" s="411"/>
    </row>
    <row r="139" spans="1:26">
      <c r="C139" s="381" t="s">
        <v>41</v>
      </c>
      <c r="D139" s="381"/>
      <c r="E139" s="381"/>
    </row>
    <row r="140" spans="1:26">
      <c r="C140" s="169" t="s">
        <v>8</v>
      </c>
      <c r="D140" s="1" t="s">
        <v>42</v>
      </c>
    </row>
    <row r="141" spans="1:26">
      <c r="C141" s="169" t="s">
        <v>8</v>
      </c>
      <c r="D141" s="127" t="s">
        <v>43</v>
      </c>
    </row>
    <row r="142" spans="1:26">
      <c r="C142" s="169" t="s">
        <v>8</v>
      </c>
      <c r="D142" s="1" t="s">
        <v>44</v>
      </c>
    </row>
  </sheetData>
  <autoFilter ref="A6:Z127" xr:uid="{C184EF3E-84BF-4DCF-951B-B90EB4B9D23F}">
    <sortState xmlns:xlrd2="http://schemas.microsoft.com/office/spreadsheetml/2017/richdata2" ref="A7:Z32">
      <sortCondition ref="S6"/>
    </sortState>
  </autoFilter>
  <mergeCells count="32">
    <mergeCell ref="B4:B5"/>
    <mergeCell ref="P132:Q132"/>
    <mergeCell ref="J4:J5"/>
    <mergeCell ref="D132:E132"/>
    <mergeCell ref="H132:M132"/>
    <mergeCell ref="N132:O132"/>
    <mergeCell ref="H133:I133"/>
    <mergeCell ref="C139:E139"/>
    <mergeCell ref="H134:K134"/>
    <mergeCell ref="H135:K135"/>
    <mergeCell ref="H136:K136"/>
    <mergeCell ref="D133:E133"/>
    <mergeCell ref="C134:C135"/>
    <mergeCell ref="D134:E135"/>
    <mergeCell ref="C136:C137"/>
    <mergeCell ref="D136:E137"/>
    <mergeCell ref="Z4:Z5"/>
    <mergeCell ref="A4:A5"/>
    <mergeCell ref="D4:D5"/>
    <mergeCell ref="E4:E5"/>
    <mergeCell ref="F4:F5"/>
    <mergeCell ref="G4:G5"/>
    <mergeCell ref="H4:H5"/>
    <mergeCell ref="I4:I5"/>
    <mergeCell ref="L4:M4"/>
    <mergeCell ref="N4:O4"/>
    <mergeCell ref="R4:T4"/>
    <mergeCell ref="U4:W4"/>
    <mergeCell ref="C4:C5"/>
    <mergeCell ref="K4:K5"/>
    <mergeCell ref="P4:Q4"/>
    <mergeCell ref="X4:Y4"/>
  </mergeCells>
  <phoneticPr fontId="71"/>
  <conditionalFormatting sqref="A7:Z130">
    <cfRule type="expression" dxfId="4" priority="1">
      <formula>$K7="X"</formula>
    </cfRule>
    <cfRule type="expression" dxfId="3" priority="2">
      <formula>$K7="O"</formula>
    </cfRule>
    <cfRule type="expression" dxfId="2" priority="3">
      <formula>$I7&gt;21</formula>
    </cfRule>
    <cfRule type="expression" dxfId="1" priority="4">
      <formula>$H7="RFCS"</formula>
    </cfRule>
    <cfRule type="expression" dxfId="0" priority="5">
      <formula>AND($I7&gt;0,$I7&lt;=21)</formula>
    </cfRule>
  </conditionalFormatting>
  <hyperlinks>
    <hyperlink ref="L8" r:id="rId1" xr:uid="{1236B2E3-AC5C-4DB5-913F-4FC9EDCBD2C3}"/>
    <hyperlink ref="L9" r:id="rId2" xr:uid="{8388BEDD-23B8-4BA1-A266-224BB75E8795}"/>
    <hyperlink ref="L10" r:id="rId3" xr:uid="{A3CDCF90-5313-475F-9A23-D0F8D3224066}"/>
    <hyperlink ref="L11" r:id="rId4" xr:uid="{E3A318D6-2070-42F3-A8EA-0CF83AFCC6CD}"/>
    <hyperlink ref="L12" r:id="rId5" xr:uid="{4A96AF7F-C08F-4948-A7C3-622FCBA8DCB7}"/>
    <hyperlink ref="L13" r:id="rId6" xr:uid="{29BF87C5-EB90-4850-B338-FBF0ABA4A870}"/>
    <hyperlink ref="L14" r:id="rId7" xr:uid="{5994E76F-3D76-434A-9584-EB0958D9C4A7}"/>
    <hyperlink ref="L15" r:id="rId8" xr:uid="{3114DD32-CAC5-443F-B65C-9E63ACC091AF}"/>
    <hyperlink ref="L16" r:id="rId9" xr:uid="{27420C8E-6848-48B2-A012-46C01554B3B0}"/>
    <hyperlink ref="L17" r:id="rId10" xr:uid="{6F9123FF-42F6-4297-BC95-166CA634762C}"/>
    <hyperlink ref="N16" r:id="rId11" xr:uid="{94619EEA-FA3B-4C0F-B6B5-A2FD928DC918}"/>
    <hyperlink ref="N15" r:id="rId12" xr:uid="{C5BC81A6-F35A-4740-83E1-D00457E2A62F}"/>
    <hyperlink ref="N14" r:id="rId13" xr:uid="{2FC06F38-586E-4377-8FA0-F5B94DE16B02}"/>
    <hyperlink ref="N13" r:id="rId14" xr:uid="{6944AEDC-F172-41E0-9973-407B155254D0}"/>
    <hyperlink ref="N12" r:id="rId15" xr:uid="{5BEB3E53-8F2D-4374-806F-C54F5EADBDD6}"/>
    <hyperlink ref="N11" r:id="rId16" xr:uid="{C2EE1FC3-C554-4FB7-A531-86D71EFABD70}"/>
    <hyperlink ref="N10" r:id="rId17" xr:uid="{CBBAA656-324D-4F4D-8B57-3ED30317FA72}"/>
    <hyperlink ref="N9" r:id="rId18" xr:uid="{411C8A00-B859-43BB-817B-345937FD1E83}"/>
    <hyperlink ref="N8" r:id="rId19" xr:uid="{C900D38E-064E-4A88-83D0-01E9D96272E2}"/>
    <hyperlink ref="L18" r:id="rId20" xr:uid="{F29C012F-B0C6-4F60-B53B-EEFAC0273321}"/>
    <hyperlink ref="N17" r:id="rId21" xr:uid="{7CA262BC-B873-4083-BD15-2AB7FD22E5A8}"/>
    <hyperlink ref="L19" r:id="rId22" xr:uid="{3BC4C770-F68C-479F-A730-E287E655C6E8}"/>
    <hyperlink ref="N18" r:id="rId23" xr:uid="{5E28ED6C-A157-4E12-B616-E9C629384D04}"/>
    <hyperlink ref="N19" r:id="rId24" xr:uid="{1E153DE1-2550-4673-93AE-4E931C2964A7}"/>
    <hyperlink ref="L20" r:id="rId25" xr:uid="{D731301E-D737-4D9E-9FA9-7245DA392A88}"/>
    <hyperlink ref="L21" r:id="rId26" xr:uid="{3C3D2238-79FD-4C40-A174-8CD883F8E881}"/>
    <hyperlink ref="L22" r:id="rId27" xr:uid="{9B6E6FC2-1027-47C8-8B61-84B274AEF17A}"/>
    <hyperlink ref="L23" r:id="rId28" xr:uid="{9C0EDCE1-9D5A-46C8-94E2-D26147FEBEFA}"/>
    <hyperlink ref="L24" r:id="rId29" xr:uid="{300528F3-7016-4CD8-8003-3201B8AD7DBB}"/>
    <hyperlink ref="L25" r:id="rId30" xr:uid="{5FC0517D-C6F0-4CE1-802F-F106305F1AF0}"/>
    <hyperlink ref="L26" r:id="rId31" xr:uid="{F4FE1BB2-4859-4EB4-BB98-1C94124E04DA}"/>
    <hyperlink ref="L27" r:id="rId32" xr:uid="{81691231-43BF-4DDB-9440-C91A2B219A1C}"/>
    <hyperlink ref="L28" r:id="rId33" xr:uid="{8AC63817-D116-4D8D-A3A3-A84741A0BCE1}"/>
    <hyperlink ref="N21" r:id="rId34" xr:uid="{0F446E79-6CD2-40F0-91D5-D261AC3AE9E9}"/>
    <hyperlink ref="N22" r:id="rId35" xr:uid="{8FD320CA-4033-4334-BA5F-878D3EE8D4F3}"/>
    <hyperlink ref="N23" r:id="rId36" xr:uid="{830CB6C3-3FB2-411A-AB46-1ED3CEFC6A5F}"/>
    <hyperlink ref="N26" r:id="rId37" xr:uid="{0DD28F08-1DFE-4C87-BA34-464B217C588B}"/>
    <hyperlink ref="L29" r:id="rId38" xr:uid="{044A0538-43D1-43D8-99F1-C0872E7548AB}"/>
    <hyperlink ref="L30" r:id="rId39" xr:uid="{88AEBE87-85C0-4B6D-9DC5-C6FFB76C5B06}"/>
    <hyperlink ref="N28" r:id="rId40" xr:uid="{6F63757C-5FA8-47D3-BF6A-E0AC1429134C}"/>
    <hyperlink ref="N24" r:id="rId41" xr:uid="{62D2DBA0-4DBB-4F4E-843E-364F81D04FD5}"/>
    <hyperlink ref="N27" r:id="rId42" xr:uid="{78EC6B3A-0ACE-4AA4-AEFD-C5C7505A6CA0}"/>
    <hyperlink ref="L31" r:id="rId43" xr:uid="{6BE0DDBB-A451-453C-A2EC-E316DA2515B1}"/>
    <hyperlink ref="L32" r:id="rId44" xr:uid="{919CFAB0-8523-4505-95A7-11C021AAB445}"/>
    <hyperlink ref="M8" r:id="rId45" xr:uid="{2BD34745-1BBA-42CF-AB4B-768F6EDE1641}"/>
    <hyperlink ref="M9" r:id="rId46" xr:uid="{F12F1144-A51C-4D4E-82A6-3736C4947F56}"/>
    <hyperlink ref="M10" r:id="rId47" xr:uid="{89DE5D16-3E7E-49ED-85A3-87D5BABE68D9}"/>
    <hyperlink ref="M11" r:id="rId48" xr:uid="{BCA7C34F-4E6E-4620-B585-81AA7C74B2BF}"/>
    <hyperlink ref="M12" r:id="rId49" xr:uid="{0E63E158-2833-4294-939B-57D178DE310E}"/>
    <hyperlink ref="M13" r:id="rId50" xr:uid="{BAC54F38-0299-4503-91BE-A07BFEDF5438}"/>
    <hyperlink ref="M14" r:id="rId51" xr:uid="{7F5B31F7-DA87-494B-AE03-F836887F97D3}"/>
    <hyperlink ref="M15" r:id="rId52" xr:uid="{D8DDE7DD-0F25-4E67-97C3-3C7677DD2A93}"/>
    <hyperlink ref="M16" r:id="rId53" xr:uid="{5606A248-E253-4A67-AE7E-20B9AF0A82DC}"/>
    <hyperlink ref="M17" r:id="rId54" xr:uid="{69FB42F0-FB50-4CEA-96D2-DC9A723E3518}"/>
    <hyperlink ref="M18" r:id="rId55" xr:uid="{B59D6036-518D-4ED6-A927-6CFE0C762040}"/>
    <hyperlink ref="M19" r:id="rId56" xr:uid="{00FE6A67-D806-4EBE-BEF9-9E8C428AEA66}"/>
    <hyperlink ref="M20" r:id="rId57" xr:uid="{84D5497F-2DE8-4E2C-BEBA-789A731F0F9B}"/>
    <hyperlink ref="M21" r:id="rId58" xr:uid="{61FF9C5D-29FB-4B2C-AFCD-F28E8CADAB69}"/>
    <hyperlink ref="M22" r:id="rId59" xr:uid="{53618B7B-C7CD-4C46-B166-36D1EB3F07C3}"/>
    <hyperlink ref="M23" r:id="rId60" xr:uid="{CF9B2929-7B7B-4F28-A6FE-7E4BBA5180CF}"/>
    <hyperlink ref="M24" r:id="rId61" xr:uid="{4AC0B6A7-1B0A-4BCB-9F9A-C72D092D5C1E}"/>
    <hyperlink ref="M25" r:id="rId62" xr:uid="{1A4408DB-599D-420B-AA68-A4647FC43178}"/>
    <hyperlink ref="M26" r:id="rId63" xr:uid="{91BD746B-F4B1-4A2A-B25A-75F4A19DDDFB}"/>
    <hyperlink ref="M27" r:id="rId64" xr:uid="{89CFA4B2-BDE1-444A-858C-FED8C1F6DF89}"/>
    <hyperlink ref="M28" r:id="rId65" xr:uid="{3DFAB091-7A7F-4165-B2EA-164DCE303A57}"/>
    <hyperlink ref="M29" r:id="rId66" xr:uid="{7460C8E8-AB0B-454A-B3C3-EC2FA5848EDF}"/>
    <hyperlink ref="M30" r:id="rId67" xr:uid="{8228F31F-3046-4EDB-99C9-E4FAB92CEE5C}"/>
    <hyperlink ref="M31" r:id="rId68" xr:uid="{37893005-463D-4A8A-8D8B-B84028EACCEC}"/>
    <hyperlink ref="M32" r:id="rId69" xr:uid="{AFD91CCA-E11F-45B5-A0CE-6B271E0B7F5D}"/>
    <hyperlink ref="O8" r:id="rId70" xr:uid="{7BF109C4-1057-4A71-8ADA-CC9841B2551B}"/>
    <hyperlink ref="O9" r:id="rId71" xr:uid="{A885C739-E56A-4531-94A0-0C18BF34A7B4}"/>
    <hyperlink ref="O10" r:id="rId72" xr:uid="{02DE5A66-5ED6-4533-AEAC-A69021567097}"/>
    <hyperlink ref="O11" r:id="rId73" xr:uid="{6F494A52-E884-4CE1-BD61-685E6B1CCE2B}"/>
    <hyperlink ref="O12" r:id="rId74" xr:uid="{E827918E-6015-409B-841C-A09C21ADB8EB}"/>
    <hyperlink ref="O13" r:id="rId75" xr:uid="{6F7A94B3-C90A-40F4-8DB4-13E08451771C}"/>
    <hyperlink ref="O14" r:id="rId76" xr:uid="{2D7C01A4-ED42-4E8D-AE6D-D689872AD990}"/>
    <hyperlink ref="O15" r:id="rId77" xr:uid="{4683FDDC-61B0-4C17-A8AE-E21A9ED108EE}"/>
    <hyperlink ref="O16" r:id="rId78" xr:uid="{EDA6049F-693C-4ECB-B901-B874A0632D71}"/>
    <hyperlink ref="O17" r:id="rId79" xr:uid="{86D0F9BD-A05D-4D42-9136-0DFBDC3C08F6}"/>
    <hyperlink ref="O18" r:id="rId80" xr:uid="{7891898A-8CDF-4BD7-AEB6-B2AA4945960F}"/>
    <hyperlink ref="O19" r:id="rId81" xr:uid="{77A593A6-931C-43A8-BD7B-B7ECCE166386}"/>
    <hyperlink ref="O21" r:id="rId82" xr:uid="{72D87ACE-5CD4-42C5-A3F7-F8E4CA36A235}"/>
    <hyperlink ref="O22" r:id="rId83" xr:uid="{C48EDC4F-D324-4DF0-94CE-F8048F34F00D}"/>
    <hyperlink ref="O23" r:id="rId84" xr:uid="{BB129E46-6F7E-4D3D-9D35-FE77E3C2BFFA}"/>
    <hyperlink ref="O24" r:id="rId85" xr:uid="{CA970A6A-EFCD-439F-AA8C-C297B6453D09}"/>
    <hyperlink ref="O26" r:id="rId86" xr:uid="{6902428E-37E9-4FE1-A09E-DCBB4A3411B7}"/>
    <hyperlink ref="O27" r:id="rId87" xr:uid="{32D0D3D2-CE9E-4DDD-BD96-4E9B2596E4AA}"/>
    <hyperlink ref="O28" r:id="rId88" xr:uid="{2BC6D437-7DCC-4CAC-AF12-9D4CA126F7A1}"/>
    <hyperlink ref="O29" r:id="rId89" xr:uid="{00FAEDA6-A985-458C-9D0C-249B507756AE}"/>
    <hyperlink ref="O30" r:id="rId90" xr:uid="{4E422A54-F118-474D-9CD0-112DB7964105}"/>
    <hyperlink ref="O31" r:id="rId91" xr:uid="{3200E976-E6FD-4E84-B2A2-C904139929DE}"/>
    <hyperlink ref="O32" r:id="rId92" xr:uid="{6F178847-9721-4F12-8AE3-5774EDEA4599}"/>
    <hyperlink ref="N29" r:id="rId93" xr:uid="{067E4D12-0A03-477D-9907-C6BD4D7A9C46}"/>
    <hyperlink ref="L35" r:id="rId94" xr:uid="{83856D1A-B33C-4A94-9118-AADF7C9595D8}"/>
    <hyperlink ref="N30" r:id="rId95" xr:uid="{337ADFF1-15DF-45F4-9F19-80CD28A88A5B}"/>
    <hyperlink ref="M35" r:id="rId96" xr:uid="{D196E0CE-1CA1-4893-8C84-F3FD6DFAC433}"/>
    <hyperlink ref="O35" r:id="rId97" xr:uid="{94DAFDBE-034B-4F24-B3DA-72418F0C97E5}"/>
    <hyperlink ref="N31" r:id="rId98" xr:uid="{9AF5FBDF-1DAD-402B-8B51-6107B0F0BCF7}"/>
    <hyperlink ref="L36" r:id="rId99" xr:uid="{658C70D9-CFE2-4D73-8907-10EF10063E45}"/>
    <hyperlink ref="M36" r:id="rId100" xr:uid="{55CD5486-229E-4CBC-A3AC-5F967C870922}"/>
    <hyperlink ref="O36" r:id="rId101" xr:uid="{8C1A46A3-D6A3-48EB-8D98-D7145242F8D5}"/>
    <hyperlink ref="L37" r:id="rId102" xr:uid="{290D8D54-E256-4DEC-8D8A-9A2D8497C170}"/>
    <hyperlink ref="L38" r:id="rId103" xr:uid="{B8D71EE3-8226-47B3-8E15-81337942EEC6}"/>
    <hyperlink ref="M38" r:id="rId104" xr:uid="{2DDF0227-2DD3-4F5F-8105-4522A4F157FB}"/>
    <hyperlink ref="O38" r:id="rId105" xr:uid="{0F09F5B8-F43C-4C44-98D5-3B7080A6A75F}"/>
    <hyperlink ref="M37" r:id="rId106" xr:uid="{2A35D16B-4CA7-4988-B789-1127D101DA45}"/>
    <hyperlink ref="O37" r:id="rId107" xr:uid="{9CB2B324-1EAB-489F-BF98-F271CEA6B7C8}"/>
    <hyperlink ref="L40" r:id="rId108" xr:uid="{4E1FD84F-44D4-4988-938E-95C4A082AC8D}"/>
    <hyperlink ref="M40" r:id="rId109" xr:uid="{3FEB83A4-ED55-4AED-A8ED-235ABB7C4F16}"/>
    <hyperlink ref="O40" r:id="rId110" xr:uid="{7A9453D6-5932-4FDA-8670-C0B8F4090773}"/>
    <hyperlink ref="L41" r:id="rId111" xr:uid="{D5F10997-0C49-4F99-AA72-29C640F27CB9}"/>
    <hyperlink ref="L42" r:id="rId112" xr:uid="{183DBFE8-8201-4DF3-A023-7D5465F9D2A1}"/>
    <hyperlink ref="N36" r:id="rId113" xr:uid="{EF40DDDC-54F3-44D2-B86B-506B1A8B590D}"/>
    <hyperlink ref="N35" r:id="rId114" xr:uid="{261C1067-B2CA-4AFE-B51B-E3CE5FB1BC92}"/>
    <hyperlink ref="N37" r:id="rId115" xr:uid="{652C4533-0E45-43F2-988A-36E8C0EF1116}"/>
    <hyperlink ref="N40" r:id="rId116" xr:uid="{DA831609-2557-4297-9AFC-873354921728}"/>
    <hyperlink ref="M41" r:id="rId117" xr:uid="{38BB7E80-DAA9-4EF6-ADA5-6806E87EA140}"/>
    <hyperlink ref="O41" r:id="rId118" xr:uid="{D515715A-9578-4458-ABC9-4056D7ABD493}"/>
    <hyperlink ref="M42" r:id="rId119" xr:uid="{7B8BB1FC-D8F9-4CD2-A4F3-F17BED6FB578}"/>
    <hyperlink ref="O42" r:id="rId120" xr:uid="{DC1E336A-4C91-4081-9F98-9EED82EE8C35}"/>
    <hyperlink ref="N32" r:id="rId121" xr:uid="{DFB0CDC6-D803-4ED2-BB20-0F08840FB99E}"/>
    <hyperlink ref="N38" r:id="rId122" xr:uid="{67B5CE0D-4F49-44CA-997A-EE6FB13388F5}"/>
    <hyperlink ref="L43" r:id="rId123" xr:uid="{BA0B2000-7EB1-406F-BE38-2B41B1E345F0}"/>
    <hyperlink ref="M43" r:id="rId124" xr:uid="{E583EC82-0ADE-4C5D-A2D9-49DEACBCB009}"/>
    <hyperlink ref="O43" r:id="rId125" xr:uid="{0E3F3A7F-DA9A-49F8-A93F-8337122FAE1A}"/>
    <hyperlink ref="N41" r:id="rId126" xr:uid="{3405D711-BDD4-4069-A376-D6B961D87010}"/>
    <hyperlink ref="N43" r:id="rId127" xr:uid="{525398A7-A7B1-41B1-88A2-7E7F9115541E}"/>
    <hyperlink ref="C140" r:id="rId128" xr:uid="{F06CE902-4089-4B08-A7E9-420A16C9FF0E}"/>
    <hyperlink ref="C141" r:id="rId129" xr:uid="{6D322F1B-B574-40E7-BED0-14ED893C19C5}"/>
    <hyperlink ref="C142" r:id="rId130" xr:uid="{1845DEB0-969B-4FE7-B52A-52C25D3EC72E}"/>
    <hyperlink ref="N42" r:id="rId131" xr:uid="{95D9F3CF-8EC0-4C96-9F49-34E6585C583B}"/>
    <hyperlink ref="L44" r:id="rId132" xr:uid="{255E79C1-4568-41F7-B71E-8301B034AA56}"/>
    <hyperlink ref="P8" r:id="rId133" xr:uid="{4339778F-2FA8-45DA-BD1F-0684B78D35ED}"/>
    <hyperlink ref="P9" r:id="rId134" xr:uid="{3A8518AF-60B4-4931-B40A-40D2900D1B91}"/>
    <hyperlink ref="P10" r:id="rId135" xr:uid="{6BCBC588-B137-4B83-937A-724D3264124A}"/>
    <hyperlink ref="P11" r:id="rId136" xr:uid="{EDD84C34-16EC-4D28-A526-D20ED126EC23}"/>
    <hyperlink ref="P12" r:id="rId137" xr:uid="{11844383-CD47-4268-9FCA-12B9568B3CE9}"/>
    <hyperlink ref="P13" r:id="rId138" xr:uid="{292877DB-E2BE-4960-8D69-43686481CF08}"/>
    <hyperlink ref="P14" r:id="rId139" xr:uid="{13B3687B-DE36-442E-9F24-7A9A39C244EF}"/>
    <hyperlink ref="P17" r:id="rId140" xr:uid="{9210F173-985C-4E23-9A85-0F3F89199BC6}"/>
    <hyperlink ref="P18" r:id="rId141" xr:uid="{4C411060-2E0E-4985-B7A5-9B6A68F99602}"/>
    <hyperlink ref="P19" r:id="rId142" xr:uid="{1C12B7C6-97BE-47B5-9575-26E5A942BD25}"/>
    <hyperlink ref="P21" r:id="rId143" xr:uid="{87E854E8-19D0-49E9-BC4D-F0F8A6D1763D}"/>
    <hyperlink ref="P22" r:id="rId144" xr:uid="{664CCDDC-A78F-4CB2-890C-510F0509550E}"/>
    <hyperlink ref="P23" r:id="rId145" xr:uid="{E66F247F-F000-473B-8EF8-E1CC724C0AE0}"/>
    <hyperlink ref="P24" r:id="rId146" xr:uid="{10C63A0B-1AEC-4636-800D-50CB9DDB3D19}"/>
    <hyperlink ref="P26" r:id="rId147" xr:uid="{66C07B2F-4DEB-4A53-9A77-B08376BB76A9}"/>
    <hyperlink ref="P27" r:id="rId148" xr:uid="{1A1239B4-C736-4649-B4B9-4FC86508D07A}"/>
    <hyperlink ref="P31" r:id="rId149" xr:uid="{CCF79DCC-5DB9-41E4-984F-AEEE0B269F1F}"/>
    <hyperlink ref="P32" r:id="rId150" xr:uid="{331FAE7B-E00A-469F-A116-53AAB84E480B}"/>
    <hyperlink ref="P36" r:id="rId151" xr:uid="{62DEF22C-F225-42F8-8841-4410A25E479A}"/>
    <hyperlink ref="P38" r:id="rId152" xr:uid="{30C2C25A-089A-47BA-83CC-5BC0B36C20FB}"/>
    <hyperlink ref="P40" r:id="rId153" xr:uid="{45FF5E76-5D4E-43D2-BCEB-69883A706BF1}"/>
    <hyperlink ref="M44" r:id="rId154" xr:uid="{369D75DB-523E-4DFA-BBB6-E2E02291974A}"/>
    <hyperlink ref="O44" r:id="rId155" xr:uid="{D26E94C5-93A2-47FA-8A69-01237777DEED}"/>
    <hyperlink ref="P41" r:id="rId156" xr:uid="{58287321-DB5B-4F57-B8EA-8C62E8567BFC}"/>
    <hyperlink ref="L45" r:id="rId157" xr:uid="{C553793D-2546-4ED6-A550-562DB3028250}"/>
    <hyperlink ref="M45" r:id="rId158" xr:uid="{305AB0A4-AE0E-44CB-89D4-25DF53D87CA8}"/>
    <hyperlink ref="O45" r:id="rId159" xr:uid="{B0BB6B1E-F994-406B-BF70-616140124A4D}"/>
    <hyperlink ref="P35" r:id="rId160" xr:uid="{44918194-69F9-4F42-8ECF-77448D8302AD}"/>
    <hyperlink ref="P43" r:id="rId161" xr:uid="{A56DE2F6-2409-4140-B5FF-E9A539C5FBF4}"/>
    <hyperlink ref="N44" r:id="rId162" xr:uid="{B6D160BC-B554-4319-82E5-BF1E5A6EA512}"/>
    <hyperlink ref="N45" r:id="rId163" xr:uid="{385B09A6-A89B-404E-B382-0FC750B157E6}"/>
    <hyperlink ref="P45" r:id="rId164" xr:uid="{56F632F0-8FAD-4381-BE10-EA1BF33EB7DB}"/>
    <hyperlink ref="L46" r:id="rId165" xr:uid="{68470F76-70BB-429B-95E8-C1635C0BE4CB}"/>
    <hyperlink ref="M46" r:id="rId166" xr:uid="{BBA36AC3-7958-4FA1-8B5C-14330BB55B15}"/>
    <hyperlink ref="O46" r:id="rId167" xr:uid="{ABCDAF5C-1DDB-42E7-AF4C-088746492B42}"/>
    <hyperlink ref="N46" r:id="rId168" xr:uid="{C1C142DE-7747-4390-B672-E4E93E173767}"/>
    <hyperlink ref="P46" r:id="rId169" xr:uid="{AC44E862-1357-47B7-8051-595E25E2BDA1}"/>
    <hyperlink ref="L47" r:id="rId170" xr:uid="{0AA15544-DEC3-4E3F-9FED-F3056E9C24FA}"/>
    <hyperlink ref="M47" r:id="rId171" xr:uid="{FA156D39-F874-457B-B1EF-DFF0A7271B05}"/>
    <hyperlink ref="O47" r:id="rId172" xr:uid="{B15141A4-B2AA-4D2E-8636-DE8353BFF6EA}"/>
    <hyperlink ref="L48" r:id="rId173" xr:uid="{2723E8A7-72F3-4D84-A6CF-756B25C16C88}"/>
    <hyperlink ref="M48" r:id="rId174" xr:uid="{706D77C9-4AE9-40C9-8DA9-B324DC60CD0C}"/>
    <hyperlink ref="O48" r:id="rId175" xr:uid="{6E2B4BF5-B58C-4635-9C24-AC9323B75D2E}"/>
    <hyperlink ref="L49" r:id="rId176" xr:uid="{6949C780-8DD1-403D-85B3-EFDF8A0EDA65}"/>
    <hyperlink ref="M49" r:id="rId177" xr:uid="{B643FB01-3CDD-441B-8AAA-EB39A35A4537}"/>
    <hyperlink ref="O49" r:id="rId178" xr:uid="{0123FA8A-F1C8-49E6-B1AC-CE6D6DFBA41D}"/>
    <hyperlink ref="L51" r:id="rId179" xr:uid="{964D6F25-9A7D-4008-AE6A-058B8100812D}"/>
    <hyperlink ref="P42" r:id="rId180" xr:uid="{82FBFC75-375D-4F48-A35D-B83EED65719B}"/>
    <hyperlink ref="M51" r:id="rId181" xr:uid="{D9D7BC6D-06F9-4698-84B3-A58A900C5379}"/>
    <hyperlink ref="O51" r:id="rId182" xr:uid="{40E75285-3AF7-4536-93DE-4F270A2128EB}"/>
    <hyperlink ref="L53" r:id="rId183" xr:uid="{32485414-FF74-4A67-B37A-23125BE646C1}"/>
    <hyperlink ref="M53" r:id="rId184" xr:uid="{EEB7B16E-8832-46A1-8497-F9FEA26656AE}"/>
    <hyperlink ref="O53" r:id="rId185" xr:uid="{453E65AD-5539-4C25-B013-AAE0C6C30A63}"/>
    <hyperlink ref="M52" r:id="rId186" xr:uid="{AD0F47AD-7C15-4C56-BF58-8AAFAD40E112}"/>
    <hyperlink ref="O52" r:id="rId187" xr:uid="{87A6406B-7823-4C57-9E7E-1D3A171F01A1}"/>
    <hyperlink ref="N47" r:id="rId188" xr:uid="{2BBA9733-FC5C-4062-9D6A-A41F28BBE323}"/>
    <hyperlink ref="N48" r:id="rId189" xr:uid="{24B97FD2-1382-49C5-82D0-2C00840D6F22}"/>
    <hyperlink ref="N53" r:id="rId190" xr:uid="{F09B4D8A-E4B1-4149-9B0A-CAA55EB516A0}"/>
    <hyperlink ref="L54" r:id="rId191" xr:uid="{66CEE801-5DD6-4CE1-A01C-CF772820C03E}"/>
    <hyperlink ref="L55" r:id="rId192" xr:uid="{5BA17993-B02B-4750-94E0-24992CDDB1B7}"/>
    <hyperlink ref="L56" r:id="rId193" xr:uid="{B3FEB997-EAA1-4B85-A5E3-24B2701BCDEE}"/>
    <hyperlink ref="M54" r:id="rId194" xr:uid="{4266F1DD-3589-480D-9410-96B828A41E5F}"/>
    <hyperlink ref="O54" r:id="rId195" xr:uid="{D0C581A8-7097-4BC8-8561-4C53C437F8F9}"/>
    <hyperlink ref="M55" r:id="rId196" xr:uid="{1A2A2BCE-AEB1-4262-8386-5F6921BB7B5E}"/>
    <hyperlink ref="O55" r:id="rId197" xr:uid="{DAF7FAB4-6F22-43FE-B115-DBFCC598007F}"/>
    <hyperlink ref="M56" r:id="rId198" xr:uid="{A950F245-D312-465F-B867-F64902C3EAB0}"/>
    <hyperlink ref="O56" r:id="rId199" xr:uid="{3456FD14-F332-415C-967A-588D75A3F8F9}"/>
    <hyperlink ref="P48" r:id="rId200" xr:uid="{AADA5363-B788-483E-A623-310309D5952A}"/>
    <hyperlink ref="N54" r:id="rId201" xr:uid="{77D92EB6-A5AE-4474-A2B4-6CF686B6B972}"/>
    <hyperlink ref="N55" r:id="rId202" xr:uid="{F7C75CFC-C852-432A-9AB4-9EF0A694DD67}"/>
    <hyperlink ref="N56" r:id="rId203" xr:uid="{95781754-5DA9-4C41-B828-AD212A0DDFE1}"/>
    <hyperlink ref="L57" r:id="rId204" xr:uid="{4B935085-DBE8-4EFA-8D30-C12B38FC3B1B}"/>
    <hyperlink ref="N51" r:id="rId205" xr:uid="{8FC463D0-976B-4388-9FFD-5428821B6A5E}"/>
    <hyperlink ref="M57" r:id="rId206" xr:uid="{4E54FEF7-3A28-4083-A7EA-EE8B53CC0EBD}"/>
    <hyperlink ref="O57" r:id="rId207" xr:uid="{21C4168A-A89B-4672-B811-9717F1C841B2}"/>
    <hyperlink ref="L58" r:id="rId208" xr:uid="{5FDECC82-00A3-4CD3-A53C-17CACB2EA77E}"/>
    <hyperlink ref="M58" r:id="rId209" xr:uid="{33BDE646-FCD1-4E5F-8CD1-F6E8CC3E68F1}"/>
    <hyperlink ref="O58" r:id="rId210" xr:uid="{2F483148-0149-44CB-89D6-F98249663730}"/>
    <hyperlink ref="N57" r:id="rId211" xr:uid="{96F4E496-BF32-4180-B5AC-27DFAD4C0C6D}"/>
    <hyperlink ref="P56" r:id="rId212" xr:uid="{2C301314-2B3D-4CC8-A4CE-1253C12F9BD2}"/>
    <hyperlink ref="P57" r:id="rId213" xr:uid="{DC3994D1-5616-4C03-8F45-5E1C924A08CA}"/>
    <hyperlink ref="P54" r:id="rId214" xr:uid="{EEA85A46-8E78-4D0F-898B-6CB53CBA6795}"/>
    <hyperlink ref="P51" r:id="rId215" xr:uid="{FBCBBA1C-2316-4A48-BC28-7801450D7B78}"/>
    <hyperlink ref="L59" r:id="rId216" xr:uid="{99EA2D06-2A08-4A3E-9F11-F7D4159AAE50}"/>
    <hyperlink ref="M59" r:id="rId217" xr:uid="{ACA1CAA4-2E6F-442A-916E-8C99C54310F1}"/>
    <hyperlink ref="O59" r:id="rId218" xr:uid="{3B31A023-4258-44FC-B0AA-D78C6ADF7337}"/>
    <hyperlink ref="P53" r:id="rId219" xr:uid="{E28BFCFE-74EF-4171-A358-F3022E0E3645}"/>
    <hyperlink ref="N58" r:id="rId220" xr:uid="{78081283-36BD-4D97-83A7-DE0F8460EA19}"/>
    <hyperlink ref="P55" r:id="rId221" xr:uid="{E9510CED-6DF1-4000-8C11-0180820D078C}"/>
    <hyperlink ref="N59" r:id="rId222" xr:uid="{67569DEB-343F-43C9-A618-3829AC7D157C}"/>
    <hyperlink ref="P49" r:id="rId223" xr:uid="{E63052E5-A20F-4B33-889B-F2B8DC205FB5}"/>
    <hyperlink ref="N49" r:id="rId224" xr:uid="{1FD7EB1A-A5D6-46D6-B331-433309C367FF}"/>
    <hyperlink ref="M61" r:id="rId225" xr:uid="{6EBA8510-B972-4FD9-8EB7-93BE3496FB18}"/>
    <hyperlink ref="O61" r:id="rId226" xr:uid="{48C06A3D-9749-4A6F-B509-B369C1EA76AE}"/>
    <hyperlink ref="L62" r:id="rId227" xr:uid="{49BD8924-AA30-4236-B4D2-00421AB0B60C}"/>
    <hyperlink ref="L63" r:id="rId228" xr:uid="{DF266541-D64C-46A6-B601-D04152CFBF51}"/>
    <hyperlink ref="L52" r:id="rId229" xr:uid="{10C81E94-0E3A-4EC7-BECE-088143FC0145}"/>
    <hyperlink ref="M63" r:id="rId230" xr:uid="{A6B1E20F-3CC6-4191-8AC3-A0DC4077273C}"/>
    <hyperlink ref="O63" r:id="rId231" xr:uid="{8808BCE5-23AD-4F8C-9801-8C757A96A913}"/>
    <hyperlink ref="M62" r:id="rId232" xr:uid="{2B8569A9-BC8D-48E6-93FF-9F06B338DCB3}"/>
    <hyperlink ref="O62" r:id="rId233" xr:uid="{682421A5-137C-485F-9A69-A833678CF44E}"/>
    <hyperlink ref="L64" r:id="rId234" xr:uid="{413D0E4E-56AF-4C29-A400-BCBA850C397D}"/>
    <hyperlink ref="L65" r:id="rId235" xr:uid="{ACFC3E7E-237A-4DA6-BE67-AC3B0A2E8EB1}"/>
    <hyperlink ref="M64" r:id="rId236" xr:uid="{7740624C-BD76-4107-BE33-167C38F12F6A}"/>
    <hyperlink ref="O64" r:id="rId237" xr:uid="{FD876B41-060B-42C1-AE76-963B0D4ECCC1}"/>
    <hyperlink ref="M65" r:id="rId238" xr:uid="{C36946FA-DF7D-4105-9CFC-5EA3DE9F5D19}"/>
    <hyperlink ref="O65" r:id="rId239" xr:uid="{25175226-3776-4D4D-9531-396AF636D1BA}"/>
    <hyperlink ref="L66" r:id="rId240" xr:uid="{2E1B066B-F87D-4D3C-BBD5-8611BD771093}"/>
    <hyperlink ref="M66" r:id="rId241" xr:uid="{6F0ACB3F-BA88-4F7A-B445-63D352C795DE}"/>
    <hyperlink ref="O66" r:id="rId242" xr:uid="{09024CB8-D670-4B60-B1D7-687FE20009D2}"/>
    <hyperlink ref="L67" r:id="rId243" xr:uid="{6B4BBE70-7EF5-4AD3-940F-03690CDB96E7}"/>
    <hyperlink ref="M67" r:id="rId244" xr:uid="{417EAD69-9E5E-44D2-9531-284B121B9C0A}"/>
    <hyperlink ref="O67" r:id="rId245" xr:uid="{38D64C6B-5BC6-4FF3-A334-59653F2653DD}"/>
    <hyperlink ref="L68" r:id="rId246" xr:uid="{FEE4643D-0D4D-467D-A21B-C42913E19503}"/>
    <hyperlink ref="M68" r:id="rId247" xr:uid="{3995A04C-FCE9-4E88-A944-B607536F0190}"/>
    <hyperlink ref="N62" r:id="rId248" xr:uid="{76873DC7-F141-4134-8843-0DF6F48D3E5A}"/>
    <hyperlink ref="N63" r:id="rId249" xr:uid="{9C626FEA-26F4-4919-A1DF-09ED21C499C6}"/>
    <hyperlink ref="N64" r:id="rId250" xr:uid="{5BB67C56-DB5A-4BA7-993F-6E8926FEF13E}"/>
    <hyperlink ref="N65" r:id="rId251" xr:uid="{48510A0B-2751-47A9-B9BC-D31755D413E7}"/>
    <hyperlink ref="N66" r:id="rId252" xr:uid="{41FDF9B2-C358-4EC8-9EE4-A5C1F58766A8}"/>
    <hyperlink ref="N67" r:id="rId253" xr:uid="{EF83E75C-1E03-4437-8405-76C2ED417A30}"/>
    <hyperlink ref="N52" r:id="rId254" xr:uid="{6EB08EBF-8337-49FA-83B0-78C5D9E61FD8}"/>
    <hyperlink ref="L61" r:id="rId255" xr:uid="{C77439E3-6717-48F4-BEDC-53FA499203D9}"/>
    <hyperlink ref="P52" r:id="rId256" xr:uid="{63416109-4F86-4C6A-9AC7-ED7B6B25CC08}"/>
    <hyperlink ref="L71" r:id="rId257" xr:uid="{3ACD5807-34F0-43D1-B57E-BB6E8C93B104}"/>
    <hyperlink ref="M71" r:id="rId258" xr:uid="{1F34A5F5-711B-462F-B7DD-C684E0FF9231}"/>
    <hyperlink ref="O71" r:id="rId259" xr:uid="{6D4840E3-ED4C-4CBE-924D-EBD2FD124E5B}"/>
    <hyperlink ref="L72" r:id="rId260" xr:uid="{5323E874-C260-42FA-87D1-07E3ED6B3DBE}"/>
    <hyperlink ref="M72" r:id="rId261" xr:uid="{D192C834-1F24-429F-97CD-949C50F5C754}"/>
    <hyperlink ref="O72" r:id="rId262" xr:uid="{2C2604EA-7F4D-4657-AB51-7583BA0E1F9F}"/>
    <hyperlink ref="N71" r:id="rId263" xr:uid="{4EEA5E9B-3115-4422-8CF1-0D0C499F2F6B}"/>
    <hyperlink ref="P67" r:id="rId264" xr:uid="{EA90C8CD-B381-402F-83E4-74CF474ED29A}"/>
    <hyperlink ref="N72" r:id="rId265" xr:uid="{FA90D09F-D128-4745-8899-1E8470A1E230}"/>
    <hyperlink ref="P71" r:id="rId266" xr:uid="{8E496C97-A5CF-425C-B23E-C15ACADE9DE7}"/>
    <hyperlink ref="P65" r:id="rId267" xr:uid="{84735D4E-4AC1-4BB1-8CA7-C82EA2D27C83}"/>
    <hyperlink ref="P63" r:id="rId268" xr:uid="{0D9C1B0E-737D-4926-893E-CEE2296D1875}"/>
    <hyperlink ref="P62" r:id="rId269" xr:uid="{A7771E3D-450C-4857-8949-F2B00FB2EF51}"/>
    <hyperlink ref="P59" r:id="rId270" xr:uid="{F47B809C-81CF-418F-B864-BA0BE038856B}"/>
    <hyperlink ref="P58" r:id="rId271" xr:uid="{BE750168-A89E-4156-A2EE-8BED69A90C86}"/>
    <hyperlink ref="N61" r:id="rId272" xr:uid="{275E0470-FB71-4F53-86BD-4EA05995DB76}"/>
    <hyperlink ref="L7" r:id="rId273" xr:uid="{2B6A6ADE-13D1-4EC3-9D0F-5F16AC0038DD}"/>
    <hyperlink ref="P7" r:id="rId274" xr:uid="{AF44EE71-589B-4C86-9C3B-DDDDA0324229}"/>
    <hyperlink ref="N7" r:id="rId275" xr:uid="{06AE67EE-69F6-41E2-99F0-4A52875A846A}"/>
    <hyperlink ref="M7" r:id="rId276" xr:uid="{6F7DDB50-0502-43FD-A7AE-6509342A217A}"/>
    <hyperlink ref="O7" r:id="rId277" xr:uid="{EDE966AC-1EEA-4D4A-A5D7-7F7724A873EC}"/>
    <hyperlink ref="P15" r:id="rId278" xr:uid="{753A294E-5BCB-4DA9-AB19-D323BA050F5D}"/>
    <hyperlink ref="L73" r:id="rId279" xr:uid="{FE1CB569-191D-46E4-8EE0-B935259ADB81}"/>
    <hyperlink ref="M73" r:id="rId280" xr:uid="{4E01B1D1-C8B2-497B-B57C-0644F70A73DC}"/>
    <hyperlink ref="M74" r:id="rId281" xr:uid="{C914D2BB-3F49-4183-A77A-E4F2541CEF97}"/>
    <hyperlink ref="M75" r:id="rId282" xr:uid="{E329E4AC-51A0-4D0D-9B5B-517CDB87692C}"/>
    <hyperlink ref="P16" r:id="rId283" xr:uid="{A70021FF-DE75-456E-8F0C-E3D88CDE97AC}"/>
    <hyperlink ref="P28" r:id="rId284" xr:uid="{B1BBA26A-621D-473A-AA5A-699EF5D32CE8}"/>
    <hyperlink ref="P30" r:id="rId285" xr:uid="{353D0EE7-3EAA-4307-A489-7BB49C6A5267}"/>
    <hyperlink ref="L34" r:id="rId286" xr:uid="{153D23C3-CD9D-455A-9352-1CFF3F3E3EFE}"/>
    <hyperlink ref="M34" r:id="rId287" xr:uid="{E361B991-7072-48A3-B455-4A8E25402E80}"/>
    <hyperlink ref="O34" r:id="rId288" xr:uid="{9EB8D00F-FB82-4143-A52D-9151464760AB}"/>
    <hyperlink ref="N34" r:id="rId289" xr:uid="{77FCC510-1115-465C-AA07-8BE20C6CC9EA}"/>
    <hyperlink ref="P34" r:id="rId290" xr:uid="{AAE346D4-16F4-4970-A138-88FF071DAC2E}"/>
    <hyperlink ref="P37" r:id="rId291" xr:uid="{A7BDCA7E-6FA4-40D1-9E7C-FB470D919730}"/>
    <hyperlink ref="P47" r:id="rId292" xr:uid="{8FDEF158-D5DF-4815-A2FC-896B079BD095}"/>
    <hyperlink ref="M60" r:id="rId293" xr:uid="{ABE1FBF7-EEEA-468D-85D0-48D3D0FB7315}"/>
    <hyperlink ref="O60" r:id="rId294" xr:uid="{29FF2E54-7F7C-4522-BC3E-A17D419D19A4}"/>
    <hyperlink ref="L60" r:id="rId295" xr:uid="{A8D70A6F-5ECE-4318-80E5-6B0D43E2251B}"/>
    <hyperlink ref="N60" r:id="rId296" xr:uid="{12E5C48F-8979-46A5-9414-EEB5280E532C}"/>
    <hyperlink ref="P60" r:id="rId297" xr:uid="{79B9B249-7A83-438D-9994-8CC03674CA42}"/>
    <hyperlink ref="P64" r:id="rId298" xr:uid="{44858501-CF34-4088-83EB-08B66B2A1C46}"/>
    <hyperlink ref="P66" r:id="rId299" xr:uid="{8F1FEC67-E295-4F26-9A0C-6D8B57A36D55}"/>
    <hyperlink ref="O68" r:id="rId300" xr:uid="{2DAD9BCA-F99D-4FC9-8139-DCE460E8BB79}"/>
    <hyperlink ref="N68" r:id="rId301" xr:uid="{32B4096B-5AB1-43A6-BB58-267211482DB1}"/>
    <hyperlink ref="P72" r:id="rId302" xr:uid="{AE2DAE27-7765-4DBC-8DEF-DDEBFAA87EBF}"/>
    <hyperlink ref="N73" r:id="rId303" xr:uid="{CEFF4158-A54F-49D1-B005-B10CEE0B60BC}"/>
    <hyperlink ref="O73" r:id="rId304" xr:uid="{D889DB18-C710-4846-A03E-FC164BF66204}"/>
    <hyperlink ref="O74" r:id="rId305" xr:uid="{ECEE73DC-D2B4-423E-BCB0-F35B54012FBB}"/>
    <hyperlink ref="O75" r:id="rId306" xr:uid="{634F6A7B-24E1-4E55-A0DA-33172C444FF0}"/>
    <hyperlink ref="O77" r:id="rId307" xr:uid="{BE5F8827-E049-4486-B876-2D1DD1702A5E}"/>
    <hyperlink ref="M77" r:id="rId308" xr:uid="{5601DF10-7300-4E07-86DC-64105B6CDB92}"/>
    <hyperlink ref="O76" r:id="rId309" xr:uid="{DF9008EA-D1B8-4476-BE79-9ABD13293BFC}"/>
    <hyperlink ref="M76" r:id="rId310" xr:uid="{766CC769-7F14-4218-AC55-E1ADD2E336D0}"/>
    <hyperlink ref="O78" r:id="rId311" xr:uid="{B0966552-0CFA-47BE-8BE2-069479F1C487}"/>
    <hyperlink ref="M78" r:id="rId312" xr:uid="{E89B0F3C-7F44-4E7C-9042-C722DD98C60C}"/>
    <hyperlink ref="M79" r:id="rId313" xr:uid="{6B16CB79-B882-4D64-A378-741A04A586C6}"/>
    <hyperlink ref="M81" r:id="rId314" xr:uid="{8D8BA746-E15A-46FC-9439-3550745CF117}"/>
    <hyperlink ref="O81" r:id="rId315" xr:uid="{99B1BDC1-1170-4C6C-B3F1-91CC0FCF9BAF}"/>
    <hyperlink ref="M82" r:id="rId316" xr:uid="{570C7110-802A-4744-A3FB-C5321C7CCFA4}"/>
    <hyperlink ref="O82" r:id="rId317" xr:uid="{B96FE766-0226-4514-99DD-7361F005407A}"/>
    <hyperlink ref="M83" r:id="rId318" xr:uid="{B6A8F034-F656-4666-92AA-956AF6277C0C}"/>
    <hyperlink ref="O83" r:id="rId319" xr:uid="{E3AE0827-5B1D-4842-B7B5-F2FE790E028F}"/>
    <hyperlink ref="M84" r:id="rId320" xr:uid="{3397E4EB-D7EA-4E59-AB23-C76F38277FFF}"/>
    <hyperlink ref="M87" r:id="rId321" xr:uid="{DEF1FB17-2CF7-4F5B-B148-984D72C8C012}"/>
    <hyperlink ref="O87" r:id="rId322" xr:uid="{69A7393F-DC30-4C61-9371-9627E7C0205F}"/>
    <hyperlink ref="M80" r:id="rId323" xr:uid="{CE5E6629-32E9-4EB3-97FA-1891EAF9AD49}"/>
    <hyperlink ref="O80" r:id="rId324" xr:uid="{63572DBE-4582-4730-BA42-A943CEEC7A8C}"/>
    <hyperlink ref="O85" r:id="rId325" xr:uid="{6720D9BC-BB12-4504-B04E-CD73D45A66EE}"/>
    <hyperlink ref="M85" r:id="rId326" xr:uid="{3697A76B-21CE-4967-AF49-9B41018F7861}"/>
    <hyperlink ref="M88" r:id="rId327" xr:uid="{1D1ED2D7-E9B3-4CD9-8EDC-6E858BCEFA99}"/>
    <hyperlink ref="M91" r:id="rId328" xr:uid="{095F5340-EDC1-4448-B1BE-27945A94B93A}"/>
    <hyperlink ref="O91" r:id="rId329" xr:uid="{6E94AE23-8A16-48F5-AA7B-46B992559261}"/>
    <hyperlink ref="M92" r:id="rId330" xr:uid="{B1CC96C2-ADB1-4367-B4AF-580F0EA4943C}"/>
    <hyperlink ref="O92" r:id="rId331" xr:uid="{44E3F312-5918-4AB4-8681-2E12D5C0BA12}"/>
    <hyperlink ref="M94" r:id="rId332" xr:uid="{2AA890D2-5FE6-484C-84C7-DFE24DF88C5C}"/>
    <hyperlink ref="O94" r:id="rId333" xr:uid="{59C0AB3E-78C1-45F8-A51B-CB871584E8B6}"/>
    <hyperlink ref="M93" r:id="rId334" xr:uid="{E0554DEA-1FDF-4409-9BF1-65F280C23FE7}"/>
    <hyperlink ref="O93" r:id="rId335" xr:uid="{C9E6D1CC-011D-424B-A1A0-AD1B6D2905B5}"/>
    <hyperlink ref="M89" r:id="rId336" xr:uid="{F8E6EC41-6698-49A2-A5BB-C18B8CF2AB2C}"/>
    <hyperlink ref="M90" r:id="rId337" xr:uid="{FCA42D34-39C0-4676-A695-BD5719B496E9}"/>
    <hyperlink ref="M95" r:id="rId338" xr:uid="{7A07272E-4C6C-4154-96F4-6D0538B242DA}"/>
    <hyperlink ref="O95" r:id="rId339" xr:uid="{AB641B73-4DC0-4773-8EAA-34E59FC076DA}"/>
    <hyperlink ref="M96" r:id="rId340" xr:uid="{F5EB4F64-93D2-40E7-B8BB-EDBAFDD28283}"/>
    <hyperlink ref="O98" r:id="rId341" xr:uid="{F1AD993F-36AA-45AD-A46F-385A4FDAF1A3}"/>
    <hyperlink ref="M98" r:id="rId342" xr:uid="{2CF22A7B-C56F-46C0-89AF-E0E86B85B07A}"/>
    <hyperlink ref="M99" r:id="rId343" xr:uid="{DCCBC124-CCA6-4FBC-B141-43B821C0F3F5}"/>
    <hyperlink ref="O99" r:id="rId344" xr:uid="{D983AF2A-7154-459A-A7D6-19CB2B30CC3B}"/>
    <hyperlink ref="M100" r:id="rId345" xr:uid="{EF22A4AF-5C69-460E-B802-360380E0FDF9}"/>
    <hyperlink ref="O100" r:id="rId346" xr:uid="{761AAD03-C31F-4619-A4E3-48880A5D2752}"/>
    <hyperlink ref="M101" r:id="rId347" xr:uid="{91C324B5-8B70-412D-AF22-082305EFFDBB}"/>
    <hyperlink ref="O101" r:id="rId348" xr:uid="{8CB35202-1066-4C5E-8AE5-5B5CF0DC1731}"/>
    <hyperlink ref="M103" r:id="rId349" xr:uid="{8FFE5535-4EF9-4E28-BE88-503A1EC14A6B}"/>
    <hyperlink ref="O103" r:id="rId350" xr:uid="{6B2188F3-F31E-442F-BA90-8F1303172734}"/>
    <hyperlink ref="M102" r:id="rId351" xr:uid="{CE62087E-E048-4DC2-BB2A-5D820300E829}"/>
    <hyperlink ref="O102" r:id="rId352" xr:uid="{ED92FC15-AED3-45DE-9BDF-2E26A9AB9B01}"/>
    <hyperlink ref="M105" r:id="rId353" xr:uid="{A55D0A1F-BD7A-4890-80C3-842D7E3F9282}"/>
    <hyperlink ref="O105" r:id="rId354" xr:uid="{70C9123E-DAD9-4B18-84F2-149A4FF62120}"/>
    <hyperlink ref="M104" r:id="rId355" xr:uid="{7399EF4B-9664-449E-98E2-FFA3D0B9E7CE}"/>
    <hyperlink ref="O104" r:id="rId356" xr:uid="{B8AB28E2-942C-4943-B1F7-4FC8B6FE60FC}"/>
    <hyperlink ref="M106" r:id="rId357" xr:uid="{11B3764D-D57E-4CDE-BDAF-3DD7AFF1A599}"/>
    <hyperlink ref="O106" r:id="rId358" xr:uid="{D784D915-C72A-45AE-A321-67DB9603CA92}"/>
    <hyperlink ref="M107" r:id="rId359" xr:uid="{A103D9F3-BE9E-41E5-BEEC-E7BA213FF286}"/>
    <hyperlink ref="O107" r:id="rId360" xr:uid="{73BCD56F-E1AD-43FA-ACFB-4279E70C94B8}"/>
    <hyperlink ref="M108" r:id="rId361" xr:uid="{E1F45F73-61CE-41D6-8B57-A1A6BB783148}"/>
    <hyperlink ref="O108" r:id="rId362" xr:uid="{ED29CB0B-3961-462F-8F66-6F50750C25F0}"/>
    <hyperlink ref="M109" r:id="rId363" xr:uid="{BC0FD61F-EFDD-4B78-A807-2B4467419D4E}"/>
    <hyperlink ref="O109" r:id="rId364" xr:uid="{6409A6EB-9E94-4936-B187-D25937CD2D87}"/>
    <hyperlink ref="M86" r:id="rId365" xr:uid="{EE787D93-BDB4-4804-899E-60E5CA92492C}"/>
    <hyperlink ref="M97" r:id="rId366" xr:uid="{EAEF690D-9143-438E-B46B-561697B15655}"/>
    <hyperlink ref="M110" r:id="rId367" xr:uid="{D7050881-8C8F-4C36-A6D3-A4FB35B740A3}"/>
    <hyperlink ref="M111" r:id="rId368" xr:uid="{D10B5824-1B83-442E-9F33-696F3B5E2077}"/>
    <hyperlink ref="M112" r:id="rId369" xr:uid="{EB95E423-7E34-4FB4-AEF7-6C31196C724B}"/>
    <hyperlink ref="M113" r:id="rId370" xr:uid="{9A7C9E78-8AB9-4EA7-A591-38AD04F0B485}"/>
    <hyperlink ref="M114" r:id="rId371" xr:uid="{1F9F42FB-12A9-4EA5-B3DB-04A2FCF2DC51}"/>
    <hyperlink ref="L74" r:id="rId372" xr:uid="{EABC5D82-B715-4FBF-AADF-3C77D4AA773C}"/>
    <hyperlink ref="N74" r:id="rId373" xr:uid="{E792147A-4EFD-448F-A3AD-776603463661}"/>
    <hyperlink ref="P74" r:id="rId374" xr:uid="{FB9BC3B1-1EF3-4384-AD0F-ECB7B1C75F24}"/>
    <hyperlink ref="L75" r:id="rId375" xr:uid="{690F24C7-5711-4F53-B802-C16E4CC4C895}"/>
    <hyperlink ref="N75" r:id="rId376" xr:uid="{9F5B8875-ECE2-4864-BF09-132C7CBA19F9}"/>
    <hyperlink ref="P75" r:id="rId377" xr:uid="{8F6F8223-3A0C-42B4-AC04-826DE15DFBF4}"/>
    <hyperlink ref="L76" r:id="rId378" xr:uid="{564B5E5B-638E-4498-989F-4660F52548E7}"/>
    <hyperlink ref="N76" r:id="rId379" xr:uid="{C07A25D5-5A63-4E7C-A4B1-448A4253836E}"/>
    <hyperlink ref="L77" r:id="rId380" xr:uid="{325D3DF6-7A80-4A71-B105-63552B448260}"/>
    <hyperlink ref="N77" r:id="rId381" xr:uid="{DC9EEE5C-6F62-4781-A07D-EACA8239B1BB}"/>
    <hyperlink ref="L78" r:id="rId382" xr:uid="{516BD02B-53D0-473B-9716-3FDF385A95E8}"/>
    <hyperlink ref="N78" r:id="rId383" xr:uid="{0E155522-FB2D-4C29-AF07-FFB16A50D5DE}"/>
    <hyperlink ref="L79" r:id="rId384" xr:uid="{E10A8255-3C59-4FAD-9DA9-0B36E8E834B7}"/>
    <hyperlink ref="L80" r:id="rId385" xr:uid="{2368B700-345E-4505-8ABA-93A6CADFD42A}"/>
    <hyperlink ref="N80" r:id="rId386" xr:uid="{C05B0070-2B5F-4875-A3CB-153609C8C027}"/>
    <hyperlink ref="P80" r:id="rId387" xr:uid="{F2470F51-3965-4B14-A30E-6DB5C5AF6118}"/>
    <hyperlink ref="L81" r:id="rId388" xr:uid="{4772808B-14B9-4999-9900-04AA0B6C11A0}"/>
    <hyperlink ref="P81" r:id="rId389" xr:uid="{01D46EF7-CB17-4565-AD1C-5AF52AF75EE7}"/>
    <hyperlink ref="L82" r:id="rId390" xr:uid="{6C02AFB2-F111-4856-BAEB-6D8D7C564089}"/>
    <hyperlink ref="P82" r:id="rId391" xr:uid="{1EC37FD6-6CBF-4E3C-93E9-F751B6B72A0D}"/>
    <hyperlink ref="L83" r:id="rId392" xr:uid="{64B13359-14F8-4CCA-98CC-6E9124779E90}"/>
    <hyperlink ref="N83" r:id="rId393" xr:uid="{EC0854DB-C65B-480D-B877-5A67FA4506D9}"/>
    <hyperlink ref="P83" r:id="rId394" xr:uid="{F3F1F115-D32B-4B37-A7CA-A387151B1E0A}"/>
    <hyperlink ref="L84" r:id="rId395" xr:uid="{1ED82E71-FDDE-4BEF-B3B0-6AEA21BF1F4F}"/>
    <hyperlink ref="L85" r:id="rId396" xr:uid="{3EF54009-7E1D-4B3E-9FC7-71A0728CFDFB}"/>
    <hyperlink ref="N85" r:id="rId397" xr:uid="{7FD63A6A-6F83-43D0-83BF-13F1F88280A5}"/>
    <hyperlink ref="P85" r:id="rId398" xr:uid="{23164FC4-7CE5-4FEF-88FD-6FCF89272B8B}"/>
    <hyperlink ref="L86" r:id="rId399" xr:uid="{69BD8123-3DC1-4359-BEAE-71625798E633}"/>
    <hyperlink ref="N86" r:id="rId400" xr:uid="{9A2D310C-49E3-4753-9724-561437363793}"/>
    <hyperlink ref="O86" r:id="rId401" xr:uid="{7C704C94-F7D4-464F-BA9C-98B1A28F7336}"/>
    <hyperlink ref="L87" r:id="rId402" xr:uid="{B0697B81-82A1-4A38-83B9-E4DDB58538F2}"/>
    <hyperlink ref="N87" r:id="rId403" xr:uid="{7EC0A435-B2A5-4FFF-87CB-1840E379695F}"/>
    <hyperlink ref="P87" r:id="rId404" xr:uid="{F1C78F67-2602-4B5B-A888-1A4D6825D974}"/>
    <hyperlink ref="L88" r:id="rId405" xr:uid="{BBE438BF-B9DD-4E3D-9AFC-80D5E15BD654}"/>
    <hyperlink ref="L89" r:id="rId406" xr:uid="{A657DC77-D42E-4F65-965A-C8458DA77511}"/>
    <hyperlink ref="L90" r:id="rId407" xr:uid="{E83EDFA8-BDEF-4537-9504-4A7F4250F6EE}"/>
    <hyperlink ref="L91" r:id="rId408" xr:uid="{C1F93D71-4A69-4BA3-BF50-287D09230CB2}"/>
    <hyperlink ref="N91" r:id="rId409" xr:uid="{16190F50-4F0F-48F2-BC33-5D23D678FDA5}"/>
    <hyperlink ref="P91" r:id="rId410" xr:uid="{1338531E-6AFE-4F7C-AF50-E780E9C5F766}"/>
    <hyperlink ref="L92" r:id="rId411" xr:uid="{BA4D9581-77A5-4BA6-949B-A261CC25FFE9}"/>
    <hyperlink ref="N92" r:id="rId412" xr:uid="{970C25EE-FC88-41BA-A21C-ED3FC3768E8F}"/>
    <hyperlink ref="P92" r:id="rId413" xr:uid="{A7316C3D-DC69-417B-A8E8-B19BF5BFE2A1}"/>
    <hyperlink ref="L93" r:id="rId414" xr:uid="{A2461C2B-065A-476D-834F-EAE39BDB0A53}"/>
    <hyperlink ref="N93" r:id="rId415" xr:uid="{737E062E-8689-426F-A197-119381A849C3}"/>
    <hyperlink ref="L94" r:id="rId416" xr:uid="{94C55DEE-E8C9-4D76-8B73-AF2E6EF11682}"/>
    <hyperlink ref="L95" r:id="rId417" xr:uid="{9919D42C-811D-48A5-A1D9-468985713A1E}"/>
    <hyperlink ref="N95" r:id="rId418" xr:uid="{17423403-C65A-4457-87A5-4919FE1745E7}"/>
    <hyperlink ref="L96" r:id="rId419" xr:uid="{9AD0D03D-ABFD-4F13-A9C5-6E8BE88853E5}"/>
    <hyperlink ref="L97" r:id="rId420" xr:uid="{C26252FD-B497-4F40-8499-41CF92B58B0E}"/>
    <hyperlink ref="L98" r:id="rId421" xr:uid="{6CEF2BD3-2DE7-45A0-8238-CE8E123CA15A}"/>
    <hyperlink ref="N98" r:id="rId422" xr:uid="{B35BD10E-6F3F-45A6-9E55-3FCD781FAB93}"/>
    <hyperlink ref="L99" r:id="rId423" xr:uid="{8E4D94C1-F580-4592-86D0-6142AD339006}"/>
    <hyperlink ref="N99" r:id="rId424" xr:uid="{2CBB20B7-C9BA-45E0-B330-B7A3DB1AFB5E}"/>
    <hyperlink ref="L100" r:id="rId425" xr:uid="{6A7907E0-5787-4FFB-9BE6-638631A4BD01}"/>
    <hyperlink ref="N100" r:id="rId426" xr:uid="{9460D65C-3FFE-43C5-B738-00BD7BE0B441}"/>
    <hyperlink ref="L101" r:id="rId427" xr:uid="{D79FE056-EBB5-48DB-BC30-D5B5C457566E}"/>
    <hyperlink ref="N101" r:id="rId428" xr:uid="{8ECBB3F4-9869-416C-A6BE-148FAE7895FE}"/>
    <hyperlink ref="L102" r:id="rId429" xr:uid="{C860C89F-7FC3-4C57-AA04-AA707A49F4DF}"/>
    <hyperlink ref="N102" r:id="rId430" xr:uid="{F3274F3A-1A7E-40BB-A750-45ED34A965DF}"/>
    <hyperlink ref="L103" r:id="rId431" xr:uid="{B21CF856-05E8-4F63-8D91-C44FCEA58E61}"/>
    <hyperlink ref="N103" r:id="rId432" xr:uid="{859F2933-7FEC-4DBE-B674-4A8DF5F92BA0}"/>
    <hyperlink ref="L114" r:id="rId433" xr:uid="{50A1F74F-B745-4EB0-A4D8-4EE76068D7AB}"/>
    <hyperlink ref="L113" r:id="rId434" xr:uid="{9A4DF951-0A5F-4061-9BC4-20522A74798B}"/>
    <hyperlink ref="L112" r:id="rId435" xr:uid="{D54983F7-3703-4024-B7CD-4CA3F5C1C733}"/>
    <hyperlink ref="L111" r:id="rId436" xr:uid="{FF37CD4A-022D-4B07-BFBE-17CC60397C47}"/>
    <hyperlink ref="L110" r:id="rId437" xr:uid="{B2FB4276-C3DC-4283-9870-246244D2068D}"/>
    <hyperlink ref="L109" r:id="rId438" xr:uid="{FEF21F72-0458-4CEF-8B8B-9A3279862F17}"/>
    <hyperlink ref="N109" r:id="rId439" xr:uid="{A2282DF2-3491-4247-81E4-7347C0B137F0}"/>
    <hyperlink ref="L108" r:id="rId440" xr:uid="{4EEC82B4-60F5-4F2A-B71D-A7150DFCC98C}"/>
    <hyperlink ref="N108" r:id="rId441" xr:uid="{74B1285F-2690-4A5E-B7F6-49414A845480}"/>
    <hyperlink ref="P108" r:id="rId442" xr:uid="{F0E15DF7-C9E0-40AC-AEB0-C99D1D76C533}"/>
    <hyperlink ref="L107" r:id="rId443" xr:uid="{5CB636F4-DC26-44D3-8B16-38DC5EB2BEB9}"/>
    <hyperlink ref="N107" r:id="rId444" xr:uid="{C4A562E7-D4D7-4DDC-94DE-F9BA581DFD64}"/>
    <hyperlink ref="L106" r:id="rId445" xr:uid="{97A141BE-7771-4308-9033-1BC5D6EB1889}"/>
    <hyperlink ref="N106" r:id="rId446" xr:uid="{F587B508-BB82-476D-9DA2-27E31E0A120F}"/>
    <hyperlink ref="P106" r:id="rId447" xr:uid="{A95BE6A1-F72F-4DDF-8108-8DFC4506889D}"/>
    <hyperlink ref="L105" r:id="rId448" xr:uid="{B45EA990-B641-43D9-992B-309A72D90929}"/>
    <hyperlink ref="N105" r:id="rId449" xr:uid="{BE29F599-61D3-43B3-BD89-C343BB671FF3}"/>
    <hyperlink ref="P105" r:id="rId450" xr:uid="{F7582B5D-8D88-4937-A613-BA4B5D4E745D}"/>
    <hyperlink ref="L104" r:id="rId451" xr:uid="{7FD811AD-56D8-44CF-810A-FBBFDBC53BEC}"/>
    <hyperlink ref="N104" r:id="rId452" xr:uid="{26664412-E41B-4762-B60D-061262B81A9C}"/>
    <hyperlink ref="L115" r:id="rId453" xr:uid="{FAFED20A-BB62-487D-9561-AABB56788CA4}"/>
    <hyperlink ref="L116" r:id="rId454" xr:uid="{AB0527DB-3AD1-4DAE-8F5A-B3E12D73D9D5}"/>
    <hyperlink ref="N111" r:id="rId455" xr:uid="{ACA0446A-ED4E-B346-862C-3EAE3EC5A9DD}"/>
    <hyperlink ref="L117" r:id="rId456" xr:uid="{7AC43E5E-C0CE-4549-A8D2-E4C06CB490AD}"/>
    <hyperlink ref="L118" r:id="rId457" xr:uid="{309EEEF1-66CA-486C-91C5-232DE643F466}"/>
    <hyperlink ref="N116" r:id="rId458" xr:uid="{E4EC174D-D2CC-4C7E-B698-19E97D4F15DE}"/>
    <hyperlink ref="N110" r:id="rId459" xr:uid="{B8B432F3-0CC7-49DA-B072-E85F94433FE5}"/>
    <hyperlink ref="L119" r:id="rId460" xr:uid="{3CE9F8AB-03E8-48E3-A4FA-ADEC494999FE}"/>
    <hyperlink ref="L120" r:id="rId461" xr:uid="{1B921368-073C-44A4-987D-9F01B9420301}"/>
    <hyperlink ref="N119" r:id="rId462" xr:uid="{6F77476F-0023-4721-B60C-6C78E08B6044}"/>
    <hyperlink ref="N117" r:id="rId463" xr:uid="{E89D1AEB-562B-41C8-887B-971B7D4118B6}"/>
    <hyperlink ref="N114" r:id="rId464" xr:uid="{B02B941E-6B8B-4307-BE9F-A266F985A396}"/>
    <hyperlink ref="L121" r:id="rId465" xr:uid="{09084E21-345D-432A-A4E4-051518D4F1D3}"/>
    <hyperlink ref="L122" r:id="rId466" xr:uid="{F0447ADD-DA33-44C5-BD29-C8FE6CCFD609}"/>
    <hyperlink ref="N120" r:id="rId467" xr:uid="{A1246663-DED6-4225-B82A-81CCB79D7072}"/>
    <hyperlink ref="L123" r:id="rId468" xr:uid="{70E25A5E-D158-48F8-8059-1EC6BC99E0C0}"/>
    <hyperlink ref="N122" r:id="rId469" xr:uid="{E55106D9-6379-4602-BBE7-87546B5F31D1}"/>
    <hyperlink ref="L124" r:id="rId470" xr:uid="{F6F99CF2-2CA2-42AA-A251-3EAFAE89CBB3}"/>
    <hyperlink ref="N121" r:id="rId471" xr:uid="{888CED38-ACF6-4A67-9E1A-2A301C9F7118}"/>
    <hyperlink ref="L125" r:id="rId472" xr:uid="{2E6A3E6B-ABC8-4AE9-B1DE-8F7C56644B00}"/>
    <hyperlink ref="N124" r:id="rId473" xr:uid="{F03DC946-218B-485F-BFEB-FBD9AEF00913}"/>
    <hyperlink ref="L126" r:id="rId474" xr:uid="{3EB8572D-FD0D-4865-AF14-84A4ECCCC02A}"/>
    <hyperlink ref="L127" r:id="rId475" xr:uid="{E41605CA-C2E5-494D-8E08-2F89092E4322}"/>
    <hyperlink ref="L128" r:id="rId476" xr:uid="{EEC0D82E-190C-4F0D-80DD-BE42DD4F1D56}"/>
  </hyperlinks>
  <pageMargins left="0.25" right="0.17" top="0.5" bottom="0.25" header="0.3" footer="0.3"/>
  <pageSetup paperSize="9" scale="28" orientation="landscape" horizontalDpi="300" verticalDpi="300" r:id="rId47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33AF3-96C4-423A-BD99-1E08B3C66916}">
  <dimension ref="A1:Y24"/>
  <sheetViews>
    <sheetView view="pageBreakPreview" zoomScale="115" zoomScaleNormal="100" zoomScaleSheetLayoutView="70" workbookViewId="0">
      <pane xSplit="4" ySplit="6" topLeftCell="I11" activePane="bottomRight" state="frozen"/>
      <selection pane="topRight" activeCell="E1" sqref="E1"/>
      <selection pane="bottomLeft" activeCell="A7" sqref="A7"/>
      <selection pane="bottomRight" activeCell="K17" sqref="K17"/>
    </sheetView>
  </sheetViews>
  <sheetFormatPr defaultColWidth="8.85546875" defaultRowHeight="15"/>
  <cols>
    <col min="1" max="1" width="6.42578125" style="13" customWidth="1"/>
    <col min="2" max="2" width="8.42578125" style="302" customWidth="1"/>
    <col min="3" max="3" width="10.42578125" style="13" customWidth="1"/>
    <col min="4" max="4" width="24.42578125" style="282" customWidth="1"/>
    <col min="5" max="6" width="35.42578125" style="303" customWidth="1"/>
    <col min="7" max="8" width="16.42578125" style="270" customWidth="1"/>
    <col min="9" max="10" width="16.42578125" style="264" customWidth="1"/>
    <col min="11" max="11" width="16.42578125" style="270" customWidth="1"/>
    <col min="12" max="13" width="16.42578125" style="264" customWidth="1"/>
    <col min="14" max="14" width="16.42578125" style="270" customWidth="1"/>
    <col min="15" max="16" width="16.42578125" style="264" customWidth="1"/>
    <col min="17" max="17" width="16.42578125" style="270" customWidth="1"/>
    <col min="18" max="18" width="18.42578125" style="13" customWidth="1"/>
    <col min="19" max="19" width="16.42578125" style="279" customWidth="1"/>
  </cols>
  <sheetData>
    <row r="1" spans="1:25" ht="20.25">
      <c r="A1" s="15" t="s">
        <v>122</v>
      </c>
      <c r="B1" s="263"/>
      <c r="C1" s="171"/>
      <c r="D1" s="273"/>
      <c r="E1" s="274"/>
      <c r="F1" s="275"/>
      <c r="G1" s="264"/>
      <c r="H1" s="265"/>
      <c r="I1" s="266"/>
      <c r="J1" s="266"/>
      <c r="K1" s="265"/>
      <c r="L1" s="266"/>
      <c r="N1" s="265"/>
      <c r="O1" s="266"/>
      <c r="P1" s="266"/>
      <c r="Q1" s="266"/>
      <c r="R1" s="157"/>
    </row>
    <row r="2" spans="1:25" ht="19.5">
      <c r="A2" s="15" t="s">
        <v>839</v>
      </c>
      <c r="B2" s="263"/>
      <c r="C2" s="171"/>
      <c r="D2" s="273"/>
      <c r="E2" s="276"/>
      <c r="F2" s="277"/>
      <c r="G2" s="267"/>
      <c r="H2" s="267"/>
      <c r="J2" s="268"/>
      <c r="K2" s="268"/>
      <c r="L2" s="268"/>
      <c r="N2" s="269"/>
      <c r="O2" s="268"/>
      <c r="P2" s="268"/>
      <c r="Q2" s="268"/>
      <c r="R2" s="218"/>
      <c r="S2" s="280"/>
    </row>
    <row r="3" spans="1:25" ht="19.5" thickBot="1">
      <c r="A3" s="7"/>
      <c r="B3" s="263"/>
      <c r="C3" s="171"/>
      <c r="D3" s="273"/>
      <c r="E3" s="278"/>
      <c r="F3" s="278"/>
      <c r="J3" s="271"/>
      <c r="K3" s="271"/>
      <c r="L3" s="271"/>
      <c r="N3" s="272"/>
      <c r="O3" s="271"/>
      <c r="P3" s="271"/>
      <c r="Q3" s="271"/>
      <c r="R3" s="219"/>
      <c r="S3" s="281"/>
    </row>
    <row r="4" spans="1:25" ht="36" customHeight="1" thickBot="1">
      <c r="A4" s="350" t="s">
        <v>123</v>
      </c>
      <c r="B4" s="352" t="s">
        <v>45</v>
      </c>
      <c r="C4" s="352" t="s">
        <v>95</v>
      </c>
      <c r="D4" s="352" t="s">
        <v>46</v>
      </c>
      <c r="E4" s="348" t="s">
        <v>4</v>
      </c>
      <c r="F4" s="449" t="s">
        <v>5</v>
      </c>
      <c r="G4" s="443" t="s">
        <v>53</v>
      </c>
      <c r="H4" s="443"/>
      <c r="I4" s="444"/>
      <c r="J4" s="445" t="s">
        <v>55</v>
      </c>
      <c r="K4" s="443"/>
      <c r="L4" s="444"/>
      <c r="M4" s="445" t="s">
        <v>72</v>
      </c>
      <c r="N4" s="443"/>
      <c r="O4" s="444"/>
      <c r="P4" s="446" t="s">
        <v>112</v>
      </c>
      <c r="Q4" s="447"/>
      <c r="R4" s="447"/>
      <c r="S4" s="448"/>
    </row>
    <row r="5" spans="1:25" ht="78.75">
      <c r="A5" s="351"/>
      <c r="B5" s="353"/>
      <c r="C5" s="353"/>
      <c r="D5" s="353"/>
      <c r="E5" s="354"/>
      <c r="F5" s="356"/>
      <c r="G5" s="283" t="s">
        <v>56</v>
      </c>
      <c r="H5" s="284" t="s">
        <v>57</v>
      </c>
      <c r="I5" s="285" t="s">
        <v>58</v>
      </c>
      <c r="J5" s="304" t="s">
        <v>73</v>
      </c>
      <c r="K5" s="286" t="s">
        <v>59</v>
      </c>
      <c r="L5" s="287" t="s">
        <v>60</v>
      </c>
      <c r="M5" s="304" t="s">
        <v>73</v>
      </c>
      <c r="N5" s="286" t="s">
        <v>113</v>
      </c>
      <c r="O5" s="287" t="s">
        <v>114</v>
      </c>
      <c r="P5" s="288" t="s">
        <v>115</v>
      </c>
      <c r="Q5" s="289" t="s">
        <v>116</v>
      </c>
      <c r="R5" s="249" t="s">
        <v>117</v>
      </c>
      <c r="S5" s="250" t="s">
        <v>118</v>
      </c>
    </row>
    <row r="6" spans="1:25" ht="16.5" thickBot="1">
      <c r="A6" s="78"/>
      <c r="B6" s="136"/>
      <c r="C6" s="198"/>
      <c r="D6" s="136"/>
      <c r="E6" s="85"/>
      <c r="F6" s="80"/>
      <c r="G6" s="317"/>
      <c r="H6" s="316"/>
      <c r="I6" s="315"/>
      <c r="J6" s="314"/>
      <c r="K6" s="311"/>
      <c r="L6" s="313"/>
      <c r="M6" s="312"/>
      <c r="N6" s="311"/>
      <c r="O6" s="310"/>
      <c r="P6" s="307"/>
      <c r="Q6" s="306"/>
      <c r="R6" s="308"/>
      <c r="S6" s="309"/>
    </row>
    <row r="7" spans="1:25" ht="45">
      <c r="A7" s="13" cm="1">
        <f t="array" ref="A7:A24">IF(_xlfn.ANCHORARRAY(D7)="","",_xlfn.SEQUENCE(ROWS(_xlfn.ANCHORARRAY(D7))))</f>
        <v>1</v>
      </c>
      <c r="B7" s="302" t="str" cm="1">
        <f t="array" ref="B7:B24">_xlfn.LET(
_xlpm.x,_xlfn.XLOOKUP(_xlfn.ANCHORARRAY(D7),RFA!$E:$E,RFA!$C:$C,""),
IF(_xlpm.x=0,"",_xlpm.x)
)</f>
        <v>FAS</v>
      </c>
      <c r="C7" s="13" t="str" cm="1">
        <f t="array" ref="C7:C24">_xlfn.LET(
_xlpm.x,_xlfn.XLOOKUP(_xlfn.ANCHORARRAY(D7),RFA!$E:$E,RFA!$D:$D,""),
IF(_xlpm.x=0,"",_xlpm.x)
)</f>
        <v>MAS</v>
      </c>
      <c r="D7" s="282" t="str" cm="1">
        <f t="array" ref="D7:D24">_xlfn._xlws.FILTER(RFA!$E$5:$E$4572, RFA!$AI$5:$AI$4572="YES","")</f>
        <v>LTIA-5.10-VIETUR-70000-RFA-MAS-0088A</v>
      </c>
      <c r="E7" s="303" t="str" cm="1">
        <f t="array" ref="E7:E24">_xlfn.LET(
_xlpm.x,_xlfn.XLOOKUP(_xlfn.ANCHORARRAY(D7),RFA!$E:$E,RFA!$G:$G,""),
IF(_xlpm.x=0,"",_xlpm.x)
)</f>
        <v>Request for approval material cable fire resistant shield for fire alarm system (Belden)</v>
      </c>
      <c r="F7" s="303" t="str" cm="1">
        <f t="array" ref="F7:F24">_xlfn.LET(
_xlpm.x,_xlfn.XLOOKUP(_xlfn.ANCHORARRAY(D7),RFA!$E:$E,RFA!$H:$H,""),
IF(_xlpm.x=0,"",_xlpm.x)
)</f>
        <v>Đề nghị phê duyệt vật liệu cáp chống cháy cho hệ thống báo cháy (Belden)</v>
      </c>
      <c r="G7" s="270" cm="1">
        <f t="array" ref="G7:G24">_xlfn.LET(
_xlpm.x,_xlfn.XLOOKUP(_xlfn.ANCHORARRAY(D7),RFA!$E:$E,RFA!$S:$S,""),
IF(_xlpm.x=0,"",_xlpm.x)
)</f>
        <v>45426</v>
      </c>
      <c r="H7" s="270" cm="1">
        <f t="array" ref="H7:H24">_xlfn.LET(
_xlpm.x,_xlfn.XLOOKUP(_xlfn.ANCHORARRAY(D7),RFA!$E:$E,RFA!$T:$T,""),
IF(_xlpm.x=0,"",_xlpm.x)
)</f>
        <v>45426</v>
      </c>
      <c r="I7" s="264" cm="1">
        <f t="array" ref="I7:I24">_xlfn.LET(
_xlpm.x,_xlfn.XLOOKUP(_xlfn.ANCHORARRAY(D7),RFA!$E:$E,RFA!$U:$U,""),
IF(_xlpm.x=0,"",_xlpm.x)
)</f>
        <v>45426</v>
      </c>
      <c r="J7" s="264" t="str" cm="1">
        <f t="array" ref="J7:J24">_xlfn.LET(
_xlpm.x,_xlfn.XLOOKUP(_xlfn.ANCHORARRAY(D7),RFA!$E:$E,RFA!$I:$I,""),
IF(_xlpm.x=0,"",_xlpm.x)
)</f>
        <v>C</v>
      </c>
      <c r="K7" s="270" cm="1">
        <f t="array" ref="K7:K24">_xlfn.LET(
_xlpm.x,_xlfn.XLOOKUP(_xlfn.ANCHORARRAY(D7),RFA!$E:$E,RFA!$V:$V,""),
IF(_xlpm.x=0,"",_xlpm.x)
)</f>
        <v>45454</v>
      </c>
      <c r="L7" s="264" cm="1">
        <f t="array" ref="L7:L24">_xlfn.LET(
_xlpm.x,_xlfn.XLOOKUP(_xlfn.ANCHORARRAY(D7),RFA!$E:$E,RFA!$W:$W,""),
IF(_xlpm.x=0,"",_xlpm.x)
)</f>
        <v>45455</v>
      </c>
      <c r="M7" s="264" t="str" cm="1">
        <f t="array" ref="M7:M24">_xlfn.LET(
_xlpm.x,_xlfn.XLOOKUP(_xlfn.ANCHORARRAY(D7),RFA!$E:$E,RFA!$R:$R,""),
IF(_xlpm.x=0,"",_xlpm.x)
)</f>
        <v>C</v>
      </c>
      <c r="N7" s="270" cm="1">
        <f t="array" ref="N7:N24">_xlfn.LET(
_xlpm.x,_xlfn.XLOOKUP(_xlfn.ANCHORARRAY(D7),RFA!$E:$E,RFA!$Y:$Y,""),
IF(_xlpm.x=0,"",_xlpm.x)
)</f>
        <v>45456</v>
      </c>
      <c r="O7" s="264" cm="1">
        <f t="array" ref="O7:O24">_xlfn.LET(
_xlpm.x,_xlfn.XLOOKUP(_xlfn.ANCHORARRAY(D7),RFA!$E:$E,RFA!$Z:$Z,""),
IF(_xlpm.x=0,"",_xlpm.x)
)</f>
        <v>45456</v>
      </c>
      <c r="P7" s="264" cm="1">
        <f t="array" ref="P7:P24">_xlfn.LET(
_xlpm.x,_xlfn.XLOOKUP(_xlfn.ANCHORARRAY(D7),RFA!$E:$E,RFA!$AA:$AA,""),
IF(_xlpm.x=0,"",_xlpm.x)
)</f>
        <v>45463</v>
      </c>
      <c r="Q7" s="270" t="str" cm="1">
        <f t="array" ref="Q7:Q24">_xlfn.LET(
_xlpm.x,_xlfn.XLOOKUP(_xlfn.ANCHORARRAY(D7),RFA!$E:$E,RFA!$AB:$AB,""),
IF(_xlpm.x=0,"",_xlpm.x)
)</f>
        <v/>
      </c>
      <c r="R7" s="13" t="str" cm="1">
        <f t="array" aca="1" ref="R7:R24" ca="1">_xlfn.LET(
_xlpm.x,_xlfn.XLOOKUP(_xlfn.ANCHORARRAY(D7),RFA!$E:$E,RFA!$AC:$AC,""),
IF(_xlpm.x=0,"",_xlpm.x)
)</f>
        <v>Not submit yet</v>
      </c>
      <c r="S7" s="279" cm="1">
        <f t="array" aca="1" ref="S7:S24" ca="1">_xlfn.LET(
_xlpm.x,_xlfn.XLOOKUP(_xlfn.ANCHORARRAY(D7),RFA!$E:$E,RFA!$AD:$AD,""),
IF(_xlpm.x=0,"",_xlpm.x)
)</f>
        <v>846</v>
      </c>
    </row>
    <row r="8" spans="1:25" ht="45">
      <c r="A8" s="13">
        <v>2</v>
      </c>
      <c r="B8" s="302" t="str">
        <v>FAS</v>
      </c>
      <c r="C8" s="13" t="str">
        <v>MAS</v>
      </c>
      <c r="D8" s="282" t="str">
        <v>LTIA-5.10-VIETUR-70000-RFA-MAS-0248</v>
      </c>
      <c r="E8" s="303" t="str">
        <v>Request for approval material for accessories of GI conduit (EMT) for fire alarm system (Cat Van Loi)</v>
      </c>
      <c r="F8" s="303" t="str">
        <v>Đề nghị phê duyệt vật tư về phụ kiện của ống thép GI luồn dây (EMT) cho hệ thống báo cháy (Cat Van Loi)</v>
      </c>
      <c r="G8" s="270">
        <v>45428</v>
      </c>
      <c r="H8" s="270">
        <v>45428</v>
      </c>
      <c r="I8" s="264">
        <v>45428</v>
      </c>
      <c r="J8" s="264" t="str">
        <v>C</v>
      </c>
      <c r="K8" s="270">
        <v>45447</v>
      </c>
      <c r="L8" s="264">
        <v>45448</v>
      </c>
      <c r="M8" s="264" t="str">
        <v>C</v>
      </c>
      <c r="N8" s="270">
        <v>45488</v>
      </c>
      <c r="O8" s="264">
        <v>45491</v>
      </c>
      <c r="P8" s="264">
        <v>45498</v>
      </c>
      <c r="Q8" s="270" t="str">
        <v/>
      </c>
      <c r="R8" s="13" t="str">
        <f ca="1"/>
        <v>Not submit yet</v>
      </c>
      <c r="S8" s="279">
        <f ca="1"/>
        <v>811</v>
      </c>
      <c r="Y8" t="s">
        <v>125</v>
      </c>
    </row>
    <row r="9" spans="1:25" ht="45">
      <c r="A9" s="13">
        <v>3</v>
      </c>
      <c r="B9" s="302" t="str">
        <v>SCS
SCADA</v>
      </c>
      <c r="C9" s="13" t="str">
        <v>OTH</v>
      </c>
      <c r="D9" s="282" t="str">
        <v>LTIA-5.10-VIETUR-70000-RFA-OTH-0432</v>
      </c>
      <c r="E9" s="303" t="str">
        <v>Request for approval media converters for SCS system and SCADA system</v>
      </c>
      <c r="F9" s="303" t="str">
        <v>Đề nghị phê duyệt thiết bị chuyển đổi quang điện cho hệ SCS và hệ SCADA</v>
      </c>
      <c r="G9" s="270">
        <v>45763</v>
      </c>
      <c r="H9" s="270">
        <v>45763</v>
      </c>
      <c r="I9" s="264">
        <v>45763</v>
      </c>
      <c r="J9" s="264" t="str">
        <v>C</v>
      </c>
      <c r="K9" s="270">
        <v>45776</v>
      </c>
      <c r="L9" s="264">
        <v>45783</v>
      </c>
      <c r="M9" s="264" t="str">
        <v>C</v>
      </c>
      <c r="N9" s="270">
        <v>45790</v>
      </c>
      <c r="O9" s="264">
        <v>45793</v>
      </c>
      <c r="P9" s="264">
        <v>45800</v>
      </c>
      <c r="Q9" s="270" t="str">
        <v/>
      </c>
      <c r="R9" s="13" t="str">
        <f ca="1"/>
        <v>Not submit yet</v>
      </c>
      <c r="S9" s="279">
        <f ca="1"/>
        <v>509</v>
      </c>
    </row>
    <row r="10" spans="1:25" ht="45">
      <c r="A10" s="13">
        <v>4</v>
      </c>
      <c r="B10" s="302" t="str">
        <v>IMM</v>
      </c>
      <c r="C10" s="13" t="str">
        <v>MAS</v>
      </c>
      <c r="D10" s="282" t="str">
        <v>LTIA-5.10-VIETUR-70000-RFA-MAS-0277A</v>
      </c>
      <c r="E10" s="303" t="str">
        <v>Request  for approval of equipment and accessories for Immigration system (IMM)</v>
      </c>
      <c r="F10" s="303" t="str">
        <v>Đề nghị phê duyệt thiết bị và phụ kiện cho hệ thống Công an cửa khẩu (IMM)</v>
      </c>
      <c r="G10" s="270">
        <v>45883</v>
      </c>
      <c r="H10" s="270">
        <v>45883</v>
      </c>
      <c r="I10" s="264">
        <v>45883</v>
      </c>
      <c r="J10" s="264" t="str">
        <v>A</v>
      </c>
      <c r="K10" s="270">
        <v>45888</v>
      </c>
      <c r="L10" s="264">
        <v>45888</v>
      </c>
      <c r="M10" s="264" t="str">
        <v>B</v>
      </c>
      <c r="N10" s="270">
        <v>45910</v>
      </c>
      <c r="O10" s="264">
        <v>45912</v>
      </c>
      <c r="P10" s="264">
        <v>45919</v>
      </c>
      <c r="Q10" s="270" t="str">
        <v/>
      </c>
      <c r="R10" s="13" t="str">
        <f ca="1"/>
        <v>Not submit yet</v>
      </c>
      <c r="S10" s="279">
        <f ca="1"/>
        <v>390</v>
      </c>
    </row>
    <row r="11" spans="1:25" ht="75">
      <c r="A11" s="13">
        <v>5</v>
      </c>
      <c r="B11" s="302" t="str">
        <v>FAS</v>
      </c>
      <c r="C11" s="13" t="str">
        <v>OTH</v>
      </c>
      <c r="D11" s="282" t="str">
        <v>LTIA-5.10-VIETUR-70000-RFA-OTH-0523</v>
      </c>
      <c r="E11" s="303" t="str">
        <v>Request for approval of Fire Alarm Control Panel Fabrication Drawing For Fire Alarm System + Section 70000 - Extra low voltage system/72160 - Fire Alarm system.</v>
      </c>
      <c r="F11" s="303" t="str">
        <v>Đề nghị phê duyệt Bản Vẽ Chế Tạo Tủ Báo Cháy Cho Hệ Thống Báo Cháy + Phần 70000 - Hệ thống điện nhẹ ELV / 72160 - Hệ thống báo cháy.</v>
      </c>
      <c r="G11" s="270">
        <v>45863</v>
      </c>
      <c r="H11" s="270">
        <v>45863</v>
      </c>
      <c r="I11" s="264">
        <v>45867</v>
      </c>
      <c r="J11" s="264" t="str">
        <v>A</v>
      </c>
      <c r="K11" s="270">
        <v>45877</v>
      </c>
      <c r="L11" s="264">
        <v>45952</v>
      </c>
      <c r="M11" s="264" t="str">
        <v>B</v>
      </c>
      <c r="N11" s="270">
        <v>45968</v>
      </c>
      <c r="O11" s="264">
        <v>45972</v>
      </c>
      <c r="P11" s="264">
        <v>45979</v>
      </c>
      <c r="Q11" s="270" t="str">
        <v/>
      </c>
      <c r="R11" s="13" t="str">
        <f ca="1"/>
        <v>Not submit yet</v>
      </c>
      <c r="S11" s="279">
        <f ca="1"/>
        <v>330</v>
      </c>
    </row>
    <row r="12" spans="1:25" ht="45">
      <c r="A12" s="13">
        <v>6</v>
      </c>
      <c r="B12" s="302" t="str">
        <v>ACS</v>
      </c>
      <c r="C12" s="13" t="str">
        <v>ICD</v>
      </c>
      <c r="D12" s="282" t="str">
        <v>LTIA-5.10-VIETUR-70000-RFA-OTH-0589</v>
      </c>
      <c r="E12" s="303" t="str">
        <v>Request for approval of Interface Control Document (ICD) of SACS System.</v>
      </c>
      <c r="F12" s="303" t="str">
        <v>Đề nghị phê duyệt Tài liệu kiểm soát Giao diện (ICD) của hệ thống SACS.</v>
      </c>
      <c r="G12" s="270">
        <v>45919</v>
      </c>
      <c r="H12" s="270">
        <v>45919</v>
      </c>
      <c r="I12" s="264">
        <v>45919</v>
      </c>
      <c r="J12" s="264" t="str">
        <v>C</v>
      </c>
      <c r="K12" s="270">
        <v>45932</v>
      </c>
      <c r="L12" s="264">
        <v>45981</v>
      </c>
      <c r="M12" s="264" t="str">
        <v>C</v>
      </c>
      <c r="N12" s="270">
        <v>45995</v>
      </c>
      <c r="O12" s="264">
        <v>45995</v>
      </c>
      <c r="P12" s="264">
        <v>46002</v>
      </c>
      <c r="Q12" s="270" t="str">
        <v/>
      </c>
      <c r="R12" s="13" t="str">
        <f ca="1"/>
        <v>Not submit yet</v>
      </c>
      <c r="S12" s="279">
        <f ca="1"/>
        <v>307</v>
      </c>
    </row>
    <row r="13" spans="1:25" ht="45">
      <c r="A13" s="13">
        <v>7</v>
      </c>
      <c r="B13" s="302" t="str">
        <v>SCS</v>
      </c>
      <c r="C13" s="13" t="str">
        <v>MAS</v>
      </c>
      <c r="D13" s="282" t="str">
        <v>LTIA-5.10-VIETUR-70000-RFA-MAS-0706</v>
      </c>
      <c r="E13" s="303" t="str">
        <v>Request for approval of Floor-Mounted data outlets for Raised Floor Area</v>
      </c>
      <c r="F13" s="303" t="str">
        <v>Đề nghị phê duyệt Ổ cắm dữ liệu âm sàn cho khu vực sàn nâng</v>
      </c>
      <c r="G13" s="270">
        <v>45960</v>
      </c>
      <c r="H13" s="270">
        <v>45960</v>
      </c>
      <c r="I13" s="264">
        <v>45960</v>
      </c>
      <c r="J13" s="264" t="str">
        <v>A</v>
      </c>
      <c r="K13" s="270">
        <v>45973</v>
      </c>
      <c r="L13" s="264">
        <v>45985</v>
      </c>
      <c r="M13" s="264" t="str">
        <v>C</v>
      </c>
      <c r="N13" s="270">
        <v>45999</v>
      </c>
      <c r="O13" s="264">
        <v>46000</v>
      </c>
      <c r="P13" s="264">
        <v>46007</v>
      </c>
      <c r="Q13" s="270" t="str">
        <v/>
      </c>
      <c r="R13" s="13" t="str">
        <f ca="1"/>
        <v>Not submit yet</v>
      </c>
      <c r="S13" s="279">
        <f ca="1"/>
        <v>302</v>
      </c>
    </row>
    <row r="14" spans="1:25" ht="45">
      <c r="A14" s="13">
        <v>8</v>
      </c>
      <c r="B14" s="302" t="str">
        <v>SCS</v>
      </c>
      <c r="C14" s="13" t="str">
        <v>OTH</v>
      </c>
      <c r="D14" s="282" t="str">
        <v>LTIA-5.10-VIETUR-70000-RFA-OTH-0654</v>
      </c>
      <c r="E14" s="303" t="str">
        <v>Request for approval for Measurement Equipment of ICT cable - ELV System</v>
      </c>
      <c r="F14" s="303" t="str">
        <v>Đề nghị phê duyệt Thiết bị đo cáp điện nhẹ - Hệ thống điện nhẹ</v>
      </c>
      <c r="G14" s="270">
        <v>46009</v>
      </c>
      <c r="H14" s="270">
        <v>46009</v>
      </c>
      <c r="I14" s="264">
        <v>46009</v>
      </c>
      <c r="J14" s="264" t="str">
        <v>B</v>
      </c>
      <c r="K14" s="270">
        <v>46022</v>
      </c>
      <c r="L14" s="264">
        <v>46043</v>
      </c>
      <c r="M14" s="264" t="str">
        <v>C</v>
      </c>
      <c r="N14" s="270">
        <v>46162</v>
      </c>
      <c r="O14" s="264" t="str">
        <v/>
      </c>
      <c r="P14" s="264">
        <v>46170</v>
      </c>
      <c r="Q14" s="270" t="str">
        <v/>
      </c>
      <c r="R14" s="13" t="str">
        <f ca="1"/>
        <v>Not submit yet</v>
      </c>
      <c r="S14" s="279">
        <f ca="1"/>
        <v>139</v>
      </c>
    </row>
    <row r="15" spans="1:25" ht="60">
      <c r="A15" s="13">
        <v>9</v>
      </c>
      <c r="B15" s="302" t="str">
        <v>PPS</v>
      </c>
      <c r="C15" s="13" t="str">
        <v>ICD</v>
      </c>
      <c r="D15" s="282" t="str">
        <v>LTIA-5.11-LTICT-RFA-OTH-0002</v>
      </c>
      <c r="E15" s="303" t="str">
        <v>Request for Approval of Interface, Functionality, and Design Documents for the SBD-BHS Component under the PPS System (Package 5.11)</v>
      </c>
      <c r="F15" s="303" t="str">
        <v>Yêu cầu phê duyệt các tài liệu giao tiếp, chức năng và thiết kế hạng mục SBD-BHS thuộc hệ thống PPS (Gói thầu 5.11)</v>
      </c>
      <c r="G15" s="270">
        <v>45974</v>
      </c>
      <c r="H15" s="270">
        <v>45974</v>
      </c>
      <c r="I15" s="264">
        <v>46107</v>
      </c>
      <c r="J15" s="264" t="str">
        <v>B</v>
      </c>
      <c r="K15" s="270">
        <v>46120</v>
      </c>
      <c r="L15" s="264">
        <v>46133</v>
      </c>
      <c r="M15" s="264" t="str">
        <v/>
      </c>
      <c r="N15" s="270" t="str">
        <v/>
      </c>
      <c r="O15" s="264" t="str">
        <v/>
      </c>
      <c r="P15" s="264">
        <v>46140</v>
      </c>
      <c r="Q15" s="270" t="str">
        <v/>
      </c>
      <c r="R15" s="13" t="str">
        <f ca="1"/>
        <v/>
      </c>
      <c r="S15" s="279" t="str">
        <f ca="1"/>
        <v/>
      </c>
    </row>
    <row r="16" spans="1:25" ht="45">
      <c r="A16" s="13">
        <v>10</v>
      </c>
      <c r="B16" s="302" t="str">
        <v>PPS</v>
      </c>
      <c r="C16" s="13" t="str">
        <v>ICD</v>
      </c>
      <c r="D16" s="282" t="str">
        <v>LTIA-5.11-LTICT-RFA-OTH-0004</v>
      </c>
      <c r="E16" s="303" t="str">
        <v>Request approval of design models and IP/VLAN address allocation for the BHS system</v>
      </c>
      <c r="F16" s="303" t="str">
        <v>Yêu cầu phê duyệt các mô hình thiết kế, phân bổ địa chỉ IP/Vlan cho hệ thống BHS</v>
      </c>
      <c r="G16" s="270">
        <v>46055</v>
      </c>
      <c r="H16" s="270">
        <v>46056</v>
      </c>
      <c r="I16" s="264">
        <v>46057</v>
      </c>
      <c r="J16" s="264" t="str">
        <v>C</v>
      </c>
      <c r="K16" s="270">
        <v>46066</v>
      </c>
      <c r="L16" s="264">
        <v>46105</v>
      </c>
      <c r="M16" s="264" t="str">
        <v/>
      </c>
      <c r="N16" s="270" t="str">
        <v/>
      </c>
      <c r="O16" s="264" t="str">
        <v/>
      </c>
      <c r="P16" s="264">
        <v>46112</v>
      </c>
      <c r="Q16" s="270" t="str">
        <v/>
      </c>
      <c r="R16" s="13" t="str">
        <f ca="1"/>
        <v/>
      </c>
      <c r="S16" s="279" t="str">
        <f ca="1"/>
        <v/>
      </c>
    </row>
    <row r="17" spans="1:19" ht="60">
      <c r="A17" s="13">
        <v>11</v>
      </c>
      <c r="B17" s="302" t="str">
        <v>CCTV</v>
      </c>
      <c r="C17" s="13" t="str">
        <v>ICD</v>
      </c>
      <c r="D17" s="282" t="str">
        <v>LTIA-5.11-LTICT-RFA-OTH-0005</v>
      </c>
      <c r="E17" s="303" t="str">
        <v>Request for approval of the Interface Control Document (ICD) for the CCTV (Closed-Circuit Television) scope under the CCTV System (Package 5.11)</v>
      </c>
      <c r="F17" s="303" t="str">
        <v>Yêu cầu phê duyệt tài liệu kiểm soát giao diện (ICD), cho hạng mục CCTV (Closed-Circuit Television) thuộc hệ thống CCTV (Gói thầu 5.11)</v>
      </c>
      <c r="G17" s="270">
        <v>46085</v>
      </c>
      <c r="H17" s="270">
        <v>46083</v>
      </c>
      <c r="I17" s="264">
        <v>46085</v>
      </c>
      <c r="J17" s="264" t="str">
        <v>C</v>
      </c>
      <c r="K17" s="270">
        <v>46098</v>
      </c>
      <c r="L17" s="264">
        <v>46105</v>
      </c>
      <c r="M17" s="264" t="str">
        <v/>
      </c>
      <c r="N17" s="270" t="str">
        <v/>
      </c>
      <c r="O17" s="264" t="str">
        <v/>
      </c>
      <c r="P17" s="264">
        <v>46112</v>
      </c>
      <c r="Q17" s="270" t="str">
        <v/>
      </c>
      <c r="R17" s="13" t="str">
        <f ca="1"/>
        <v/>
      </c>
      <c r="S17" s="279" t="str">
        <f ca="1"/>
        <v/>
      </c>
    </row>
    <row r="18" spans="1:19" ht="45">
      <c r="A18" s="13">
        <v>12</v>
      </c>
      <c r="B18" s="302" t="str">
        <v>AGAC</v>
      </c>
      <c r="C18" s="13" t="str">
        <v>ICD</v>
      </c>
      <c r="D18" s="282" t="str">
        <v>LTIA-5.11-LTICT-RFA-OTH-0006</v>
      </c>
      <c r="E18" s="303" t="str">
        <v>Request for Approval of the AGAC System Integration Document (ICD) - Package 5.11</v>
      </c>
      <c r="F18" s="303" t="str">
        <v>Yêu cầu phê duyệt tài liệu tích hợp hệ thống (ICD) AGAC (Gói thầu 5.11)</v>
      </c>
      <c r="G18" s="270">
        <v>46086</v>
      </c>
      <c r="H18" s="270">
        <v>46086</v>
      </c>
      <c r="I18" s="264">
        <v>46094</v>
      </c>
      <c r="J18" s="264" t="str">
        <v>C</v>
      </c>
      <c r="K18" s="270">
        <v>46107</v>
      </c>
      <c r="L18" s="264">
        <v>46112</v>
      </c>
      <c r="M18" s="264" t="str">
        <v/>
      </c>
      <c r="N18" s="270" t="str">
        <v/>
      </c>
      <c r="O18" s="264" t="str">
        <v/>
      </c>
      <c r="P18" s="264">
        <v>46119</v>
      </c>
      <c r="Q18" s="270" t="str">
        <v/>
      </c>
      <c r="R18" s="13" t="str">
        <f ca="1"/>
        <v/>
      </c>
      <c r="S18" s="279" t="str">
        <f ca="1"/>
        <v/>
      </c>
    </row>
    <row r="19" spans="1:19" ht="75">
      <c r="A19" s="13">
        <v>13</v>
      </c>
      <c r="B19" s="302" t="str">
        <v>DCH
DNE
CCTV
AGAC
PPS</v>
      </c>
      <c r="C19" s="13" t="str">
        <v>MSS</v>
      </c>
      <c r="D19" s="282" t="str">
        <v>LTIA-5.11- LTICT-RFA-MSS-0001</v>
      </c>
      <c r="E19" s="303" t="str">
        <v>Request for approval of construction methods for 05 systems serving the domestic T&amp;C plan</v>
      </c>
      <c r="F19" s="303" t="str">
        <v>Yêu cầu phê duyệt Biện pháp thi công cho 05 hệ thống phục vụ kế hoạch T&amp;C Quốc nội</v>
      </c>
      <c r="G19" s="270">
        <v>46094</v>
      </c>
      <c r="H19" s="270">
        <v>46094</v>
      </c>
      <c r="I19" s="264">
        <v>46094</v>
      </c>
      <c r="J19" s="264" t="str">
        <v>C</v>
      </c>
      <c r="K19" s="270">
        <v>46129</v>
      </c>
      <c r="L19" s="264">
        <v>46129</v>
      </c>
      <c r="M19" s="264" t="str">
        <v/>
      </c>
      <c r="N19" s="270" t="str">
        <v/>
      </c>
      <c r="O19" s="264" t="str">
        <v/>
      </c>
      <c r="P19" s="264">
        <v>46136</v>
      </c>
      <c r="Q19" s="270" t="str">
        <v/>
      </c>
      <c r="R19" s="13" t="str">
        <f ca="1"/>
        <v/>
      </c>
      <c r="S19" s="279" t="str">
        <f ca="1"/>
        <v/>
      </c>
    </row>
    <row r="20" spans="1:19" ht="45">
      <c r="A20" s="13">
        <v>14</v>
      </c>
      <c r="B20" s="302" t="str">
        <v/>
      </c>
      <c r="C20" s="13" t="str">
        <v>OTH</v>
      </c>
      <c r="D20" s="282" t="str">
        <v>LTIA-5.11-LTICT-RFA-OTH-0009</v>
      </c>
      <c r="E20" s="303" t="str">
        <v>Request for Approval of the Network IP Addressing and Allocation Plan for the T&amp;C Stage</v>
      </c>
      <c r="F20" s="303" t="str">
        <v>Yêu cầu phê duyệt tài liệu quy hoạch và phân bổ địa chỉ IP mạng phục vụ giai đoạn T&amp;C</v>
      </c>
      <c r="G20" s="270">
        <v>46195</v>
      </c>
      <c r="H20" s="270">
        <v>46195</v>
      </c>
      <c r="I20" s="264">
        <v>46198</v>
      </c>
      <c r="J20" s="264" t="str">
        <v>C</v>
      </c>
      <c r="K20" s="270">
        <v>46209</v>
      </c>
      <c r="L20" s="264">
        <v>46219</v>
      </c>
      <c r="M20" s="264" t="str">
        <v/>
      </c>
      <c r="N20" s="270" t="str">
        <v/>
      </c>
      <c r="O20" s="264" t="str">
        <v/>
      </c>
      <c r="P20" s="264">
        <v>46226</v>
      </c>
      <c r="Q20" s="270" t="str">
        <v/>
      </c>
      <c r="R20" s="13" t="str">
        <f ca="1"/>
        <v/>
      </c>
      <c r="S20" s="279" t="str">
        <f ca="1"/>
        <v/>
      </c>
    </row>
    <row r="21" spans="1:19" ht="45">
      <c r="A21" s="13">
        <v>15</v>
      </c>
      <c r="B21" s="302" t="str">
        <v>HBMS</v>
      </c>
      <c r="C21" s="13" t="str">
        <v>OTH</v>
      </c>
      <c r="D21" s="282" t="str">
        <v>LTIA-5.10-VIETUR-70000-RFA-OTH-0732</v>
      </c>
      <c r="E21" s="303" t="str">
        <v>Request for approval of Hight level building management system (HBMS) Graphic User Interface (GUI)</v>
      </c>
      <c r="F21" s="303" t="str">
        <v>Đề nghị phê duyệt giao diện đồ họa người dùng (GUI) Hệ thống quản lý tòa nhà bậc cao (HBMS)</v>
      </c>
      <c r="G21" s="270">
        <v>46210</v>
      </c>
      <c r="H21" s="270">
        <v>46210</v>
      </c>
      <c r="I21" s="264">
        <v>46210</v>
      </c>
      <c r="J21" s="264" t="str">
        <v>B</v>
      </c>
      <c r="K21" s="270">
        <v>46220</v>
      </c>
      <c r="L21" s="264">
        <v>46225</v>
      </c>
      <c r="M21" s="264" t="str">
        <v/>
      </c>
      <c r="N21" s="270" t="str">
        <v/>
      </c>
      <c r="O21" s="264" t="str">
        <v/>
      </c>
      <c r="P21" s="264">
        <v>46232</v>
      </c>
      <c r="Q21" s="270" t="str">
        <v/>
      </c>
      <c r="R21" s="13" t="str">
        <f ca="1"/>
        <v/>
      </c>
      <c r="S21" s="279" t="str">
        <f ca="1"/>
        <v/>
      </c>
    </row>
    <row r="22" spans="1:19" ht="60">
      <c r="A22" s="13">
        <v>16</v>
      </c>
      <c r="B22" s="302" t="str">
        <v>PAS</v>
      </c>
      <c r="C22" s="13" t="str">
        <v>OTH</v>
      </c>
      <c r="D22" s="282" t="str">
        <v>LTIA-5.10-VIETUR-72150-RFA-OTH-0750</v>
      </c>
      <c r="E22" s="303" t="str">
        <v>Request for Approval of the Pre-Completion Inspection, Testing, and Commissioning Procedure for the Public Address System (PAS)</v>
      </c>
      <c r="F22" s="303" t="str">
        <v>Đề nghị phê duyệt Quy trình kiểm tra trước khi hoàn thành, thử nghiệm, vận hành hệ thống Âm Thanh Thông báo</v>
      </c>
      <c r="G22" s="270">
        <v>46255</v>
      </c>
      <c r="H22" s="270">
        <v>46255</v>
      </c>
      <c r="I22" s="264">
        <v>46255</v>
      </c>
      <c r="J22" s="264" t="str">
        <v>C</v>
      </c>
      <c r="K22" s="270">
        <v>46272</v>
      </c>
      <c r="L22" s="264">
        <v>46275</v>
      </c>
      <c r="M22" s="264" t="str">
        <v/>
      </c>
      <c r="N22" s="270" t="str">
        <v/>
      </c>
      <c r="O22" s="264" t="str">
        <v/>
      </c>
      <c r="P22" s="264">
        <v>46282</v>
      </c>
      <c r="Q22" s="270" t="str">
        <v/>
      </c>
      <c r="R22" s="13" t="str">
        <f ca="1"/>
        <v/>
      </c>
      <c r="S22" s="279" t="str">
        <f ca="1"/>
        <v/>
      </c>
    </row>
    <row r="23" spans="1:19" ht="60">
      <c r="A23" s="13">
        <v>17</v>
      </c>
      <c r="B23" s="302" t="str">
        <v>MCS</v>
      </c>
      <c r="C23" s="13" t="str">
        <v>OTH</v>
      </c>
      <c r="D23" s="282" t="str">
        <v>LTIA-5.10-VIETUR-70000-RFA-OTH-0721A</v>
      </c>
      <c r="E23" s="303" t="str">
        <v>Request for approval of Pre-completion inspection, testing, commissioning of Master Clock System (MCS)</v>
      </c>
      <c r="F23" s="303" t="str">
        <v>Đề nghị phê duyệt Quy trình kiểm tra trước khi hoàn thành, thử nghiệm, vận hành của Hệ thống Đồng hồ chủ (MCS)</v>
      </c>
      <c r="G23" s="270">
        <v>46262</v>
      </c>
      <c r="H23" s="270">
        <v>46262</v>
      </c>
      <c r="I23" s="264">
        <v>46262</v>
      </c>
      <c r="J23" s="264" t="str">
        <v>B</v>
      </c>
      <c r="K23" s="270">
        <v>46276</v>
      </c>
      <c r="L23" s="264">
        <v>46279</v>
      </c>
      <c r="M23" s="264" t="str">
        <v/>
      </c>
      <c r="N23" s="270" t="str">
        <v/>
      </c>
      <c r="O23" s="264" t="str">
        <v/>
      </c>
      <c r="P23" s="264">
        <v>46286</v>
      </c>
      <c r="Q23" s="270" t="str">
        <v/>
      </c>
      <c r="R23" s="13" t="str">
        <f ca="1"/>
        <v/>
      </c>
      <c r="S23" s="279" t="str">
        <f ca="1"/>
        <v/>
      </c>
    </row>
    <row r="24" spans="1:19" ht="105">
      <c r="A24" s="13">
        <v>18</v>
      </c>
      <c r="B24" s="302" t="str">
        <v>FAS</v>
      </c>
      <c r="C24" s="13" t="str">
        <v>OTH</v>
      </c>
      <c r="D24" s="282" t="str">
        <v>LTIA-5.10-VIETUR-70000-RFA-OTH-0733A</v>
      </c>
      <c r="E24" s="303" t="str">
        <v>Request for approval Pre-completion inspection, testing, and commissioning: + Section 70000 – ICT works/ Subsection 72000 – Extra-low Voltage System (ELV) and Communication/ Division 72160 – Fire Alarm System (FAS)</v>
      </c>
      <c r="F24" s="303" t="str">
        <v>Đề nghị phê duyệt Kiểm tra trước khi hoàn thành, thử nghiệm và vận hành: + Phần 70000 – Công tác ICT/ Mục 72000 – Hệ thống điện nhẹ (ELV) &amp; Truyền thông/ Tiểu mục 72160 – Hệ thống báo cháy (FAS)</v>
      </c>
      <c r="G24" s="270">
        <v>46289</v>
      </c>
      <c r="H24" s="270">
        <v>46289</v>
      </c>
      <c r="I24" s="264">
        <v>46289</v>
      </c>
      <c r="J24" s="264" t="str">
        <v>C</v>
      </c>
      <c r="K24" s="270">
        <v>46297</v>
      </c>
      <c r="L24" s="264">
        <v>46300</v>
      </c>
      <c r="M24" s="264" t="str">
        <v/>
      </c>
      <c r="N24" s="270" t="str">
        <v/>
      </c>
      <c r="O24" s="264" t="str">
        <v/>
      </c>
      <c r="P24" s="264">
        <v>46307</v>
      </c>
      <c r="Q24" s="270" t="str">
        <v/>
      </c>
      <c r="R24" s="13" t="str">
        <f ca="1"/>
        <v/>
      </c>
      <c r="S24" s="279" t="str">
        <f ca="1"/>
        <v/>
      </c>
    </row>
  </sheetData>
  <autoFilter ref="A6:S6" xr:uid="{75733AF3-96C4-423A-BD99-1E08B3C66916}"/>
  <mergeCells count="10">
    <mergeCell ref="G4:I4"/>
    <mergeCell ref="J4:L4"/>
    <mergeCell ref="M4:O4"/>
    <mergeCell ref="P4:S4"/>
    <mergeCell ref="A4:A5"/>
    <mergeCell ref="B4:B5"/>
    <mergeCell ref="C4:C5"/>
    <mergeCell ref="D4:D5"/>
    <mergeCell ref="E4:E5"/>
    <mergeCell ref="F4:F5"/>
  </mergeCells>
  <phoneticPr fontId="71"/>
  <pageMargins left="0.7" right="0.7" top="0.75" bottom="0.75" header="0.3" footer="0.3"/>
  <pageSetup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3A76-B79E-483C-82B7-07960417E780}">
  <dimension ref="A1:R18"/>
  <sheetViews>
    <sheetView view="pageBreakPreview" zoomScale="85" zoomScaleNormal="85" zoomScaleSheetLayoutView="85" workbookViewId="0">
      <pane xSplit="3" ySplit="6" topLeftCell="J7" activePane="bottomRight" state="frozen"/>
      <selection pane="topRight" activeCell="E1" sqref="E1"/>
      <selection pane="bottomLeft" activeCell="A7" sqref="A7"/>
      <selection pane="bottomRight" activeCell="L26" sqref="L26"/>
    </sheetView>
  </sheetViews>
  <sheetFormatPr defaultColWidth="8.85546875" defaultRowHeight="15"/>
  <cols>
    <col min="1" max="1" width="6.42578125" style="13" customWidth="1"/>
    <col min="2" max="2" width="8.42578125" style="302" customWidth="1"/>
    <col min="3" max="3" width="24.42578125" style="282" customWidth="1"/>
    <col min="4" max="5" width="35.42578125" style="303" customWidth="1"/>
    <col min="6" max="7" width="16.42578125" style="270" customWidth="1"/>
    <col min="8" max="9" width="16.42578125" style="264" customWidth="1"/>
    <col min="10" max="10" width="16.42578125" style="270" customWidth="1"/>
    <col min="11" max="12" width="16.42578125" style="264" customWidth="1"/>
    <col min="13" max="13" width="16.42578125" style="270" customWidth="1"/>
    <col min="14" max="15" width="16.42578125" style="264" customWidth="1"/>
    <col min="16" max="16" width="16.42578125" style="270" customWidth="1"/>
    <col min="17" max="17" width="18.42578125" style="13" customWidth="1"/>
    <col min="18" max="18" width="16.42578125" style="279" customWidth="1"/>
  </cols>
  <sheetData>
    <row r="1" spans="1:18" ht="20.25">
      <c r="A1" s="15" t="s">
        <v>124</v>
      </c>
      <c r="B1" s="263"/>
      <c r="C1" s="273"/>
      <c r="D1" s="274"/>
      <c r="E1" s="275"/>
      <c r="F1" s="264"/>
      <c r="G1" s="265"/>
      <c r="H1" s="266"/>
      <c r="I1" s="266"/>
      <c r="J1" s="265"/>
      <c r="K1" s="266"/>
      <c r="M1" s="265"/>
      <c r="N1" s="266"/>
      <c r="O1" s="266"/>
      <c r="P1" s="266"/>
      <c r="Q1" s="157"/>
    </row>
    <row r="2" spans="1:18" ht="19.5">
      <c r="A2" s="4" t="s">
        <v>135</v>
      </c>
      <c r="B2" s="263"/>
      <c r="C2" s="273"/>
      <c r="D2" s="276"/>
      <c r="E2" s="277"/>
      <c r="F2" s="267"/>
      <c r="G2" s="267"/>
      <c r="I2" s="268"/>
      <c r="J2" s="268"/>
      <c r="K2" s="268"/>
      <c r="M2" s="269"/>
      <c r="N2" s="268"/>
      <c r="O2" s="268"/>
      <c r="P2" s="268"/>
      <c r="Q2" s="218"/>
      <c r="R2" s="280"/>
    </row>
    <row r="3" spans="1:18" ht="19.5" thickBot="1">
      <c r="A3" s="7"/>
      <c r="B3" s="263"/>
      <c r="C3" s="273"/>
      <c r="D3" s="278"/>
      <c r="E3" s="278"/>
      <c r="I3" s="271"/>
      <c r="J3" s="271"/>
      <c r="K3" s="271"/>
      <c r="M3" s="272"/>
      <c r="N3" s="271"/>
      <c r="O3" s="271"/>
      <c r="P3" s="271"/>
      <c r="Q3" s="219"/>
      <c r="R3" s="281"/>
    </row>
    <row r="4" spans="1:18" ht="16.5" thickBot="1">
      <c r="A4" s="350" t="s">
        <v>123</v>
      </c>
      <c r="B4" s="352" t="s">
        <v>45</v>
      </c>
      <c r="C4" s="352" t="s">
        <v>46</v>
      </c>
      <c r="D4" s="363" t="s">
        <v>4</v>
      </c>
      <c r="E4" s="449" t="s">
        <v>5</v>
      </c>
      <c r="F4" s="443" t="s">
        <v>53</v>
      </c>
      <c r="G4" s="443"/>
      <c r="H4" s="444"/>
      <c r="I4" s="445" t="s">
        <v>55</v>
      </c>
      <c r="J4" s="443"/>
      <c r="K4" s="444"/>
      <c r="L4" s="445" t="s">
        <v>72</v>
      </c>
      <c r="M4" s="443"/>
      <c r="N4" s="444"/>
      <c r="O4" s="446" t="s">
        <v>112</v>
      </c>
      <c r="P4" s="447"/>
      <c r="Q4" s="447"/>
      <c r="R4" s="448"/>
    </row>
    <row r="5" spans="1:18" ht="78.75">
      <c r="A5" s="351"/>
      <c r="B5" s="353"/>
      <c r="C5" s="353"/>
      <c r="D5" s="431"/>
      <c r="E5" s="354"/>
      <c r="F5" s="283" t="s">
        <v>56</v>
      </c>
      <c r="G5" s="284" t="s">
        <v>57</v>
      </c>
      <c r="H5" s="285" t="s">
        <v>58</v>
      </c>
      <c r="I5" s="304" t="s">
        <v>73</v>
      </c>
      <c r="J5" s="286" t="s">
        <v>59</v>
      </c>
      <c r="K5" s="287" t="s">
        <v>60</v>
      </c>
      <c r="L5" s="304" t="s">
        <v>73</v>
      </c>
      <c r="M5" s="286" t="s">
        <v>113</v>
      </c>
      <c r="N5" s="287" t="s">
        <v>114</v>
      </c>
      <c r="O5" s="288" t="s">
        <v>115</v>
      </c>
      <c r="P5" s="289" t="s">
        <v>116</v>
      </c>
      <c r="Q5" s="249" t="s">
        <v>117</v>
      </c>
      <c r="R5" s="250" t="s">
        <v>118</v>
      </c>
    </row>
    <row r="6" spans="1:18" ht="16.5" thickBot="1">
      <c r="A6" s="290"/>
      <c r="B6" s="297"/>
      <c r="C6" s="297"/>
      <c r="D6" s="291"/>
      <c r="E6" s="251"/>
      <c r="F6" s="298"/>
      <c r="G6" s="292"/>
      <c r="H6" s="299"/>
      <c r="I6" s="305"/>
      <c r="J6" s="293"/>
      <c r="K6" s="300"/>
      <c r="L6" s="305"/>
      <c r="M6" s="293"/>
      <c r="N6" s="300"/>
      <c r="O6" s="301"/>
      <c r="P6" s="294"/>
      <c r="Q6" s="295"/>
      <c r="R6" s="296"/>
    </row>
    <row r="7" spans="1:18" ht="75">
      <c r="A7" s="13" cm="1">
        <f t="array" ref="A7:A18">IF(_xlfn.ANCHORARRAY(C7)="","",_xlfn.SEQUENCE(ROWS(_xlfn.ANCHORARRAY(C7))))</f>
        <v>1</v>
      </c>
      <c r="B7" s="302" t="str" cm="1">
        <f t="array" ref="B7:B18">_xlfn.LET(_xlpm.x,_xlfn.XLOOKUP(_xlfn.ANCHORARRAY(C7),'RFA-SDS'!$D:$D,'RFA-SDS'!$C:$C,""),IF(_xlpm.x=0,"",_xlpm.x))</f>
        <v>FAS
SCS
SCN
DCH
PAS</v>
      </c>
      <c r="C7" s="282" t="str" cm="1">
        <f t="array" ref="C7:C18">_xlfn._xlws.FILTER('RFA-SDS'!$D$5:$D$4869,'RFA-SDS'!$AI$5:$AI$4869="YES","")</f>
        <v>LTIA-5.10-VIETUR-80000-RFA-SDS-0214</v>
      </c>
      <c r="D7" s="303" t="str" cm="1">
        <f t="array" ref="D7:D18">_xlfn.LET(_xlpm.x,_xlfn.XLOOKUP(_xlfn.ANCHORARRAY(C7),'RFA-SDS'!$D:$D,'RFA-SDS'!$F:$F,""),IF(_xlpm.x=0,"",_xlpm.x))</f>
        <v xml:space="preserve">Construction design drawing of  ICT system – part.1: ICT systems for FLB </v>
      </c>
      <c r="E7" s="303" t="str" cm="1">
        <f t="array" ref="E7:E18">_xlfn.LET(_xlpm.x,_xlfn.XLOOKUP(_xlfn.ANCHORARRAY(C7),'RFA-SDS'!$D:$D,'RFA-SDS'!$G:$G,""),IF(_xlpm.x=0,"",_xlpm.x))</f>
        <v>Bản vẽ TKTC cho hệ thống ICT – phần 1 – Hệ thống ICT cho FLB</v>
      </c>
      <c r="F7" s="270" cm="1">
        <f t="array" ref="F7:F18">_xlfn.LET(_xlpm.x,_xlfn.XLOOKUP(_xlfn.ANCHORARRAY(C7),'RFA-SDS'!$D:$D,'RFA-SDS'!$R:$R,""),IF(_xlpm.x=0,"",_xlpm.x))</f>
        <v>45673</v>
      </c>
      <c r="G7" s="270" cm="1">
        <f t="array" ref="G7:G18">_xlfn.LET(_xlpm.x,_xlfn.XLOOKUP(_xlfn.ANCHORARRAY(C7),'RFA-SDS'!$D:$D,'RFA-SDS'!$S:$S,""),IF(_xlpm.x=0,"",_xlpm.x))</f>
        <v>45673</v>
      </c>
      <c r="H7" s="264" cm="1">
        <f t="array" ref="H7:H18">_xlfn.LET(_xlpm.x,_xlfn.XLOOKUP(_xlfn.ANCHORARRAY(C7),'RFA-SDS'!$D:$D,'RFA-SDS'!$T:$T,""),IF(_xlpm.x=0,"",_xlpm.x))</f>
        <v>45699</v>
      </c>
      <c r="I7" s="264" t="str" cm="1">
        <f t="array" ref="I7:I18">_xlfn.LET(_xlpm.x,_xlfn.XLOOKUP(_xlfn.ANCHORARRAY(C7),'RFA-SDS'!$D:$D,'RFA-SDS'!$H:$H,""),IF(_xlpm.x=0,"",_xlpm.x))</f>
        <v>B</v>
      </c>
      <c r="J7" s="270" cm="1">
        <f t="array" ref="J7:J18">_xlfn.LET(_xlpm.x,_xlfn.XLOOKUP(_xlfn.ANCHORARRAY(C7),'RFA-SDS'!$D:$D,'RFA-SDS'!$U:$U,""),IF(_xlpm.x=0,"",_xlpm.x))</f>
        <v>45716</v>
      </c>
      <c r="K7" s="264" cm="1">
        <f t="array" ref="K7:K18">_xlfn.LET(_xlpm.x,_xlfn.XLOOKUP(_xlfn.ANCHORARRAY(C7),'RFA-SDS'!$D:$D,'RFA-SDS'!$V:$V,""),IF(_xlpm.x=0,"",_xlpm.x))</f>
        <v>45741</v>
      </c>
      <c r="L7" s="264" t="str" cm="1">
        <f t="array" ref="L7:L18">_xlfn.LET(_xlpm.x,_xlfn.XLOOKUP(_xlfn.ANCHORARRAY(C7),'RFA-SDS'!$D:$D,'RFA-SDS'!$Q:$Q,""),IF(_xlpm.x=0,"",_xlpm.x))</f>
        <v>B</v>
      </c>
      <c r="M7" s="270" cm="1">
        <f t="array" ref="M7:M18">_xlfn.LET(_xlpm.x,_xlfn.XLOOKUP(_xlfn.ANCHORARRAY(C7),'RFA-SDS'!$D:$D,'RFA-SDS'!$X:$X,""),IF(_xlpm.x=0,"",_xlpm.x))</f>
        <v>45756</v>
      </c>
      <c r="N7" s="264" cm="1">
        <f t="array" ref="N7:N18">_xlfn.LET(_xlpm.x,_xlfn.XLOOKUP(_xlfn.ANCHORARRAY(C7),'RFA-SDS'!$D:$D,'RFA-SDS'!$Y:$Y,""),IF(_xlpm.x=0,"",_xlpm.x))</f>
        <v>45756</v>
      </c>
      <c r="O7" s="264" cm="1">
        <f t="array" ref="O7:O18">_xlfn.LET(_xlpm.x,_xlfn.XLOOKUP(_xlfn.ANCHORARRAY(C7),'RFA-SDS'!$D:$D,'RFA-SDS'!$Z:$Z,""),IF(_xlpm.x=0,"",_xlpm.x))</f>
        <v>45763</v>
      </c>
      <c r="P7" s="270" t="str" cm="1">
        <f t="array" ref="P7:P18">_xlfn.LET(_xlpm.x,_xlfn.XLOOKUP(_xlfn.ANCHORARRAY(C7),'RFA-SDS'!$D:$D,'RFA-SDS'!$AA:$AA,""),IF(_xlpm.x=0,"",_xlpm.x))</f>
        <v/>
      </c>
      <c r="Q7" s="13" t="str" cm="1">
        <f t="array" aca="1" ref="Q7:Q18" ca="1">_xlfn.LET(_xlpm.x,_xlfn.XLOOKUP(_xlfn.ANCHORARRAY(C7),'RFA-SDS'!$D:$D,'RFA-SDS'!$AB:$AB,""),IF(_xlpm.x=0,"",_xlpm.x))</f>
        <v>Not submit yet</v>
      </c>
      <c r="R7" s="279" cm="1">
        <f t="array" aca="1" ref="R7:R18" ca="1">_xlfn.LET(_xlpm.x,_xlfn.XLOOKUP(_xlfn.ANCHORARRAY(C7),'RFA-SDS'!$D:$D,'RFA-SDS'!$AC:$AC,""),IF(_xlpm.x=0,"",_xlpm.x))</f>
        <v>546</v>
      </c>
    </row>
    <row r="8" spans="1:18" ht="30">
      <c r="A8" s="13">
        <v>2</v>
      </c>
      <c r="B8" s="302" t="str">
        <v>FAS</v>
      </c>
      <c r="C8" s="282" t="str">
        <v>LTIA-5.10-VIETUR-80000-RFA-SDS-0297</v>
      </c>
      <c r="D8" s="303" t="str">
        <v xml:space="preserve">Construction design drawing of  ICT system – part.1: ICT systems for 4F+Rf </v>
      </c>
      <c r="E8" s="303" t="str">
        <v>Bản vẽ TKTC cho hệ thống ICT – phần 1 – Hệ thống ICT cho 4F+Rf</v>
      </c>
      <c r="F8" s="270">
        <v>45799</v>
      </c>
      <c r="G8" s="270">
        <v>45799</v>
      </c>
      <c r="H8" s="264">
        <v>45801</v>
      </c>
      <c r="I8" s="264" t="str">
        <v>B</v>
      </c>
      <c r="J8" s="270">
        <v>45817</v>
      </c>
      <c r="K8" s="264">
        <v>45826</v>
      </c>
      <c r="L8" s="264" t="str">
        <v>B</v>
      </c>
      <c r="M8" s="270">
        <v>45846</v>
      </c>
      <c r="N8" s="264">
        <v>45846</v>
      </c>
      <c r="O8" s="264">
        <v>45853</v>
      </c>
      <c r="P8" s="270" t="str">
        <v/>
      </c>
      <c r="Q8" s="13" t="str">
        <f ca="1"/>
        <v>Not submit yet</v>
      </c>
      <c r="R8" s="279">
        <f ca="1"/>
        <v>456</v>
      </c>
    </row>
    <row r="9" spans="1:18" ht="45">
      <c r="A9" s="13">
        <v>3</v>
      </c>
      <c r="B9" s="302" t="str">
        <v>SCN</v>
      </c>
      <c r="C9" s="282" t="str">
        <v>LTIA-5.10-VIETUR-80000-RFA-SDS-0330</v>
      </c>
      <c r="D9" s="303" t="str">
        <v xml:space="preserve">Construction design drawing of  ICT system – part.1: ICT systems for Cable Fiber Layout Level Overall (SCN). </v>
      </c>
      <c r="E9" s="303" t="str">
        <v>Bản vẽ TKTC cho hệ thống ICT – phần 1 – Hệ thống ICT cho Bản Vẽ Bố Trí Cáp Quang Tổng Thể (SCN).</v>
      </c>
      <c r="F9" s="270">
        <v>45848</v>
      </c>
      <c r="G9" s="270">
        <v>45848</v>
      </c>
      <c r="H9" s="264">
        <v>45852</v>
      </c>
      <c r="I9" s="264" t="str">
        <v>B</v>
      </c>
      <c r="J9" s="270">
        <v>45862</v>
      </c>
      <c r="K9" s="264">
        <v>45870</v>
      </c>
      <c r="L9" s="264" t="str">
        <v>B</v>
      </c>
      <c r="M9" s="270">
        <v>45954</v>
      </c>
      <c r="N9" s="264">
        <v>45957</v>
      </c>
      <c r="O9" s="264">
        <v>45964</v>
      </c>
      <c r="P9" s="270" t="str">
        <v/>
      </c>
      <c r="Q9" s="13" t="str">
        <f ca="1"/>
        <v>Not submit yet</v>
      </c>
      <c r="R9" s="279">
        <f ca="1"/>
        <v>345</v>
      </c>
    </row>
    <row r="10" spans="1:18" ht="105">
      <c r="A10" s="13">
        <v>4</v>
      </c>
      <c r="B10" s="302" t="str">
        <v>SCN
PAS</v>
      </c>
      <c r="C10" s="282" t="str">
        <v>LTIA-5.10-VIETUR-80000-RFA-SDS-0122A</v>
      </c>
      <c r="D10" s="303" t="str">
        <v>Construction design drawing of ICT system – part.1: ICT systems for 1F Level (Re-submission for attachment): 2. Structure Cable Network-level 1 (attachment 02). &amp; 5. Public Address Systems -level 1 (attachment 05).</v>
      </c>
      <c r="E10" s="303" t="str">
        <v>Bản vẽ TKTC cho hệ thống ICT – phần 1 – Hệ thống ICT cho tầng 1 (Trình cho phần đính kèm số: 2. Hệ thống Mạng Cáp – tầng 1 (đính kèm 02) &amp; 5. Hệ Thống Phát Thanh Công Cộng - tầng 1 (đính kèm 05)</v>
      </c>
      <c r="F10" s="270">
        <v>45850</v>
      </c>
      <c r="G10" s="270">
        <v>45850</v>
      </c>
      <c r="H10" s="264">
        <v>45855</v>
      </c>
      <c r="I10" s="264" t="str">
        <v>B</v>
      </c>
      <c r="J10" s="270">
        <v>45862</v>
      </c>
      <c r="K10" s="264">
        <v>45870</v>
      </c>
      <c r="L10" s="264" t="str">
        <v>B</v>
      </c>
      <c r="M10" s="270">
        <v>45954</v>
      </c>
      <c r="N10" s="264">
        <v>45957</v>
      </c>
      <c r="O10" s="264">
        <v>45964</v>
      </c>
      <c r="P10" s="270" t="str">
        <v/>
      </c>
      <c r="Q10" s="13" t="str">
        <f ca="1"/>
        <v>Not submit yet</v>
      </c>
      <c r="R10" s="279">
        <f ca="1"/>
        <v>345</v>
      </c>
    </row>
    <row r="11" spans="1:18" ht="45">
      <c r="A11" s="13">
        <v>5</v>
      </c>
      <c r="B11" s="302" t="str">
        <v>SCN</v>
      </c>
      <c r="C11" s="282" t="str">
        <v>LTIA-5.10-VIETUR-80000-RFA-SDS-0080A</v>
      </c>
      <c r="D11" s="303" t="str">
        <v>Construction design drawing of  ICT system – part.4: ICT systems for PIT Level (Underground)</v>
      </c>
      <c r="E11" s="303" t="str">
        <v>Bản vẽ TKTC cho hệ thống ICT – phần 4 – Hệ thống ICT cho tầng PIT (phần ngầm)</v>
      </c>
      <c r="F11" s="270">
        <v>45861</v>
      </c>
      <c r="G11" s="270">
        <v>45861</v>
      </c>
      <c r="H11" s="264">
        <v>45866</v>
      </c>
      <c r="I11" s="264" t="str">
        <v>B</v>
      </c>
      <c r="J11" s="270">
        <v>45874</v>
      </c>
      <c r="K11" s="264">
        <v>45908</v>
      </c>
      <c r="L11" s="264" t="str">
        <v>B</v>
      </c>
      <c r="M11" s="270">
        <v>45954</v>
      </c>
      <c r="N11" s="264">
        <v>45957</v>
      </c>
      <c r="O11" s="264">
        <v>45964</v>
      </c>
      <c r="P11" s="270" t="str">
        <v/>
      </c>
      <c r="Q11" s="13" t="str">
        <f ca="1"/>
        <v>Not submit yet</v>
      </c>
      <c r="R11" s="279">
        <f ca="1"/>
        <v>345</v>
      </c>
    </row>
    <row r="12" spans="1:18" ht="45">
      <c r="A12" s="13">
        <v>6</v>
      </c>
      <c r="B12" s="302" t="str">
        <v>FAS
BHS</v>
      </c>
      <c r="C12" s="282" t="str">
        <v>LTIA-5.10-VIETUR-80000-RFA-SDS-0350</v>
      </c>
      <c r="D12" s="303" t="str">
        <v xml:space="preserve">Construction design drawing of  ICT system – part.1: ICT systems for FAS Under BHS Flatform. </v>
      </c>
      <c r="E12" s="303" t="str">
        <v>Bản vẽ TKTC cho hệ thống ICT – phần 1 – Hệ thống ICT cho Hệ Thống báo cháy dưới sàn thép BHS</v>
      </c>
      <c r="F12" s="270">
        <v>45880</v>
      </c>
      <c r="G12" s="270">
        <v>45880</v>
      </c>
      <c r="H12" s="264">
        <v>45881</v>
      </c>
      <c r="I12" s="264" t="str">
        <v>B</v>
      </c>
      <c r="J12" s="270">
        <v>45891</v>
      </c>
      <c r="K12" s="264">
        <v>45908</v>
      </c>
      <c r="L12" s="264" t="str">
        <v>B</v>
      </c>
      <c r="M12" s="270">
        <v>45954</v>
      </c>
      <c r="N12" s="264">
        <v>45957</v>
      </c>
      <c r="O12" s="264">
        <v>45964</v>
      </c>
      <c r="P12" s="270" t="str">
        <v/>
      </c>
      <c r="Q12" s="13" t="str">
        <f ca="1"/>
        <v>Not submit yet</v>
      </c>
      <c r="R12" s="279">
        <f ca="1"/>
        <v>345</v>
      </c>
    </row>
    <row r="13" spans="1:18" ht="75">
      <c r="A13" s="13">
        <v>7</v>
      </c>
      <c r="B13" s="302" t="str">
        <v>FAS</v>
      </c>
      <c r="C13" s="282" t="str">
        <v>LTIA-5.10-VIETUR-80000-RFA-SDS-0140B</v>
      </c>
      <c r="D13" s="303" t="str">
        <v>Construction design drawing of  ICT system – part.1: ICT systems for 2F Level (Re-submission for attachment) 5. Public addressable system-level 2 (attachment 5)</v>
      </c>
      <c r="E13" s="303" t="str">
        <v>Bản vẽ TKTC cho hệ thống ICT – phần 1 – Hệ thống ICT cho tầng 2 (trình cho phần đính kèm số: 5. Hệ thống phát thanh công cộng - tầng 2 (đính kèm 5)</v>
      </c>
      <c r="F13" s="270">
        <v>45908</v>
      </c>
      <c r="G13" s="270">
        <v>45908</v>
      </c>
      <c r="H13" s="264">
        <v>45909</v>
      </c>
      <c r="I13" s="264" t="str">
        <v>B</v>
      </c>
      <c r="J13" s="270">
        <v>45873</v>
      </c>
      <c r="K13" s="264">
        <v>45917</v>
      </c>
      <c r="L13" s="264" t="str">
        <v>B</v>
      </c>
      <c r="M13" s="270">
        <v>46153</v>
      </c>
      <c r="N13" s="264">
        <v>45957</v>
      </c>
      <c r="O13" s="264">
        <v>45964</v>
      </c>
      <c r="P13" s="270" t="str">
        <v/>
      </c>
      <c r="Q13" s="13" t="str">
        <f ca="1"/>
        <v>Not submit yet</v>
      </c>
      <c r="R13" s="279">
        <f ca="1"/>
        <v>345</v>
      </c>
    </row>
    <row r="14" spans="1:18" ht="60">
      <c r="A14" s="13">
        <v>8</v>
      </c>
      <c r="B14" s="302" t="str">
        <v/>
      </c>
      <c r="C14" s="282" t="str">
        <v>LTIA-5.10-VIETUR-80000-RFA-SDS-0222A</v>
      </c>
      <c r="D14" s="303" t="str">
        <v>Construction design drawing of  ICT system – part.1: ICT systems for DATA CENTER 2 (DC2) &amp; TECHNICAL ROOM (EF,BD)</v>
      </c>
      <c r="E14" s="303" t="str">
        <v>Bản vẽ TKTC cho hệ thống ICT – phần 1 – Hệ thống ICT cho Trung tâm dữ liệu số 2 (DC2) và Phòng kỹ thuật (EF,BD)</v>
      </c>
      <c r="F14" s="270">
        <v>45919</v>
      </c>
      <c r="G14" s="270">
        <v>45919</v>
      </c>
      <c r="H14" s="264">
        <v>45932</v>
      </c>
      <c r="I14" s="264" t="str">
        <v>B</v>
      </c>
      <c r="J14" s="270">
        <v>45940</v>
      </c>
      <c r="K14" s="264">
        <v>45945</v>
      </c>
      <c r="L14" s="264" t="str">
        <v>B</v>
      </c>
      <c r="M14" s="270">
        <v>46029</v>
      </c>
      <c r="N14" s="264">
        <v>46030</v>
      </c>
      <c r="O14" s="264">
        <v>46037</v>
      </c>
      <c r="P14" s="270" t="str">
        <v/>
      </c>
      <c r="Q14" s="13" t="str">
        <f ca="1"/>
        <v>Not submit yet</v>
      </c>
      <c r="R14" s="279">
        <f ca="1"/>
        <v>272</v>
      </c>
    </row>
    <row r="15" spans="1:18" ht="45">
      <c r="A15" s="13">
        <v>9</v>
      </c>
      <c r="B15" s="302" t="str">
        <v>ACS</v>
      </c>
      <c r="C15" s="282" t="str">
        <v>LTIA-5.10-VIETUR-80000-RFA-SDS-0371</v>
      </c>
      <c r="D15" s="303" t="str">
        <v xml:space="preserve">Construction design drawing of  ICT system – part.1: ICT systems for Duress Button Drawings. </v>
      </c>
      <c r="E15" s="303" t="str">
        <v>Bản vẽ TKTC cho hệ thống ICT – phần 1 – Hệ thống ICT cho hệ thống nút nhấn khẩn cấp.</v>
      </c>
      <c r="F15" s="270">
        <v>45930</v>
      </c>
      <c r="G15" s="270">
        <v>45930</v>
      </c>
      <c r="H15" s="264">
        <v>45932</v>
      </c>
      <c r="I15" s="264" t="str">
        <v>B</v>
      </c>
      <c r="J15" s="270">
        <v>45940</v>
      </c>
      <c r="K15" s="264">
        <v>45945</v>
      </c>
      <c r="L15" s="264" t="str">
        <v>B</v>
      </c>
      <c r="M15" s="270">
        <v>45978</v>
      </c>
      <c r="N15" s="264">
        <v>45979</v>
      </c>
      <c r="O15" s="264">
        <v>45986</v>
      </c>
      <c r="P15" s="270" t="str">
        <v/>
      </c>
      <c r="Q15" s="13" t="str">
        <f ca="1"/>
        <v>Not submit yet</v>
      </c>
      <c r="R15" s="279">
        <f ca="1"/>
        <v>323</v>
      </c>
    </row>
    <row r="16" spans="1:18" ht="45">
      <c r="A16" s="13">
        <v>10</v>
      </c>
      <c r="B16" s="302" t="str">
        <v>FAS</v>
      </c>
      <c r="C16" s="282" t="str">
        <v>LTIA-5.10-VIETUR-80000-RFA-SDS-0197B</v>
      </c>
      <c r="D16" s="303" t="str">
        <v xml:space="preserve">Construction design drawing of  ICT system – part.1: ICT systems for 3F Level </v>
      </c>
      <c r="E16" s="303" t="str">
        <v>Bản vẽ TKTC cho hệ thống ICT – phần 1 – Hệ thống ICT cho tầng 3F</v>
      </c>
      <c r="F16" s="270">
        <v>45959</v>
      </c>
      <c r="G16" s="270">
        <v>45959</v>
      </c>
      <c r="H16" s="264">
        <v>45961</v>
      </c>
      <c r="I16" s="264" t="str">
        <v>B</v>
      </c>
      <c r="J16" s="270">
        <v>45945</v>
      </c>
      <c r="K16" s="264">
        <v>45980</v>
      </c>
      <c r="L16" s="264" t="str">
        <v>B</v>
      </c>
      <c r="M16" s="270">
        <v>45995</v>
      </c>
      <c r="N16" s="264">
        <v>45999</v>
      </c>
      <c r="O16" s="264">
        <v>46006</v>
      </c>
      <c r="P16" s="270" t="str">
        <v/>
      </c>
      <c r="Q16" s="13" t="str">
        <f ca="1"/>
        <v>Not submit yet</v>
      </c>
      <c r="R16" s="279">
        <f ca="1"/>
        <v>303</v>
      </c>
    </row>
    <row r="17" spans="1:18" ht="60">
      <c r="A17" s="13">
        <v>11</v>
      </c>
      <c r="B17" s="302" t="str">
        <v>PAS</v>
      </c>
      <c r="C17" s="282" t="str">
        <v>LTIA-5.10-VIETUR-80000-RFA-SDS-0394</v>
      </c>
      <c r="D17" s="303" t="str">
        <v>Construction design drawing of  ICT system – part.1: ICT systems for Schematic Diagram Public Address System (PAS)</v>
      </c>
      <c r="E17" s="303" t="str">
        <v>Bản vẽ TKTC cho hệ thống ICT – phần 1 – Hệ thống ICT cho SDNL hệ thống Phát Thanh</v>
      </c>
      <c r="F17" s="270">
        <v>45965</v>
      </c>
      <c r="G17" s="270">
        <v>45965</v>
      </c>
      <c r="H17" s="264">
        <v>45966</v>
      </c>
      <c r="I17" s="264" t="str">
        <v>C</v>
      </c>
      <c r="J17" s="270">
        <v>45979</v>
      </c>
      <c r="K17" s="264">
        <v>45994</v>
      </c>
      <c r="L17" s="264" t="str">
        <v>C</v>
      </c>
      <c r="M17" s="270">
        <v>46146</v>
      </c>
      <c r="N17" s="264">
        <v>46136</v>
      </c>
      <c r="O17" s="264">
        <v>46143</v>
      </c>
      <c r="P17" s="270">
        <v>46268</v>
      </c>
      <c r="Q17" s="13" t="str">
        <f ca="1"/>
        <v>Late Resubmission</v>
      </c>
      <c r="R17" s="279">
        <f ca="1"/>
        <v>125</v>
      </c>
    </row>
    <row r="18" spans="1:18" ht="45">
      <c r="A18" s="13">
        <v>12</v>
      </c>
      <c r="B18" s="302" t="str">
        <v>PAS</v>
      </c>
      <c r="C18" s="282" t="str">
        <v>LTIA-5.10-VIETUR-80000-RFA-SDS-0160B</v>
      </c>
      <c r="D18" s="303" t="str">
        <v xml:space="preserve">Construction design drawing of  ICT system – part.1: ICT systems for GF Level </v>
      </c>
      <c r="E18" s="303" t="str">
        <v>Bản vẽ TKTC cho hệ thống ICT – phần 1 – Hệ thống ICT cho tầng GF</v>
      </c>
      <c r="F18" s="270">
        <v>45972</v>
      </c>
      <c r="G18" s="270">
        <v>45972</v>
      </c>
      <c r="H18" s="264">
        <v>45972</v>
      </c>
      <c r="I18" s="264" t="str">
        <v>B</v>
      </c>
      <c r="J18" s="270">
        <v>45982</v>
      </c>
      <c r="K18" s="264">
        <v>45982</v>
      </c>
      <c r="L18" s="264" t="str">
        <v>B</v>
      </c>
      <c r="M18" s="270">
        <v>45995</v>
      </c>
      <c r="N18" s="264">
        <v>45999</v>
      </c>
      <c r="O18" s="264">
        <v>46006</v>
      </c>
      <c r="P18" s="270" t="str">
        <v/>
      </c>
      <c r="Q18" s="13" t="str">
        <f ca="1"/>
        <v>Not submit yet</v>
      </c>
      <c r="R18" s="279">
        <f ca="1"/>
        <v>303</v>
      </c>
    </row>
  </sheetData>
  <autoFilter ref="A6:R6" xr:uid="{75733AF3-96C4-423A-BD99-1E08B3C66916}"/>
  <mergeCells count="9">
    <mergeCell ref="F4:H4"/>
    <mergeCell ref="I4:K4"/>
    <mergeCell ref="L4:N4"/>
    <mergeCell ref="O4:R4"/>
    <mergeCell ref="A4:A5"/>
    <mergeCell ref="B4:B5"/>
    <mergeCell ref="C4:C5"/>
    <mergeCell ref="D4:D5"/>
    <mergeCell ref="E4:E5"/>
  </mergeCells>
  <phoneticPr fontId="71"/>
  <pageMargins left="0.7" right="0.7" top="0.75" bottom="0.75" header="0.3" footer="0.3"/>
  <pageSetup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4FE97-C4C9-AE4D-B5E4-5A0BD43D6BE8}">
  <dimension ref="A1:D22"/>
  <sheetViews>
    <sheetView zoomScale="172" workbookViewId="0">
      <selection activeCell="A13" sqref="A13"/>
    </sheetView>
  </sheetViews>
  <sheetFormatPr defaultColWidth="11.42578125" defaultRowHeight="15"/>
  <cols>
    <col min="1" max="2" width="32.7109375" customWidth="1"/>
    <col min="5" max="7" width="11.42578125" customWidth="1"/>
  </cols>
  <sheetData>
    <row r="1" spans="1:4" ht="15.75">
      <c r="A1" s="450" t="s">
        <v>128</v>
      </c>
      <c r="B1" s="450"/>
      <c r="C1" s="450" t="s">
        <v>129</v>
      </c>
      <c r="D1" s="450"/>
    </row>
    <row r="2" spans="1:4" ht="63">
      <c r="A2" s="318" t="s">
        <v>126</v>
      </c>
      <c r="B2" s="318" t="s">
        <v>127</v>
      </c>
      <c r="C2" s="318" t="s">
        <v>126</v>
      </c>
      <c r="D2" s="318" t="s">
        <v>127</v>
      </c>
    </row>
    <row r="3" spans="1:4" ht="15.75">
      <c r="A3" s="319">
        <f ca="1">MAX('Need ReSub (RFA)'!S7:S76)</f>
        <v>846</v>
      </c>
      <c r="B3" s="319">
        <f ca="1">AVERAGEIF('Need ReSub (RFA)'!S7:S76,"&lt;&gt;0")</f>
        <v>454.25</v>
      </c>
      <c r="C3" s="319">
        <f ca="1">MAX(_xlfn.ANCHORARRAY('Need ReSub (RFA-SDS)'!R7))</f>
        <v>546</v>
      </c>
      <c r="D3" s="319">
        <f ca="1">AVERAGEIF(_xlfn.ANCHORARRAY('Need ReSub (RFA-SDS)'!R7),"&lt;&gt;0")</f>
        <v>337.75</v>
      </c>
    </row>
    <row r="5" spans="1:4">
      <c r="A5" s="452" t="str">
        <f ca="1">"In the RFA process, the average number of days elapsed since responding to an unapproved RFA was " &amp; ROUND($B$3,0) &amp; " days, with a maximum of " &amp; ROUND($A$3,0) &amp; " days, indicating that delays in the RFA approval process are contributing to delays in construction work.
Furthermore, the RFA (SDS) is as follows:
Avarage :  " &amp; ROUND($D$3,0) &amp; " days
Maimum :  " &amp; ROUND($C$3,0) &amp; " days"</f>
        <v>In the RFA process, the average number of days elapsed since responding to an unapproved RFA was 454 days, with a maximum of 846 days, indicating that delays in the RFA approval process are contributing to delays in construction work.
Furthermore, the RFA (SDS) is as follows:
Avarage :  338 days
Maimum :  546 days</v>
      </c>
      <c r="B5" s="452"/>
    </row>
    <row r="6" spans="1:4">
      <c r="A6" s="452"/>
      <c r="B6" s="452"/>
    </row>
    <row r="7" spans="1:4">
      <c r="A7" s="452"/>
      <c r="B7" s="452"/>
    </row>
    <row r="8" spans="1:4">
      <c r="A8" s="452"/>
      <c r="B8" s="452"/>
    </row>
    <row r="9" spans="1:4">
      <c r="A9" s="452"/>
      <c r="B9" s="452"/>
    </row>
    <row r="10" spans="1:4">
      <c r="A10" s="452"/>
      <c r="B10" s="452"/>
    </row>
    <row r="11" spans="1:4">
      <c r="A11" s="452"/>
      <c r="B11" s="452"/>
    </row>
    <row r="12" spans="1:4">
      <c r="A12" s="452"/>
      <c r="B12" s="452"/>
    </row>
    <row r="15" spans="1:4">
      <c r="A15" s="451" t="s">
        <v>130</v>
      </c>
      <c r="B15" s="451"/>
    </row>
    <row r="16" spans="1:4">
      <c r="A16" s="451"/>
      <c r="B16" s="451"/>
    </row>
    <row r="17" spans="1:2">
      <c r="A17" s="451"/>
      <c r="B17" s="451"/>
    </row>
    <row r="18" spans="1:2">
      <c r="A18" s="451"/>
      <c r="B18" s="451"/>
    </row>
    <row r="19" spans="1:2">
      <c r="A19" s="451"/>
      <c r="B19" s="451"/>
    </row>
    <row r="20" spans="1:2">
      <c r="A20" s="451"/>
      <c r="B20" s="451"/>
    </row>
    <row r="21" spans="1:2">
      <c r="A21" s="451"/>
      <c r="B21" s="451"/>
    </row>
    <row r="22" spans="1:2">
      <c r="A22" s="451"/>
      <c r="B22" s="451"/>
    </row>
  </sheetData>
  <mergeCells count="4">
    <mergeCell ref="A1:B1"/>
    <mergeCell ref="A15:B22"/>
    <mergeCell ref="C1:D1"/>
    <mergeCell ref="A5:B12"/>
  </mergeCells>
  <phoneticPr fontId="7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RFA</vt:lpstr>
      <vt:lpstr>RFA-SDS</vt:lpstr>
      <vt:lpstr>RFI</vt:lpstr>
      <vt:lpstr>Need ReSub (RFA)</vt:lpstr>
      <vt:lpstr>Need ReSub (RFA-SDS)</vt:lpstr>
      <vt:lpstr>Evaluation</vt:lpstr>
      <vt:lpstr>'Need ReSub (RFA)'!Print_Area</vt:lpstr>
      <vt:lpstr>'Need ReSub (RFA-SDS)'!Print_Area</vt:lpstr>
      <vt:lpstr>RFA!Print_Area</vt:lpstr>
      <vt:lpstr>'RFA-SDS'!Print_Area</vt:lpstr>
      <vt:lpstr>RFI!Print_Area</vt:lpstr>
      <vt:lpstr>RFA!Print_Titles</vt:lpstr>
      <vt:lpstr>'RFA-SDS'!Print_Titles</vt:lpstr>
      <vt:lpstr>RFI!Print_Titles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Hòa Hoàng Thanh</cp:lastModifiedBy>
  <cp:lastPrinted>2024-05-21T02:17:21Z</cp:lastPrinted>
  <dcterms:created xsi:type="dcterms:W3CDTF">2023-10-26T01:33:33Z</dcterms:created>
  <dcterms:modified xsi:type="dcterms:W3CDTF">2026-10-14T06:15:05Z</dcterms:modified>
</cp:coreProperties>
</file>